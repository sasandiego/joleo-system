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yela\Dropbox\PC\Documents\JOLEO TRANSPORT\JOLEO PRICING MATRIX\"/>
    </mc:Choice>
  </mc:AlternateContent>
  <xr:revisionPtr revIDLastSave="0" documentId="13_ncr:1_{881DFCE4-56E6-48A4-A5BE-C1DE3BC54F73}" xr6:coauthVersionLast="47" xr6:coauthVersionMax="47" xr10:uidLastSave="{00000000-0000-0000-0000-000000000000}"/>
  <bookViews>
    <workbookView xWindow="-120" yWindow="-120" windowWidth="20640" windowHeight="11040" tabRatio="841" firstSheet="1" activeTab="5" xr2:uid="{00000000-000D-0000-FFFF-FFFF00000000}"/>
  </bookViews>
  <sheets>
    <sheet name="ROUTE-AREA SETTINGS" sheetId="1" r:id="rId1"/>
    <sheet name="HELPER MASTERLIST" sheetId="2" r:id="rId2"/>
    <sheet name="DRIVER MASTERLIST" sheetId="3" r:id="rId3"/>
    <sheet name="TRUCK MASTERLIST" sheetId="4" r:id="rId4"/>
    <sheet name="RATE SETTINGS" sheetId="5" r:id="rId5"/>
    <sheet name="PRICE COMPUTATION" sheetId="6" r:id="rId6"/>
    <sheet name="QUOTATION 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" i="6" l="1"/>
  <c r="C41" i="7"/>
  <c r="C20" i="7"/>
  <c r="C19" i="7"/>
  <c r="C18" i="7"/>
  <c r="C17" i="7"/>
  <c r="C16" i="7"/>
  <c r="C13" i="7"/>
  <c r="C12" i="7"/>
  <c r="C11" i="7"/>
  <c r="C10" i="7"/>
  <c r="C9" i="7"/>
  <c r="C8" i="7"/>
  <c r="C7" i="7"/>
  <c r="C6" i="7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D61" i="6"/>
  <c r="F5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43" i="6" s="1"/>
  <c r="F44" i="6" l="1"/>
  <c r="F46" i="6" l="1"/>
  <c r="F45" i="6"/>
  <c r="F47" i="6" l="1"/>
  <c r="F49" i="6" s="1"/>
  <c r="C35" i="7" s="1"/>
  <c r="F65" i="6" l="1"/>
  <c r="F51" i="6"/>
  <c r="C37" i="7" s="1"/>
  <c r="F50" i="6"/>
  <c r="C36" i="7" s="1"/>
  <c r="F54" i="6" l="1"/>
  <c r="F55" i="6" s="1"/>
  <c r="C42" i="7" s="1"/>
  <c r="F57" i="6" l="1"/>
  <c r="F66" i="6" l="1"/>
  <c r="B40" i="7"/>
  <c r="D60" i="6"/>
  <c r="D62" i="6"/>
  <c r="F68" i="6" l="1"/>
  <c r="F70" i="6" s="1"/>
  <c r="F67" i="6"/>
</calcChain>
</file>

<file path=xl/sharedStrings.xml><?xml version="1.0" encoding="utf-8"?>
<sst xmlns="http://schemas.openxmlformats.org/spreadsheetml/2006/main" count="419" uniqueCount="331">
  <si>
    <t>JOLEO TRANSPORT</t>
  </si>
  <si>
    <t>TRUCKING PRICE COMPUTATION SHEET</t>
  </si>
  <si>
    <t>Brgy. 164, Caloocan City | Serving all points in Luzon | ★ Input cells are highlighted in YELLOW ★</t>
  </si>
  <si>
    <t>SECTION A – BOOKING INFORMATION</t>
  </si>
  <si>
    <t>Date of Quotation</t>
  </si>
  <si>
    <t>Quotation No.</t>
  </si>
  <si>
    <t>Client / Company Name</t>
  </si>
  <si>
    <t>Contact Person</t>
  </si>
  <si>
    <t>Service Type</t>
  </si>
  <si>
    <t>Pick-up Point</t>
  </si>
  <si>
    <t>Drop-off Point</t>
  </si>
  <si>
    <t>Route / Destination Area</t>
  </si>
  <si>
    <t>Estimated Distance (km)</t>
  </si>
  <si>
    <t>Estimated Travel Time</t>
  </si>
  <si>
    <t>Number of Drop-offs</t>
  </si>
  <si>
    <t>SECTION B – TRUCK &amp; CREW SELECTION</t>
  </si>
  <si>
    <t>Truck Selected</t>
  </si>
  <si>
    <t>Number of Helpers</t>
  </si>
  <si>
    <t>Driver Selected</t>
  </si>
  <si>
    <t>Helper Selected</t>
  </si>
  <si>
    <t>SECTION C – JOB DETAILS &amp; SERVICE FLAGS</t>
  </si>
  <si>
    <t>Included Hours in Booking</t>
  </si>
  <si>
    <t>Condo Service? (Yes/No)</t>
  </si>
  <si>
    <t>No</t>
  </si>
  <si>
    <t>Estimated Job Hours</t>
  </si>
  <si>
    <t>Catering Service? (Yes/No)</t>
  </si>
  <si>
    <t>Toll Fee (₱)</t>
  </si>
  <si>
    <t>Night Delivery? (Yes/No)</t>
  </si>
  <si>
    <t>Parking Fee (₱)</t>
  </si>
  <si>
    <t>Additional Helper? (Yes/No)</t>
  </si>
  <si>
    <t>Fuel Price Override (₱/L)</t>
  </si>
  <si>
    <t>Need Overtime / Excess Hours?</t>
  </si>
  <si>
    <t>Discount Amount (₱)</t>
  </si>
  <si>
    <t>Out-of-Town Trip? (Yes/No)</t>
  </si>
  <si>
    <t>Long-Distance Trip? (&gt;200 km)</t>
  </si>
  <si>
    <t>VAT Option</t>
  </si>
  <si>
    <t>SECTION D – AUTOMATIC PRICE COMPUTATION</t>
  </si>
  <si>
    <t>COST COMPONENT</t>
  </si>
  <si>
    <t>COMPUTATION BASIS / NOTES</t>
  </si>
  <si>
    <t>AMOUNT (₱)</t>
  </si>
  <si>
    <t>1. Truck Base Rate</t>
  </si>
  <si>
    <t>Min rate for selected truck type from Rate Settings</t>
  </si>
  <si>
    <t>2. Distance Charge</t>
  </si>
  <si>
    <t>Estimated km (G10) × distance rate/km ('RATE SETTINGS'!$B$26)</t>
  </si>
  <si>
    <t>3. Fuel Cost (round-trip)</t>
  </si>
  <si>
    <t>(Distance ÷ fuel consumption) × diesel price × 2 × (1 + surcharge%)</t>
  </si>
  <si>
    <t>4. Driver Cost</t>
  </si>
  <si>
    <t>Daily rate for selected driver</t>
  </si>
  <si>
    <t>5. Helper Cost</t>
  </si>
  <si>
    <t>Helper daily rate × number of helpers</t>
  </si>
  <si>
    <t>6. Additional Helper</t>
  </si>
  <si>
    <t>Charged if Additional Helper flag = Yes</t>
  </si>
  <si>
    <t>7. Excess Hours Cost</t>
  </si>
  <si>
    <t>MAX(0, job hrs - included hrs) × additional hour rate</t>
  </si>
  <si>
    <t>8. Extra Drop-off Charge</t>
  </si>
  <si>
    <t>Each drop-off beyond first is charged extra</t>
  </si>
  <si>
    <t>9. Condo Handling Fee</t>
  </si>
  <si>
    <t>Building access / elevator coordination surcharge</t>
  </si>
  <si>
    <t>10. Catering Handling Fee</t>
  </si>
  <si>
    <t>Special handling for catering deliveries</t>
  </si>
  <si>
    <t>11. Loading / Unloading Fee</t>
  </si>
  <si>
    <t>Per Rate Settings (0 if included in base rate)</t>
  </si>
  <si>
    <t>12. Night Delivery Surcharge</t>
  </si>
  <si>
    <t>Applied for trips starting after 9PM</t>
  </si>
  <si>
    <t>13. Out-of-Town Surcharge</t>
  </si>
  <si>
    <t>Applied for routes beyond Metro Manila</t>
  </si>
  <si>
    <t>14. Long-Distance Surcharge</t>
  </si>
  <si>
    <t>Applied for trips exceeding 200 km</t>
  </si>
  <si>
    <t>15. Toll &amp; Parking</t>
  </si>
  <si>
    <t>Toll fee (D20) + Parking fee (D21)</t>
  </si>
  <si>
    <t>16. Maintenance Allowance</t>
  </si>
  <si>
    <t>Maintenance % × base truck rate (F28)</t>
  </si>
  <si>
    <t>DIRECT COST SUBTOTAL (before overhead &amp; profit)</t>
  </si>
  <si>
    <t>17. Overhead Allocation</t>
  </si>
  <si>
    <t>Overhead % of direct cost subtotal</t>
  </si>
  <si>
    <t>18. Contingency Buffer</t>
  </si>
  <si>
    <t>Contingency % of direct cost subtotal</t>
  </si>
  <si>
    <t>TOTAL COST BEFORE PROFIT MARGIN</t>
  </si>
  <si>
    <t>FLOOR PRICE (Minimum Acceptable)</t>
  </si>
  <si>
    <t>TARGET PRICE (Recommended Quote)</t>
  </si>
  <si>
    <t>CEILING PRICE (Maximum Market Rate)</t>
  </si>
  <si>
    <t>Less: Discount (from D23)</t>
  </si>
  <si>
    <t>Price After Discount (Target basis)</t>
  </si>
  <si>
    <t>VAT Amount (VAT-Excl: adds VAT | VAT-Incl: extracts from price | Non-VAT: zero)</t>
  </si>
  <si>
    <t>✅  FINAL SUGGESTED PRICE (QUOTED TO CLIENT)</t>
  </si>
  <si>
    <t>SECTION E – AUTOMATED WARNINGS &amp; ALERTS</t>
  </si>
  <si>
    <t>⚠  Price vs Floor</t>
  </si>
  <si>
    <t>⚠  Job Hours</t>
  </si>
  <si>
    <t>⚠  Profit Margin</t>
  </si>
  <si>
    <t>SECTION F – PROFIT ANALYSIS PER BOOKING</t>
  </si>
  <si>
    <t>Total Cost Before Profit</t>
  </si>
  <si>
    <t>Final Quoted Price</t>
  </si>
  <si>
    <t>Gross Profit (₱)</t>
  </si>
  <si>
    <t>Gross Margin %</t>
  </si>
  <si>
    <t>Target Margin %</t>
  </si>
  <si>
    <t>Margin vs Target</t>
  </si>
  <si>
    <t>JOLEO TRANSPORT – ROUTE &amp; AREA REFERENCE (LUZON)</t>
  </si>
  <si>
    <t>Area Category</t>
  </si>
  <si>
    <t>Sample Destinations</t>
  </si>
  <si>
    <t>Distance Range (km)</t>
  </si>
  <si>
    <t>Surcharge (₱)</t>
  </si>
  <si>
    <t>Est. Toll (₱)</t>
  </si>
  <si>
    <t>Remarks</t>
  </si>
  <si>
    <t>Metro Manila</t>
  </si>
  <si>
    <t>Caloocan, Manila, Quezon City, Makati, Pasig, Taguig, Mandaluyong, Marikina, Pasay, Parañaque, Las Piñas, Muntinlupa, Valenzuela, Malabon, Navotas</t>
  </si>
  <si>
    <t>1 – 30 km</t>
  </si>
  <si>
    <t>No surcharge within Metro Manila</t>
  </si>
  <si>
    <t>Central Luzon</t>
  </si>
  <si>
    <t>Bulacan, Pampanga, Tarlac, Nueva Ecija, Zambales, Bataan, Aurora</t>
  </si>
  <si>
    <t>31 – 200 km</t>
  </si>
  <si>
    <t>Out-of-town surcharge applies</t>
  </si>
  <si>
    <t>CALABARZON</t>
  </si>
  <si>
    <t>Cavite, Laguna, Batangas, Rizal, Quezon Province</t>
  </si>
  <si>
    <t>30 – 200 km</t>
  </si>
  <si>
    <t>North Luzon</t>
  </si>
  <si>
    <t>Pangasinan, La Union, Ilocos Norte, Ilocos Sur, Benguet, Baguio City, Mountain Province</t>
  </si>
  <si>
    <t>200 – 500 km</t>
  </si>
  <si>
    <t>Long-distance surcharge applies</t>
  </si>
  <si>
    <t>South Luzon</t>
  </si>
  <si>
    <t>Quezon (Lucena, Tayabas), Bondoc Peninsula</t>
  </si>
  <si>
    <t>150 – 350 km</t>
  </si>
  <si>
    <t>Bicol Region</t>
  </si>
  <si>
    <t>Camarines Norte, Camarines Sur (Naga), Albay (Legazpi), Sorsogon, Masbate</t>
  </si>
  <si>
    <t>400 – 700 km</t>
  </si>
  <si>
    <t>Long-haul; overnight driver accommodation may be needed</t>
  </si>
  <si>
    <t>Mindoro</t>
  </si>
  <si>
    <t>Oriental Mindoro, Occidental Mindoro (via ferry)</t>
  </si>
  <si>
    <t>200 – 400 km</t>
  </si>
  <si>
    <t>Ferry cost separate; confirm availability</t>
  </si>
  <si>
    <t>Palawan (via land+ferry)</t>
  </si>
  <si>
    <t>Puerto Princesa (requires sea transport)</t>
  </si>
  <si>
    <t>500+ km</t>
  </si>
  <si>
    <t>Long-haul; special quotation strongly recommended</t>
  </si>
  <si>
    <t>JOLEO TRANSPORT – HELPER MASTERLIST</t>
  </si>
  <si>
    <t>Helper ID</t>
  </si>
  <si>
    <t>Helper Name</t>
  </si>
  <si>
    <t>Daily Rate (₱)</t>
  </si>
  <si>
    <t>OT Rate (₱/hr)</t>
  </si>
  <si>
    <t>Status</t>
  </si>
  <si>
    <t>2014035</t>
  </si>
  <si>
    <t>BONTIGAO, FRANCIS</t>
  </si>
  <si>
    <t>Active</t>
  </si>
  <si>
    <t>2013001</t>
  </si>
  <si>
    <t>CABANIGAN, JOEL</t>
  </si>
  <si>
    <t>2017007</t>
  </si>
  <si>
    <t>CULA, JORDAN</t>
  </si>
  <si>
    <t>2026031</t>
  </si>
  <si>
    <t>LANUZA, JC</t>
  </si>
  <si>
    <t>2017003</t>
  </si>
  <si>
    <t>LIBONGCOGON, RENIL</t>
  </si>
  <si>
    <t>2023007</t>
  </si>
  <si>
    <t>ONDOC, JUNNIFER</t>
  </si>
  <si>
    <t>2025110</t>
  </si>
  <si>
    <t>ROQUE, JOHN</t>
  </si>
  <si>
    <t>JOLEO TRANSPORT – DRIVER MASTERLIST</t>
  </si>
  <si>
    <t>Driver ID</t>
  </si>
  <si>
    <t>Driver Name</t>
  </si>
  <si>
    <t>2013030</t>
  </si>
  <si>
    <t>CARAGAY, ROGELIO JR.</t>
  </si>
  <si>
    <t>CAPALARAN, RONEL</t>
  </si>
  <si>
    <t>2016034</t>
  </si>
  <si>
    <t>CORAÑES, RODNEY</t>
  </si>
  <si>
    <t>2010012</t>
  </si>
  <si>
    <t>IGNACIO, PHILIP</t>
  </si>
  <si>
    <t>2016032</t>
  </si>
  <si>
    <t>LORETO, ANTONIO</t>
  </si>
  <si>
    <t>2025103</t>
  </si>
  <si>
    <t>CASINOVA, ARMANDO</t>
  </si>
  <si>
    <t>2025025</t>
  </si>
  <si>
    <t>LIBONGCOGON, RONALD</t>
  </si>
  <si>
    <t>PREDILLA, NILO</t>
  </si>
  <si>
    <t>2018007</t>
  </si>
  <si>
    <t>PREDILLA, ALLAN JAY</t>
  </si>
  <si>
    <t>JOLEO TRANSPORT – TRUCK MASTERLIST</t>
  </si>
  <si>
    <t>Truck ID</t>
  </si>
  <si>
    <t>Plate No.</t>
  </si>
  <si>
    <t>Truck Type</t>
  </si>
  <si>
    <t>Size (ft)</t>
  </si>
  <si>
    <t>Wheel Type</t>
  </si>
  <si>
    <t>Fuel Cons. (km/L)</t>
  </si>
  <si>
    <t>Min Base Rate (₱)</t>
  </si>
  <si>
    <t>Excess Hour Rate (₱/hr)</t>
  </si>
  <si>
    <t>V5</t>
  </si>
  <si>
    <t>XHR 788</t>
  </si>
  <si>
    <t>10 ftr - 4 wheels</t>
  </si>
  <si>
    <t>4-wheel</t>
  </si>
  <si>
    <t>V6</t>
  </si>
  <si>
    <t>REP 141</t>
  </si>
  <si>
    <t>14 ftr - 6 wheels</t>
  </si>
  <si>
    <t>6-wheel</t>
  </si>
  <si>
    <t>V7</t>
  </si>
  <si>
    <t>RFZ 534</t>
  </si>
  <si>
    <t>16 ftr - 6 wheels</t>
  </si>
  <si>
    <t>V9</t>
  </si>
  <si>
    <t>XKD 180</t>
  </si>
  <si>
    <t>12 ftr - 6 wheels</t>
  </si>
  <si>
    <t>V10</t>
  </si>
  <si>
    <t>RJB 646</t>
  </si>
  <si>
    <t>20 ftr - 6 wheels</t>
  </si>
  <si>
    <t>V12</t>
  </si>
  <si>
    <t>TQO 775</t>
  </si>
  <si>
    <t>V13</t>
  </si>
  <si>
    <t>UWI 887</t>
  </si>
  <si>
    <t>V15</t>
  </si>
  <si>
    <t>RBH 578</t>
  </si>
  <si>
    <t>10 ftr - 6 wheels</t>
  </si>
  <si>
    <t>V16</t>
  </si>
  <si>
    <t>UCC 523</t>
  </si>
  <si>
    <t>V17</t>
  </si>
  <si>
    <t>WLL 732</t>
  </si>
  <si>
    <t>V18</t>
  </si>
  <si>
    <t>RJE 141</t>
  </si>
  <si>
    <t>V20</t>
  </si>
  <si>
    <t>URR 575</t>
  </si>
  <si>
    <t>V21</t>
  </si>
  <si>
    <t>RHY 366</t>
  </si>
  <si>
    <t>V22</t>
  </si>
  <si>
    <t>RHV 542</t>
  </si>
  <si>
    <t>V23</t>
  </si>
  <si>
    <t>RJP 723</t>
  </si>
  <si>
    <t>ELF1</t>
  </si>
  <si>
    <t>XAM 959</t>
  </si>
  <si>
    <t>ELF2</t>
  </si>
  <si>
    <t>XSH 957</t>
  </si>
  <si>
    <t>16 ftr - 6 wheels (Dropside)</t>
  </si>
  <si>
    <t>Fuel Consumption Defaults: 10ft-4w=7.5 km/L | 10ft-6w=6.5 | 12ft-6w=6.0 | 14ft-6w=5.0 | 16ft-6w=4.5 | 20ft-6w=3.5 | Dropside=4.5</t>
  </si>
  <si>
    <t>JOLEO TRANSPORT – RATE SETTINGS</t>
  </si>
  <si>
    <t>Edit column B values only. All computation sheets reference these settings automatically.</t>
  </si>
  <si>
    <t>SETTING</t>
  </si>
  <si>
    <t>INPUT VALUE</t>
  </si>
  <si>
    <t>NOTES / EXPLANATION</t>
  </si>
  <si>
    <t>SUGGESTED MIN</t>
  </si>
  <si>
    <t>SUGGESTED MAX</t>
  </si>
  <si>
    <t>FUEL &amp; OPERATIONS</t>
  </si>
  <si>
    <t>Diesel Price per Liter</t>
  </si>
  <si>
    <t>Update as pump price changes</t>
  </si>
  <si>
    <t>Fuel Surcharge %</t>
  </si>
  <si>
    <t>Added on top of raw fuel cost</t>
  </si>
  <si>
    <t>MANPOWER RATES</t>
  </si>
  <si>
    <t>Driver Daily Rate</t>
  </si>
  <si>
    <t>8-hour standard shift</t>
  </si>
  <si>
    <t>Driver Overtime Rate / hr</t>
  </si>
  <si>
    <t>Per hour beyond 8 hours</t>
  </si>
  <si>
    <t>Helper Daily Rate</t>
  </si>
  <si>
    <t>Helper Overtime Rate / hr</t>
  </si>
  <si>
    <t>Additional Helper Rate</t>
  </si>
  <si>
    <t>Rate for each extra helper beyond the first</t>
  </si>
  <si>
    <t>SERVICE INCLUSIONS</t>
  </si>
  <si>
    <t>Standard Included Hours</t>
  </si>
  <si>
    <t>Hours included in base booking</t>
  </si>
  <si>
    <t>Additional Hour Rate</t>
  </si>
  <si>
    <t>Charged per excess hour</t>
  </si>
  <si>
    <t>Additional Drop-off Charge</t>
  </si>
  <si>
    <t>Per extra drop-off beyond the first</t>
  </si>
  <si>
    <t>SPECIAL SERVICE FEES</t>
  </si>
  <si>
    <t>Condo Handling Fee</t>
  </si>
  <si>
    <t>Condo move-in/out surcharge</t>
  </si>
  <si>
    <t>Catering Handling Fee</t>
  </si>
  <si>
    <t>Catering delivery surcharge</t>
  </si>
  <si>
    <t>Loading/Unloading Fee</t>
  </si>
  <si>
    <t>0 if included in base rate</t>
  </si>
  <si>
    <t>Night Delivery Surcharge</t>
  </si>
  <si>
    <t>Deliveries after 9PM</t>
  </si>
  <si>
    <t>Waiting Time Charge / hr</t>
  </si>
  <si>
    <t>Per hour of waiting time on site</t>
  </si>
  <si>
    <t>DISTANCE SURCHARGES</t>
  </si>
  <si>
    <t>Out-of-Town Surcharge</t>
  </si>
  <si>
    <t>Beyond Metro Manila boundaries</t>
  </si>
  <si>
    <t>Long-Distance Surcharge</t>
  </si>
  <si>
    <t>Trips exceeding 200 km one way</t>
  </si>
  <si>
    <t>Distance Rate per km</t>
  </si>
  <si>
    <t>Applied to estimated total distance</t>
  </si>
  <si>
    <t>COST ALLOCATIONS</t>
  </si>
  <si>
    <t>Maintenance % of Base Rate</t>
  </si>
  <si>
    <t>Provision for truck upkeep</t>
  </si>
  <si>
    <t>Overhead % of Direct Costs</t>
  </si>
  <si>
    <t>Admin, office, insurance allocation</t>
  </si>
  <si>
    <t>Contingency % of Direct Costs</t>
  </si>
  <si>
    <t>Buffer for unexpected costs</t>
  </si>
  <si>
    <t>PROFIT MARGINS</t>
  </si>
  <si>
    <t>Floor Profit Margin %</t>
  </si>
  <si>
    <t>Minimum acceptable margin</t>
  </si>
  <si>
    <t>Target Profit Margin %</t>
  </si>
  <si>
    <t>Ideal per-booking margin</t>
  </si>
  <si>
    <t>Ceiling Profit Margin %</t>
  </si>
  <si>
    <t>Maximum ceiling for competitive pricing</t>
  </si>
  <si>
    <t>TAX</t>
  </si>
  <si>
    <t>VAT Rate</t>
  </si>
  <si>
    <t>Standard Philippine VAT</t>
  </si>
  <si>
    <t>MINIMUM BASE RATES BY TRUCK TYPE</t>
  </si>
  <si>
    <t>10 ft – 4 Wheeler Min Rate</t>
  </si>
  <si>
    <t>Metro Manila short haul</t>
  </si>
  <si>
    <t>10 ft – 6 Wheeler Min Rate</t>
  </si>
  <si>
    <t>12 ft – 6 Wheeler Min Rate</t>
  </si>
  <si>
    <t>Medium load, short haul</t>
  </si>
  <si>
    <t>14 ft – 6 Wheeler Min Rate</t>
  </si>
  <si>
    <t>Medium-range hauls</t>
  </si>
  <si>
    <t>16 ft – 6 Wheeler Min Rate</t>
  </si>
  <si>
    <t>Large loads / longer routes</t>
  </si>
  <si>
    <t>20 ft – 6 Wheeler Min Rate</t>
  </si>
  <si>
    <t>Heavy/bulk hauling</t>
  </si>
  <si>
    <t>Dropside Truck Min Rate</t>
  </si>
  <si>
    <t>Open-bed dropside</t>
  </si>
  <si>
    <t>SERVICE QUOTATION</t>
  </si>
  <si>
    <t>Brgy. 164, Caloocan City, Metro Manila | Tel: [Insert] | Email: [Insert]</t>
  </si>
  <si>
    <t>CLIENT &amp; BOOKING DETAILS</t>
  </si>
  <si>
    <t>Quotation Date</t>
  </si>
  <si>
    <t>Client Name</t>
  </si>
  <si>
    <t>Route / Area</t>
  </si>
  <si>
    <t>Est. Distance</t>
  </si>
  <si>
    <t>TRUCK &amp; CREW</t>
  </si>
  <si>
    <t>Driver</t>
  </si>
  <si>
    <t>Helper</t>
  </si>
  <si>
    <t>No. of Helpers</t>
  </si>
  <si>
    <t>Included Hours</t>
  </si>
  <si>
    <t>✅ Door-to-door truck transportation
✅ Driver and helper(s) as specified
✅ Standard loading and unloading assistance
✅ Toll and parking fees as estimated
✅ Service within agreed hours and route</t>
  </si>
  <si>
    <t>EXCLUSIONS</t>
  </si>
  <si>
    <t>❌ Packing materials (unless arranged separately)
❌ Undeclared items requiring special handling
❌ Excess hours beyond agreed period (charged extra)</t>
  </si>
  <si>
    <t>PRICING SUMMARY</t>
  </si>
  <si>
    <t>Floor Price (Min Acceptable)</t>
  </si>
  <si>
    <t>Target Price (Recommended)</t>
  </si>
  <si>
    <t>Ceiling Price (Max Market)</t>
  </si>
  <si>
    <t>✅  QUOTED PRICE TO CLIENT</t>
  </si>
  <si>
    <t>VAT Amount</t>
  </si>
  <si>
    <t>TERMS &amp; CONDITIONS</t>
  </si>
  <si>
    <t>1. This quotation is valid for 7 days from date of issue.
2. A 50% deposit may be required upon booking confirmation.
3. Final billing based on actual distance, hours, and scope of work.
4. Excess hours, extra drop-offs, and out-of-scope items billed separately.
5. Joleo Transport is not liable for improperly packed or undeclared items.
6. Route and scheduling subject to truck availability at time of booking.</t>
  </si>
  <si>
    <t>Authorized by: __________________________ | Date: __________________________</t>
  </si>
  <si>
    <t>Prepared by Joleo Transport Operations Team</t>
  </si>
  <si>
    <t>Lipat-Bahay / House Moving</t>
  </si>
  <si>
    <t>Yes</t>
  </si>
  <si>
    <t>VAT-Inclusive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</si>
</sst>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₱#,##0"/>
    <numFmt numFmtId="165" formatCode="0.0%"/>
    <numFmt numFmtId="166" formatCode="0.0"/>
    <numFmt numFmtId="167" formatCode="dd\-mmm\-yyyy"/>
    <numFmt numFmtId="168" formatCode="#,##0.0"/>
    <numFmt numFmtId="169" formatCode="\₱#,##0.00"/>
    <numFmt numFmtId="170" formatCode="\+0.0%;\-0.0%"/>
  </numFmts>
  <fonts count="2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444444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8B"/>
      <name val="Arial"/>
      <family val="2"/>
    </font>
    <font>
      <sz val="9"/>
      <color rgb="FF555555"/>
      <name val="Arial"/>
      <family val="2"/>
    </font>
    <font>
      <sz val="10"/>
      <name val="Arial"/>
      <family val="2"/>
    </font>
    <font>
      <b/>
      <sz val="10"/>
      <color rgb="FF0A6B21"/>
      <name val="Arial"/>
      <family val="2"/>
    </font>
    <font>
      <b/>
      <sz val="20"/>
      <color rgb="FFFFFFFF"/>
      <name val="Arial"/>
      <family val="2"/>
    </font>
    <font>
      <b/>
      <sz val="12"/>
      <color rgb="FFFFFFFF"/>
      <name val="Arial"/>
      <family val="2"/>
    </font>
    <font>
      <i/>
      <sz val="9"/>
      <color rgb="FF555555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3"/>
      <color rgb="FF000000"/>
      <name val="Arial"/>
      <family val="2"/>
    </font>
    <font>
      <sz val="10"/>
      <color rgb="FFCC0000"/>
      <name val="Arial"/>
      <family val="2"/>
    </font>
    <font>
      <b/>
      <sz val="18"/>
      <color rgb="FF0A6B21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22"/>
      <color rgb="FFFFFFFF"/>
      <name val="Arial"/>
      <family val="2"/>
    </font>
    <font>
      <b/>
      <sz val="15"/>
      <color rgb="FFFFFFFF"/>
      <name val="Arial"/>
      <family val="2"/>
    </font>
    <font>
      <b/>
      <sz val="24"/>
      <color rgb="FF0A6B21"/>
      <name val="Arial"/>
      <family val="2"/>
    </font>
    <font>
      <sz val="9"/>
      <name val="Arial"/>
      <family val="2"/>
    </font>
    <font>
      <i/>
      <sz val="9"/>
      <color rgb="FF666666"/>
      <name val="Arial"/>
      <family val="2"/>
    </font>
    <font>
      <i/>
      <sz val="8"/>
      <color rgb="FF88888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FACD"/>
      </patternFill>
    </fill>
    <fill>
      <patternFill patternType="solid">
        <fgColor rgb="FFF9FFF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0FFF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0A6B21"/>
      </patternFill>
    </fill>
    <fill>
      <patternFill patternType="solid">
        <fgColor rgb="FFC00000"/>
      </patternFill>
    </fill>
    <fill>
      <patternFill patternType="solid">
        <fgColor rgb="FFFFE0CC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164" fontId="8" fillId="4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left" vertical="center" wrapText="1"/>
    </xf>
    <xf numFmtId="164" fontId="8" fillId="8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5" fillId="4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left" vertical="center"/>
    </xf>
    <xf numFmtId="165" fontId="7" fillId="0" borderId="1" xfId="0" applyNumberFormat="1" applyFont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 indent="1"/>
    </xf>
    <xf numFmtId="167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68" fontId="6" fillId="5" borderId="1" xfId="0" applyNumberFormat="1" applyFont="1" applyFill="1" applyBorder="1" applyAlignment="1">
      <alignment horizontal="left" vertical="center"/>
    </xf>
    <xf numFmtId="3" fontId="6" fillId="5" borderId="1" xfId="0" applyNumberFormat="1" applyFont="1" applyFill="1" applyBorder="1" applyAlignment="1">
      <alignment horizontal="left" vertical="center"/>
    </xf>
    <xf numFmtId="169" fontId="6" fillId="5" borderId="1" xfId="0" applyNumberFormat="1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left" vertical="center" indent="1"/>
    </xf>
    <xf numFmtId="167" fontId="5" fillId="4" borderId="1" xfId="0" applyNumberFormat="1" applyFont="1" applyFill="1" applyBorder="1" applyAlignment="1">
      <alignment horizontal="left" vertical="center" wrapText="1"/>
    </xf>
    <xf numFmtId="169" fontId="5" fillId="10" borderId="1" xfId="0" applyNumberFormat="1" applyFont="1" applyFill="1" applyBorder="1" applyAlignment="1">
      <alignment horizontal="left" vertical="center" wrapText="1"/>
    </xf>
    <xf numFmtId="169" fontId="18" fillId="11" borderId="1" xfId="0" applyNumberFormat="1" applyFont="1" applyFill="1" applyBorder="1" applyAlignment="1">
      <alignment horizontal="left" vertical="center" wrapText="1"/>
    </xf>
    <xf numFmtId="169" fontId="5" fillId="12" borderId="1" xfId="0" applyNumberFormat="1" applyFont="1" applyFill="1" applyBorder="1" applyAlignment="1">
      <alignment horizontal="left" vertical="center" wrapText="1"/>
    </xf>
    <xf numFmtId="169" fontId="5" fillId="4" borderId="1" xfId="0" applyNumberFormat="1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indent="1"/>
    </xf>
    <xf numFmtId="0" fontId="0" fillId="0" borderId="0" xfId="0"/>
    <xf numFmtId="169" fontId="5" fillId="6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5" fontId="19" fillId="11" borderId="1" xfId="0" applyNumberFormat="1" applyFont="1" applyFill="1" applyBorder="1" applyAlignment="1">
      <alignment horizontal="right" vertical="center"/>
    </xf>
    <xf numFmtId="0" fontId="19" fillId="8" borderId="1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12" fillId="8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/>
    </xf>
    <xf numFmtId="0" fontId="18" fillId="15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170" fontId="8" fillId="8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69" fontId="17" fillId="11" borderId="2" xfId="0" applyNumberFormat="1" applyFont="1" applyFill="1" applyBorder="1" applyAlignment="1">
      <alignment horizontal="right" vertical="center"/>
    </xf>
    <xf numFmtId="0" fontId="18" fillId="11" borderId="1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left" vertical="center" indent="1"/>
    </xf>
    <xf numFmtId="169" fontId="8" fillId="8" borderId="1" xfId="0" applyNumberFormat="1" applyFont="1" applyFill="1" applyBorder="1" applyAlignment="1">
      <alignment horizontal="right" vertical="center"/>
    </xf>
    <xf numFmtId="169" fontId="5" fillId="9" borderId="1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14" fillId="12" borderId="2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left" vertical="center" indent="1"/>
    </xf>
    <xf numFmtId="169" fontId="8" fillId="4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left" vertical="center" indent="1"/>
    </xf>
    <xf numFmtId="169" fontId="13" fillId="7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9" fillId="4" borderId="1" xfId="0" applyFont="1" applyFill="1" applyBorder="1" applyAlignment="1">
      <alignment horizontal="left" vertical="center" indent="1"/>
    </xf>
    <xf numFmtId="0" fontId="18" fillId="12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169" fontId="16" fillId="8" borderId="1" xfId="0" applyNumberFormat="1" applyFont="1" applyFill="1" applyBorder="1" applyAlignment="1">
      <alignment horizontal="right" vertical="center"/>
    </xf>
    <xf numFmtId="0" fontId="18" fillId="15" borderId="1" xfId="0" applyFont="1" applyFill="1" applyBorder="1" applyAlignment="1">
      <alignment horizontal="left" vertical="center" indent="1"/>
    </xf>
    <xf numFmtId="169" fontId="15" fillId="11" borderId="2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left" vertical="center" indent="1"/>
    </xf>
    <xf numFmtId="169" fontId="15" fillId="10" borderId="2" xfId="0" applyNumberFormat="1" applyFont="1" applyFill="1" applyBorder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165" fontId="8" fillId="4" borderId="1" xfId="0" applyNumberFormat="1" applyFont="1" applyFill="1" applyBorder="1" applyAlignment="1">
      <alignment horizontal="right" vertical="center"/>
    </xf>
    <xf numFmtId="0" fontId="18" fillId="11" borderId="1" xfId="0" applyFont="1" applyFill="1" applyBorder="1" applyAlignment="1">
      <alignment horizontal="left" vertical="center" indent="1"/>
    </xf>
    <xf numFmtId="0" fontId="12" fillId="8" borderId="1" xfId="0" applyFont="1" applyFill="1" applyBorder="1" applyAlignment="1">
      <alignment horizontal="left" vertical="center"/>
    </xf>
    <xf numFmtId="169" fontId="15" fillId="12" borderId="2" xfId="0" applyNumberFormat="1" applyFont="1" applyFill="1" applyBorder="1" applyAlignment="1">
      <alignment horizontal="right" vertical="center"/>
    </xf>
    <xf numFmtId="169" fontId="19" fillId="11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 indent="1"/>
    </xf>
    <xf numFmtId="0" fontId="1" fillId="13" borderId="2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8" fillId="10" borderId="1" xfId="0" applyFont="1" applyFill="1" applyBorder="1" applyAlignment="1">
      <alignment horizontal="left" vertical="top" wrapText="1" indent="1"/>
    </xf>
    <xf numFmtId="0" fontId="8" fillId="11" borderId="1" xfId="0" applyFont="1" applyFill="1" applyBorder="1" applyAlignment="1">
      <alignment horizontal="left" vertical="top" wrapText="1" indent="1"/>
    </xf>
    <xf numFmtId="0" fontId="25" fillId="0" borderId="0" xfId="0" applyFont="1" applyAlignment="1">
      <alignment horizontal="center" vertical="center"/>
    </xf>
    <xf numFmtId="169" fontId="22" fillId="11" borderId="2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3" fillId="7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F10"/>
  <sheetViews>
    <sheetView showGridLines="0" workbookViewId="0">
      <selection activeCell="A3" sqref="A3"/>
    </sheetView>
  </sheetViews>
  <sheetFormatPr defaultRowHeight="15" x14ac:dyDescent="0.25"/>
  <cols>
    <col min="1" max="1" width="22" customWidth="1"/>
    <col min="2" max="2" width="44" customWidth="1"/>
    <col min="3" max="3" width="24" customWidth="1"/>
    <col min="4" max="4" width="20" customWidth="1"/>
    <col min="5" max="5" width="16" customWidth="1"/>
    <col min="6" max="6" width="32" customWidth="1"/>
  </cols>
  <sheetData>
    <row r="1" spans="1:6" ht="32.1" customHeight="1" x14ac:dyDescent="0.25">
      <c r="A1" s="74" t="s">
        <v>96</v>
      </c>
      <c r="B1" s="30"/>
      <c r="C1" s="30"/>
      <c r="D1" s="30"/>
      <c r="E1" s="30"/>
      <c r="F1" s="30"/>
    </row>
    <row r="2" spans="1:6" ht="21.95" customHeight="1" x14ac:dyDescent="0.25">
      <c r="A2" s="1" t="s">
        <v>97</v>
      </c>
      <c r="B2" s="1" t="s">
        <v>98</v>
      </c>
      <c r="C2" s="1" t="s">
        <v>99</v>
      </c>
      <c r="D2" s="1" t="s">
        <v>100</v>
      </c>
      <c r="E2" s="1" t="s">
        <v>101</v>
      </c>
      <c r="F2" s="1" t="s">
        <v>102</v>
      </c>
    </row>
    <row r="3" spans="1:6" ht="39.950000000000003" customHeight="1" x14ac:dyDescent="0.25">
      <c r="A3" s="2" t="s">
        <v>103</v>
      </c>
      <c r="B3" s="2" t="s">
        <v>104</v>
      </c>
      <c r="C3" s="2" t="s">
        <v>105</v>
      </c>
      <c r="D3" s="3">
        <v>0</v>
      </c>
      <c r="E3" s="3">
        <v>0</v>
      </c>
      <c r="F3" s="2" t="s">
        <v>106</v>
      </c>
    </row>
    <row r="4" spans="1:6" ht="39.950000000000003" customHeight="1" x14ac:dyDescent="0.25">
      <c r="A4" s="4" t="s">
        <v>107</v>
      </c>
      <c r="B4" s="4" t="s">
        <v>108</v>
      </c>
      <c r="C4" s="4" t="s">
        <v>109</v>
      </c>
      <c r="D4" s="5">
        <v>500</v>
      </c>
      <c r="E4" s="5">
        <v>500</v>
      </c>
      <c r="F4" s="4" t="s">
        <v>110</v>
      </c>
    </row>
    <row r="5" spans="1:6" ht="39.950000000000003" customHeight="1" x14ac:dyDescent="0.25">
      <c r="A5" s="2" t="s">
        <v>111</v>
      </c>
      <c r="B5" s="2" t="s">
        <v>112</v>
      </c>
      <c r="C5" s="2" t="s">
        <v>113</v>
      </c>
      <c r="D5" s="3">
        <v>500</v>
      </c>
      <c r="E5" s="3">
        <v>300</v>
      </c>
      <c r="F5" s="2" t="s">
        <v>110</v>
      </c>
    </row>
    <row r="6" spans="1:6" ht="39.950000000000003" customHeight="1" x14ac:dyDescent="0.25">
      <c r="A6" s="4" t="s">
        <v>114</v>
      </c>
      <c r="B6" s="4" t="s">
        <v>115</v>
      </c>
      <c r="C6" s="4" t="s">
        <v>116</v>
      </c>
      <c r="D6" s="5">
        <v>1500</v>
      </c>
      <c r="E6" s="5">
        <v>800</v>
      </c>
      <c r="F6" s="4" t="s">
        <v>117</v>
      </c>
    </row>
    <row r="7" spans="1:6" ht="39.950000000000003" customHeight="1" x14ac:dyDescent="0.25">
      <c r="A7" s="2" t="s">
        <v>118</v>
      </c>
      <c r="B7" s="2" t="s">
        <v>119</v>
      </c>
      <c r="C7" s="2" t="s">
        <v>120</v>
      </c>
      <c r="D7" s="3">
        <v>1000</v>
      </c>
      <c r="E7" s="3">
        <v>400</v>
      </c>
      <c r="F7" s="2" t="s">
        <v>117</v>
      </c>
    </row>
    <row r="8" spans="1:6" ht="39.950000000000003" customHeight="1" x14ac:dyDescent="0.25">
      <c r="A8" s="4" t="s">
        <v>121</v>
      </c>
      <c r="B8" s="4" t="s">
        <v>122</v>
      </c>
      <c r="C8" s="4" t="s">
        <v>123</v>
      </c>
      <c r="D8" s="5">
        <v>1500</v>
      </c>
      <c r="E8" s="5">
        <v>1000</v>
      </c>
      <c r="F8" s="4" t="s">
        <v>124</v>
      </c>
    </row>
    <row r="9" spans="1:6" ht="39.950000000000003" customHeight="1" x14ac:dyDescent="0.25">
      <c r="A9" s="2" t="s">
        <v>125</v>
      </c>
      <c r="B9" s="2" t="s">
        <v>126</v>
      </c>
      <c r="C9" s="2" t="s">
        <v>127</v>
      </c>
      <c r="D9" s="3">
        <v>2000</v>
      </c>
      <c r="E9" s="3">
        <v>500</v>
      </c>
      <c r="F9" s="2" t="s">
        <v>128</v>
      </c>
    </row>
    <row r="10" spans="1:6" ht="39.950000000000003" customHeight="1" x14ac:dyDescent="0.25">
      <c r="A10" s="4" t="s">
        <v>129</v>
      </c>
      <c r="B10" s="4" t="s">
        <v>130</v>
      </c>
      <c r="C10" s="4" t="s">
        <v>131</v>
      </c>
      <c r="D10" s="5">
        <v>3000</v>
      </c>
      <c r="E10" s="5">
        <v>1000</v>
      </c>
      <c r="F10" s="4" t="s">
        <v>132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F9"/>
  <sheetViews>
    <sheetView showGridLines="0" workbookViewId="0">
      <selection sqref="A1:F1"/>
    </sheetView>
  </sheetViews>
  <sheetFormatPr defaultRowHeight="15" x14ac:dyDescent="0.25"/>
  <cols>
    <col min="1" max="1" width="12" customWidth="1"/>
    <col min="2" max="2" width="32" customWidth="1"/>
    <col min="3" max="3" width="18" customWidth="1"/>
    <col min="4" max="4" width="20" customWidth="1"/>
    <col min="5" max="5" width="12" customWidth="1"/>
    <col min="6" max="6" width="28" customWidth="1"/>
  </cols>
  <sheetData>
    <row r="1" spans="1:6" ht="32.1" customHeight="1" x14ac:dyDescent="0.25">
      <c r="A1" s="74" t="s">
        <v>133</v>
      </c>
      <c r="B1" s="30"/>
      <c r="C1" s="30"/>
      <c r="D1" s="30"/>
      <c r="E1" s="30"/>
      <c r="F1" s="30"/>
    </row>
    <row r="2" spans="1:6" ht="21.95" customHeight="1" x14ac:dyDescent="0.25">
      <c r="A2" s="1" t="s">
        <v>134</v>
      </c>
      <c r="B2" s="1" t="s">
        <v>135</v>
      </c>
      <c r="C2" s="1" t="s">
        <v>136</v>
      </c>
      <c r="D2" s="1" t="s">
        <v>137</v>
      </c>
      <c r="E2" s="1" t="s">
        <v>138</v>
      </c>
      <c r="F2" s="1" t="s">
        <v>102</v>
      </c>
    </row>
    <row r="3" spans="1:6" ht="18" customHeight="1" x14ac:dyDescent="0.25">
      <c r="A3" s="6" t="s">
        <v>139</v>
      </c>
      <c r="B3" s="6" t="s">
        <v>140</v>
      </c>
      <c r="C3" s="7">
        <v>600</v>
      </c>
      <c r="D3" s="7">
        <v>100</v>
      </c>
      <c r="E3" s="8" t="s">
        <v>141</v>
      </c>
      <c r="F3" s="6"/>
    </row>
    <row r="4" spans="1:6" ht="18" customHeight="1" x14ac:dyDescent="0.25">
      <c r="A4" s="6" t="s">
        <v>142</v>
      </c>
      <c r="B4" s="6" t="s">
        <v>143</v>
      </c>
      <c r="C4" s="7">
        <v>600</v>
      </c>
      <c r="D4" s="7">
        <v>100</v>
      </c>
      <c r="E4" s="8" t="s">
        <v>141</v>
      </c>
      <c r="F4" s="6"/>
    </row>
    <row r="5" spans="1:6" ht="18" customHeight="1" x14ac:dyDescent="0.25">
      <c r="A5" s="6" t="s">
        <v>144</v>
      </c>
      <c r="B5" s="6" t="s">
        <v>145</v>
      </c>
      <c r="C5" s="7">
        <v>600</v>
      </c>
      <c r="D5" s="7">
        <v>100</v>
      </c>
      <c r="E5" s="8" t="s">
        <v>141</v>
      </c>
      <c r="F5" s="6"/>
    </row>
    <row r="6" spans="1:6" ht="18" customHeight="1" x14ac:dyDescent="0.25">
      <c r="A6" s="6" t="s">
        <v>146</v>
      </c>
      <c r="B6" s="6" t="s">
        <v>147</v>
      </c>
      <c r="C6" s="7">
        <v>600</v>
      </c>
      <c r="D6" s="7">
        <v>100</v>
      </c>
      <c r="E6" s="8" t="s">
        <v>141</v>
      </c>
      <c r="F6" s="6"/>
    </row>
    <row r="7" spans="1:6" ht="18" customHeight="1" x14ac:dyDescent="0.25">
      <c r="A7" s="6" t="s">
        <v>148</v>
      </c>
      <c r="B7" s="6" t="s">
        <v>149</v>
      </c>
      <c r="C7" s="7">
        <v>600</v>
      </c>
      <c r="D7" s="7">
        <v>100</v>
      </c>
      <c r="E7" s="8" t="s">
        <v>141</v>
      </c>
      <c r="F7" s="6"/>
    </row>
    <row r="8" spans="1:6" ht="18" customHeight="1" x14ac:dyDescent="0.25">
      <c r="A8" s="6" t="s">
        <v>150</v>
      </c>
      <c r="B8" s="6" t="s">
        <v>151</v>
      </c>
      <c r="C8" s="7">
        <v>600</v>
      </c>
      <c r="D8" s="7">
        <v>100</v>
      </c>
      <c r="E8" s="8" t="s">
        <v>141</v>
      </c>
      <c r="F8" s="6"/>
    </row>
    <row r="9" spans="1:6" ht="18" customHeight="1" x14ac:dyDescent="0.25">
      <c r="A9" s="6" t="s">
        <v>152</v>
      </c>
      <c r="B9" s="6" t="s">
        <v>153</v>
      </c>
      <c r="C9" s="7">
        <v>600</v>
      </c>
      <c r="D9" s="7">
        <v>100</v>
      </c>
      <c r="E9" s="8" t="s">
        <v>141</v>
      </c>
      <c r="F9" s="6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F11"/>
  <sheetViews>
    <sheetView showGridLines="0" workbookViewId="0">
      <selection sqref="A1:F1"/>
    </sheetView>
  </sheetViews>
  <sheetFormatPr defaultRowHeight="15" x14ac:dyDescent="0.25"/>
  <cols>
    <col min="1" max="1" width="12" customWidth="1"/>
    <col min="2" max="2" width="32" customWidth="1"/>
    <col min="3" max="3" width="18" customWidth="1"/>
    <col min="4" max="4" width="20" customWidth="1"/>
    <col min="5" max="5" width="12" customWidth="1"/>
    <col min="6" max="6" width="28" customWidth="1"/>
  </cols>
  <sheetData>
    <row r="1" spans="1:6" ht="32.1" customHeight="1" x14ac:dyDescent="0.25">
      <c r="A1" s="74" t="s">
        <v>154</v>
      </c>
      <c r="B1" s="30"/>
      <c r="C1" s="30"/>
      <c r="D1" s="30"/>
      <c r="E1" s="30"/>
      <c r="F1" s="30"/>
    </row>
    <row r="2" spans="1:6" ht="21.95" customHeight="1" x14ac:dyDescent="0.25">
      <c r="A2" s="1" t="s">
        <v>155</v>
      </c>
      <c r="B2" s="1" t="s">
        <v>156</v>
      </c>
      <c r="C2" s="1" t="s">
        <v>136</v>
      </c>
      <c r="D2" s="1" t="s">
        <v>137</v>
      </c>
      <c r="E2" s="1" t="s">
        <v>138</v>
      </c>
      <c r="F2" s="1" t="s">
        <v>102</v>
      </c>
    </row>
    <row r="3" spans="1:6" ht="18" customHeight="1" x14ac:dyDescent="0.25">
      <c r="A3" s="6" t="s">
        <v>157</v>
      </c>
      <c r="B3" s="6" t="s">
        <v>158</v>
      </c>
      <c r="C3" s="7">
        <v>800</v>
      </c>
      <c r="D3" s="7">
        <v>150</v>
      </c>
      <c r="E3" s="8" t="s">
        <v>141</v>
      </c>
      <c r="F3" s="6"/>
    </row>
    <row r="4" spans="1:6" ht="18" customHeight="1" x14ac:dyDescent="0.25">
      <c r="A4" s="6" t="s">
        <v>146</v>
      </c>
      <c r="B4" s="6" t="s">
        <v>159</v>
      </c>
      <c r="C4" s="7">
        <v>800</v>
      </c>
      <c r="D4" s="7">
        <v>150</v>
      </c>
      <c r="E4" s="8" t="s">
        <v>141</v>
      </c>
      <c r="F4" s="6"/>
    </row>
    <row r="5" spans="1:6" ht="18" customHeight="1" x14ac:dyDescent="0.25">
      <c r="A5" s="6" t="s">
        <v>160</v>
      </c>
      <c r="B5" s="6" t="s">
        <v>161</v>
      </c>
      <c r="C5" s="7">
        <v>800</v>
      </c>
      <c r="D5" s="7">
        <v>150</v>
      </c>
      <c r="E5" s="8" t="s">
        <v>141</v>
      </c>
      <c r="F5" s="6"/>
    </row>
    <row r="6" spans="1:6" ht="18" customHeight="1" x14ac:dyDescent="0.25">
      <c r="A6" s="6" t="s">
        <v>162</v>
      </c>
      <c r="B6" s="6" t="s">
        <v>163</v>
      </c>
      <c r="C6" s="7">
        <v>800</v>
      </c>
      <c r="D6" s="7">
        <v>150</v>
      </c>
      <c r="E6" s="8" t="s">
        <v>141</v>
      </c>
      <c r="F6" s="6"/>
    </row>
    <row r="7" spans="1:6" ht="18" customHeight="1" x14ac:dyDescent="0.25">
      <c r="A7" s="6" t="s">
        <v>164</v>
      </c>
      <c r="B7" s="6" t="s">
        <v>165</v>
      </c>
      <c r="C7" s="7">
        <v>800</v>
      </c>
      <c r="D7" s="7">
        <v>150</v>
      </c>
      <c r="E7" s="8" t="s">
        <v>141</v>
      </c>
      <c r="F7" s="6"/>
    </row>
    <row r="8" spans="1:6" ht="18" customHeight="1" x14ac:dyDescent="0.25">
      <c r="A8" s="6" t="s">
        <v>166</v>
      </c>
      <c r="B8" s="6" t="s">
        <v>167</v>
      </c>
      <c r="C8" s="7">
        <v>800</v>
      </c>
      <c r="D8" s="7">
        <v>150</v>
      </c>
      <c r="E8" s="8" t="s">
        <v>141</v>
      </c>
      <c r="F8" s="6"/>
    </row>
    <row r="9" spans="1:6" ht="18" customHeight="1" x14ac:dyDescent="0.25">
      <c r="A9" s="6" t="s">
        <v>168</v>
      </c>
      <c r="B9" s="6" t="s">
        <v>169</v>
      </c>
      <c r="C9" s="7">
        <v>800</v>
      </c>
      <c r="D9" s="7">
        <v>150</v>
      </c>
      <c r="E9" s="8" t="s">
        <v>141</v>
      </c>
      <c r="F9" s="6"/>
    </row>
    <row r="10" spans="1:6" ht="18" customHeight="1" x14ac:dyDescent="0.25">
      <c r="A10" s="6" t="s">
        <v>142</v>
      </c>
      <c r="B10" s="6" t="s">
        <v>170</v>
      </c>
      <c r="C10" s="7">
        <v>800</v>
      </c>
      <c r="D10" s="7">
        <v>150</v>
      </c>
      <c r="E10" s="8" t="s">
        <v>141</v>
      </c>
      <c r="F10" s="6"/>
    </row>
    <row r="11" spans="1:6" ht="18" customHeight="1" x14ac:dyDescent="0.25">
      <c r="A11" s="6" t="s">
        <v>171</v>
      </c>
      <c r="B11" s="6" t="s">
        <v>172</v>
      </c>
      <c r="C11" s="7">
        <v>800</v>
      </c>
      <c r="D11" s="7">
        <v>150</v>
      </c>
      <c r="E11" s="8" t="s">
        <v>141</v>
      </c>
      <c r="F11" s="6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K21"/>
  <sheetViews>
    <sheetView showGridLines="0" workbookViewId="0">
      <selection activeCell="A3" sqref="A3"/>
    </sheetView>
  </sheetViews>
  <sheetFormatPr defaultRowHeight="15" x14ac:dyDescent="0.25"/>
  <cols>
    <col min="1" max="1" width="9" customWidth="1"/>
    <col min="2" max="2" width="12" customWidth="1"/>
    <col min="3" max="3" width="30" customWidth="1"/>
    <col min="4" max="4" width="12" customWidth="1"/>
    <col min="5" max="5" width="14" customWidth="1"/>
    <col min="6" max="6" width="18" customWidth="1"/>
    <col min="7" max="7" width="20" customWidth="1"/>
    <col min="8" max="8" width="18" customWidth="1"/>
    <col min="9" max="9" width="20" customWidth="1"/>
    <col min="10" max="10" width="12" customWidth="1"/>
    <col min="11" max="11" width="20" customWidth="1"/>
  </cols>
  <sheetData>
    <row r="1" spans="1:11" ht="32.1" customHeight="1" x14ac:dyDescent="0.25">
      <c r="A1" s="74" t="s">
        <v>173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21.95" customHeight="1" x14ac:dyDescent="0.25">
      <c r="A2" s="1" t="s">
        <v>174</v>
      </c>
      <c r="B2" s="1" t="s">
        <v>175</v>
      </c>
      <c r="C2" s="1" t="s">
        <v>176</v>
      </c>
      <c r="D2" s="1" t="s">
        <v>177</v>
      </c>
      <c r="E2" s="1" t="s">
        <v>178</v>
      </c>
      <c r="F2" s="1" t="s">
        <v>179</v>
      </c>
      <c r="G2" s="1" t="s">
        <v>180</v>
      </c>
      <c r="H2" s="1" t="s">
        <v>136</v>
      </c>
      <c r="I2" s="1" t="s">
        <v>181</v>
      </c>
      <c r="J2" s="1" t="s">
        <v>138</v>
      </c>
      <c r="K2" s="1" t="s">
        <v>102</v>
      </c>
    </row>
    <row r="3" spans="1:11" ht="18" customHeight="1" x14ac:dyDescent="0.25">
      <c r="A3" s="6" t="s">
        <v>182</v>
      </c>
      <c r="B3" s="6" t="s">
        <v>183</v>
      </c>
      <c r="C3" s="6" t="s">
        <v>184</v>
      </c>
      <c r="D3" s="6">
        <v>10</v>
      </c>
      <c r="E3" s="6" t="s">
        <v>185</v>
      </c>
      <c r="F3" s="9">
        <v>7.5</v>
      </c>
      <c r="G3" s="10">
        <f>'RATE SETTINGS'!$B$38</f>
        <v>2500</v>
      </c>
      <c r="H3" s="10">
        <f>'RATE SETTINGS'!$B$38</f>
        <v>2500</v>
      </c>
      <c r="I3" s="7">
        <v>150</v>
      </c>
      <c r="J3" s="8" t="s">
        <v>141</v>
      </c>
      <c r="K3" s="11"/>
    </row>
    <row r="4" spans="1:11" ht="18" customHeight="1" x14ac:dyDescent="0.25">
      <c r="A4" s="6" t="s">
        <v>186</v>
      </c>
      <c r="B4" s="6" t="s">
        <v>187</v>
      </c>
      <c r="C4" s="6" t="s">
        <v>188</v>
      </c>
      <c r="D4" s="6">
        <v>14</v>
      </c>
      <c r="E4" s="6" t="s">
        <v>189</v>
      </c>
      <c r="F4" s="9">
        <v>5</v>
      </c>
      <c r="G4" s="10">
        <f>'RATE SETTINGS'!$B$41</f>
        <v>4500</v>
      </c>
      <c r="H4" s="10">
        <f>'RATE SETTINGS'!$B$41</f>
        <v>4500</v>
      </c>
      <c r="I4" s="7">
        <v>200</v>
      </c>
      <c r="J4" s="8" t="s">
        <v>141</v>
      </c>
      <c r="K4" s="11"/>
    </row>
    <row r="5" spans="1:11" ht="18" customHeight="1" x14ac:dyDescent="0.25">
      <c r="A5" s="6" t="s">
        <v>190</v>
      </c>
      <c r="B5" s="6" t="s">
        <v>191</v>
      </c>
      <c r="C5" s="6" t="s">
        <v>192</v>
      </c>
      <c r="D5" s="6">
        <v>16</v>
      </c>
      <c r="E5" s="6" t="s">
        <v>189</v>
      </c>
      <c r="F5" s="9">
        <v>4.5</v>
      </c>
      <c r="G5" s="10">
        <f>'RATE SETTINGS'!$B$42</f>
        <v>6000</v>
      </c>
      <c r="H5" s="10">
        <f>'RATE SETTINGS'!$B$42</f>
        <v>6000</v>
      </c>
      <c r="I5" s="7">
        <v>250</v>
      </c>
      <c r="J5" s="8" t="s">
        <v>141</v>
      </c>
      <c r="K5" s="11"/>
    </row>
    <row r="6" spans="1:11" ht="18" customHeight="1" x14ac:dyDescent="0.25">
      <c r="A6" s="6" t="s">
        <v>193</v>
      </c>
      <c r="B6" s="6" t="s">
        <v>194</v>
      </c>
      <c r="C6" s="6" t="s">
        <v>195</v>
      </c>
      <c r="D6" s="6">
        <v>12</v>
      </c>
      <c r="E6" s="6" t="s">
        <v>189</v>
      </c>
      <c r="F6" s="9">
        <v>6</v>
      </c>
      <c r="G6" s="10">
        <f>'RATE SETTINGS'!$B$40</f>
        <v>3500</v>
      </c>
      <c r="H6" s="10">
        <f>'RATE SETTINGS'!$B$40</f>
        <v>3500</v>
      </c>
      <c r="I6" s="7">
        <v>175</v>
      </c>
      <c r="J6" s="8" t="s">
        <v>141</v>
      </c>
      <c r="K6" s="11"/>
    </row>
    <row r="7" spans="1:11" ht="18" customHeight="1" x14ac:dyDescent="0.25">
      <c r="A7" s="6" t="s">
        <v>196</v>
      </c>
      <c r="B7" s="6" t="s">
        <v>197</v>
      </c>
      <c r="C7" s="6" t="s">
        <v>198</v>
      </c>
      <c r="D7" s="6">
        <v>20</v>
      </c>
      <c r="E7" s="6" t="s">
        <v>189</v>
      </c>
      <c r="F7" s="9">
        <v>3.5</v>
      </c>
      <c r="G7" s="10">
        <f>'RATE SETTINGS'!$B$43</f>
        <v>8000</v>
      </c>
      <c r="H7" s="10">
        <f>'RATE SETTINGS'!$B$43</f>
        <v>8000</v>
      </c>
      <c r="I7" s="7">
        <v>300</v>
      </c>
      <c r="J7" s="8" t="s">
        <v>141</v>
      </c>
      <c r="K7" s="11"/>
    </row>
    <row r="8" spans="1:11" ht="18" customHeight="1" x14ac:dyDescent="0.25">
      <c r="A8" s="6" t="s">
        <v>199</v>
      </c>
      <c r="B8" s="6" t="s">
        <v>200</v>
      </c>
      <c r="C8" s="6" t="s">
        <v>188</v>
      </c>
      <c r="D8" s="6">
        <v>14</v>
      </c>
      <c r="E8" s="6" t="s">
        <v>189</v>
      </c>
      <c r="F8" s="9">
        <v>5</v>
      </c>
      <c r="G8" s="10">
        <f>'RATE SETTINGS'!$B$41</f>
        <v>4500</v>
      </c>
      <c r="H8" s="10">
        <f>'RATE SETTINGS'!$B$41</f>
        <v>4500</v>
      </c>
      <c r="I8" s="7">
        <v>200</v>
      </c>
      <c r="J8" s="8" t="s">
        <v>141</v>
      </c>
      <c r="K8" s="11"/>
    </row>
    <row r="9" spans="1:11" ht="18" customHeight="1" x14ac:dyDescent="0.25">
      <c r="A9" s="6" t="s">
        <v>201</v>
      </c>
      <c r="B9" s="6" t="s">
        <v>202</v>
      </c>
      <c r="C9" s="6" t="s">
        <v>188</v>
      </c>
      <c r="D9" s="6">
        <v>14</v>
      </c>
      <c r="E9" s="6" t="s">
        <v>189</v>
      </c>
      <c r="F9" s="9">
        <v>5</v>
      </c>
      <c r="G9" s="10">
        <f>'RATE SETTINGS'!$B$41</f>
        <v>4500</v>
      </c>
      <c r="H9" s="10">
        <f>'RATE SETTINGS'!$B$41</f>
        <v>4500</v>
      </c>
      <c r="I9" s="7">
        <v>200</v>
      </c>
      <c r="J9" s="8" t="s">
        <v>141</v>
      </c>
      <c r="K9" s="11"/>
    </row>
    <row r="10" spans="1:11" ht="18" customHeight="1" x14ac:dyDescent="0.25">
      <c r="A10" s="6" t="s">
        <v>203</v>
      </c>
      <c r="B10" s="6" t="s">
        <v>204</v>
      </c>
      <c r="C10" s="6" t="s">
        <v>205</v>
      </c>
      <c r="D10" s="6">
        <v>10</v>
      </c>
      <c r="E10" s="6" t="s">
        <v>189</v>
      </c>
      <c r="F10" s="9">
        <v>6.5</v>
      </c>
      <c r="G10" s="10">
        <f>'RATE SETTINGS'!$B$39</f>
        <v>3000</v>
      </c>
      <c r="H10" s="10">
        <f>'RATE SETTINGS'!$B$39</f>
        <v>3000</v>
      </c>
      <c r="I10" s="7">
        <v>150</v>
      </c>
      <c r="J10" s="8" t="s">
        <v>141</v>
      </c>
      <c r="K10" s="11"/>
    </row>
    <row r="11" spans="1:11" ht="18" customHeight="1" x14ac:dyDescent="0.25">
      <c r="A11" s="6" t="s">
        <v>206</v>
      </c>
      <c r="B11" s="6" t="s">
        <v>207</v>
      </c>
      <c r="C11" s="6" t="s">
        <v>184</v>
      </c>
      <c r="D11" s="6">
        <v>10</v>
      </c>
      <c r="E11" s="6" t="s">
        <v>185</v>
      </c>
      <c r="F11" s="9">
        <v>7.5</v>
      </c>
      <c r="G11" s="10">
        <f>'RATE SETTINGS'!$B$38</f>
        <v>2500</v>
      </c>
      <c r="H11" s="10">
        <f>'RATE SETTINGS'!$B$38</f>
        <v>2500</v>
      </c>
      <c r="I11" s="7">
        <v>150</v>
      </c>
      <c r="J11" s="8" t="s">
        <v>141</v>
      </c>
      <c r="K11" s="11"/>
    </row>
    <row r="12" spans="1:11" ht="18" customHeight="1" x14ac:dyDescent="0.25">
      <c r="A12" s="6" t="s">
        <v>208</v>
      </c>
      <c r="B12" s="6" t="s">
        <v>209</v>
      </c>
      <c r="C12" s="6" t="s">
        <v>184</v>
      </c>
      <c r="D12" s="6">
        <v>10</v>
      </c>
      <c r="E12" s="6" t="s">
        <v>185</v>
      </c>
      <c r="F12" s="9">
        <v>7.5</v>
      </c>
      <c r="G12" s="10">
        <f>'RATE SETTINGS'!$B$38</f>
        <v>2500</v>
      </c>
      <c r="H12" s="10">
        <f>'RATE SETTINGS'!$B$38</f>
        <v>2500</v>
      </c>
      <c r="I12" s="7">
        <v>150</v>
      </c>
      <c r="J12" s="8" t="s">
        <v>141</v>
      </c>
      <c r="K12" s="11"/>
    </row>
    <row r="13" spans="1:11" ht="18" customHeight="1" x14ac:dyDescent="0.25">
      <c r="A13" s="6" t="s">
        <v>210</v>
      </c>
      <c r="B13" s="6" t="s">
        <v>211</v>
      </c>
      <c r="C13" s="6" t="s">
        <v>184</v>
      </c>
      <c r="D13" s="6">
        <v>10</v>
      </c>
      <c r="E13" s="6" t="s">
        <v>185</v>
      </c>
      <c r="F13" s="9">
        <v>7.5</v>
      </c>
      <c r="G13" s="10">
        <f>'RATE SETTINGS'!$B$38</f>
        <v>2500</v>
      </c>
      <c r="H13" s="10">
        <f>'RATE SETTINGS'!$B$38</f>
        <v>2500</v>
      </c>
      <c r="I13" s="7">
        <v>150</v>
      </c>
      <c r="J13" s="8" t="s">
        <v>141</v>
      </c>
      <c r="K13" s="11"/>
    </row>
    <row r="14" spans="1:11" ht="18" customHeight="1" x14ac:dyDescent="0.25">
      <c r="A14" s="6" t="s">
        <v>212</v>
      </c>
      <c r="B14" s="6" t="s">
        <v>213</v>
      </c>
      <c r="C14" s="6" t="s">
        <v>184</v>
      </c>
      <c r="D14" s="6">
        <v>10</v>
      </c>
      <c r="E14" s="6" t="s">
        <v>185</v>
      </c>
      <c r="F14" s="9">
        <v>7.5</v>
      </c>
      <c r="G14" s="10">
        <f>'RATE SETTINGS'!$B$38</f>
        <v>2500</v>
      </c>
      <c r="H14" s="10">
        <f>'RATE SETTINGS'!$B$38</f>
        <v>2500</v>
      </c>
      <c r="I14" s="7">
        <v>150</v>
      </c>
      <c r="J14" s="8" t="s">
        <v>141</v>
      </c>
      <c r="K14" s="11"/>
    </row>
    <row r="15" spans="1:11" ht="18" customHeight="1" x14ac:dyDescent="0.25">
      <c r="A15" s="6" t="s">
        <v>214</v>
      </c>
      <c r="B15" s="6" t="s">
        <v>215</v>
      </c>
      <c r="C15" s="6" t="s">
        <v>205</v>
      </c>
      <c r="D15" s="6">
        <v>10</v>
      </c>
      <c r="E15" s="6" t="s">
        <v>189</v>
      </c>
      <c r="F15" s="9">
        <v>6.5</v>
      </c>
      <c r="G15" s="10">
        <f>'RATE SETTINGS'!$B$39</f>
        <v>3000</v>
      </c>
      <c r="H15" s="10">
        <f>'RATE SETTINGS'!$B$39</f>
        <v>3000</v>
      </c>
      <c r="I15" s="7">
        <v>150</v>
      </c>
      <c r="J15" s="8" t="s">
        <v>141</v>
      </c>
      <c r="K15" s="11"/>
    </row>
    <row r="16" spans="1:11" ht="18" customHeight="1" x14ac:dyDescent="0.25">
      <c r="A16" s="6" t="s">
        <v>216</v>
      </c>
      <c r="B16" s="6" t="s">
        <v>217</v>
      </c>
      <c r="C16" s="6" t="s">
        <v>188</v>
      </c>
      <c r="D16" s="6">
        <v>14</v>
      </c>
      <c r="E16" s="6" t="s">
        <v>189</v>
      </c>
      <c r="F16" s="9">
        <v>5</v>
      </c>
      <c r="G16" s="10">
        <f>'RATE SETTINGS'!$B$41</f>
        <v>4500</v>
      </c>
      <c r="H16" s="10">
        <f>'RATE SETTINGS'!$B$41</f>
        <v>4500</v>
      </c>
      <c r="I16" s="7">
        <v>200</v>
      </c>
      <c r="J16" s="8" t="s">
        <v>141</v>
      </c>
      <c r="K16" s="11"/>
    </row>
    <row r="17" spans="1:11" ht="18" customHeight="1" x14ac:dyDescent="0.25">
      <c r="A17" s="6" t="s">
        <v>218</v>
      </c>
      <c r="B17" s="6" t="s">
        <v>219</v>
      </c>
      <c r="C17" s="6" t="s">
        <v>184</v>
      </c>
      <c r="D17" s="6">
        <v>10</v>
      </c>
      <c r="E17" s="6" t="s">
        <v>185</v>
      </c>
      <c r="F17" s="9">
        <v>7.5</v>
      </c>
      <c r="G17" s="10">
        <f>'RATE SETTINGS'!$B$38</f>
        <v>2500</v>
      </c>
      <c r="H17" s="10">
        <f>'RATE SETTINGS'!$B$38</f>
        <v>2500</v>
      </c>
      <c r="I17" s="7">
        <v>150</v>
      </c>
      <c r="J17" s="8" t="s">
        <v>141</v>
      </c>
      <c r="K17" s="11"/>
    </row>
    <row r="18" spans="1:11" ht="18" customHeight="1" x14ac:dyDescent="0.25">
      <c r="A18" s="6" t="s">
        <v>220</v>
      </c>
      <c r="B18" s="6" t="s">
        <v>221</v>
      </c>
      <c r="C18" s="6" t="s">
        <v>188</v>
      </c>
      <c r="D18" s="6">
        <v>14</v>
      </c>
      <c r="E18" s="6" t="s">
        <v>189</v>
      </c>
      <c r="F18" s="9">
        <v>5</v>
      </c>
      <c r="G18" s="10">
        <f>'RATE SETTINGS'!$B$41</f>
        <v>4500</v>
      </c>
      <c r="H18" s="10">
        <f>'RATE SETTINGS'!$B$41</f>
        <v>4500</v>
      </c>
      <c r="I18" s="7">
        <v>200</v>
      </c>
      <c r="J18" s="8" t="s">
        <v>141</v>
      </c>
      <c r="K18" s="11"/>
    </row>
    <row r="19" spans="1:11" ht="18" customHeight="1" x14ac:dyDescent="0.25">
      <c r="A19" s="6" t="s">
        <v>222</v>
      </c>
      <c r="B19" s="6" t="s">
        <v>223</v>
      </c>
      <c r="C19" s="6" t="s">
        <v>224</v>
      </c>
      <c r="D19" s="6">
        <v>16</v>
      </c>
      <c r="E19" s="6" t="s">
        <v>189</v>
      </c>
      <c r="F19" s="9">
        <v>4.5</v>
      </c>
      <c r="G19" s="10">
        <f>'RATE SETTINGS'!$B$44</f>
        <v>5000</v>
      </c>
      <c r="H19" s="10">
        <f>'RATE SETTINGS'!$B$44</f>
        <v>5000</v>
      </c>
      <c r="I19" s="7">
        <v>250</v>
      </c>
      <c r="J19" s="8" t="s">
        <v>141</v>
      </c>
      <c r="K19" s="11"/>
    </row>
    <row r="21" spans="1:11" x14ac:dyDescent="0.25">
      <c r="A21" s="75" t="s">
        <v>225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</row>
  </sheetData>
  <mergeCells count="2">
    <mergeCell ref="A21:K21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E44"/>
  <sheetViews>
    <sheetView showGridLines="0" topLeftCell="A23" workbookViewId="0">
      <selection activeCell="B33" sqref="B33"/>
    </sheetView>
  </sheetViews>
  <sheetFormatPr defaultRowHeight="15" x14ac:dyDescent="0.25"/>
  <cols>
    <col min="1" max="1" width="40" customWidth="1"/>
    <col min="2" max="2" width="18" customWidth="1"/>
    <col min="3" max="3" width="40" customWidth="1"/>
    <col min="4" max="5" width="16" customWidth="1"/>
  </cols>
  <sheetData>
    <row r="1" spans="1:5" ht="32.1" customHeight="1" x14ac:dyDescent="0.25">
      <c r="A1" s="74" t="s">
        <v>226</v>
      </c>
      <c r="B1" s="30"/>
      <c r="C1" s="30"/>
      <c r="D1" s="30"/>
      <c r="E1" s="30"/>
    </row>
    <row r="2" spans="1:5" ht="15" customHeight="1" x14ac:dyDescent="0.25">
      <c r="A2" s="58" t="s">
        <v>227</v>
      </c>
      <c r="B2" s="30"/>
      <c r="C2" s="30"/>
      <c r="D2" s="30"/>
      <c r="E2" s="30"/>
    </row>
    <row r="3" spans="1:5" ht="21.95" customHeight="1" x14ac:dyDescent="0.25">
      <c r="A3" s="1" t="s">
        <v>228</v>
      </c>
      <c r="B3" s="1" t="s">
        <v>229</v>
      </c>
      <c r="C3" s="1" t="s">
        <v>230</v>
      </c>
      <c r="D3" s="1" t="s">
        <v>231</v>
      </c>
      <c r="E3" s="1" t="s">
        <v>232</v>
      </c>
    </row>
    <row r="4" spans="1:5" ht="18" customHeight="1" x14ac:dyDescent="0.25">
      <c r="A4" s="76" t="s">
        <v>233</v>
      </c>
      <c r="B4" s="30"/>
      <c r="C4" s="30"/>
      <c r="D4" s="30"/>
      <c r="E4" s="30"/>
    </row>
    <row r="5" spans="1:5" ht="18" customHeight="1" x14ac:dyDescent="0.25">
      <c r="A5" s="12" t="s">
        <v>234</v>
      </c>
      <c r="B5" s="13">
        <v>70</v>
      </c>
      <c r="C5" s="12" t="s">
        <v>235</v>
      </c>
      <c r="D5" s="14">
        <v>55</v>
      </c>
      <c r="E5" s="14">
        <v>90</v>
      </c>
    </row>
    <row r="6" spans="1:5" ht="18" customHeight="1" x14ac:dyDescent="0.25">
      <c r="A6" s="12" t="s">
        <v>236</v>
      </c>
      <c r="B6" s="15">
        <v>0.05</v>
      </c>
      <c r="C6" s="12" t="s">
        <v>237</v>
      </c>
      <c r="D6" s="16">
        <v>0</v>
      </c>
      <c r="E6" s="16">
        <v>0.15</v>
      </c>
    </row>
    <row r="7" spans="1:5" ht="18" customHeight="1" x14ac:dyDescent="0.25">
      <c r="A7" s="76" t="s">
        <v>238</v>
      </c>
      <c r="B7" s="30"/>
      <c r="C7" s="30"/>
      <c r="D7" s="30"/>
      <c r="E7" s="30"/>
    </row>
    <row r="8" spans="1:5" ht="18" customHeight="1" x14ac:dyDescent="0.25">
      <c r="A8" s="12" t="s">
        <v>239</v>
      </c>
      <c r="B8" s="13">
        <v>800</v>
      </c>
      <c r="C8" s="12" t="s">
        <v>240</v>
      </c>
      <c r="D8" s="14">
        <v>600</v>
      </c>
      <c r="E8" s="14">
        <v>1200</v>
      </c>
    </row>
    <row r="9" spans="1:5" ht="18" customHeight="1" x14ac:dyDescent="0.25">
      <c r="A9" s="12" t="s">
        <v>241</v>
      </c>
      <c r="B9" s="13">
        <v>150</v>
      </c>
      <c r="C9" s="12" t="s">
        <v>242</v>
      </c>
      <c r="D9" s="14">
        <v>100</v>
      </c>
      <c r="E9" s="14">
        <v>250</v>
      </c>
    </row>
    <row r="10" spans="1:5" ht="18" customHeight="1" x14ac:dyDescent="0.25">
      <c r="A10" s="12" t="s">
        <v>243</v>
      </c>
      <c r="B10" s="13">
        <v>600</v>
      </c>
      <c r="C10" s="12" t="s">
        <v>240</v>
      </c>
      <c r="D10" s="14">
        <v>400</v>
      </c>
      <c r="E10" s="14">
        <v>900</v>
      </c>
    </row>
    <row r="11" spans="1:5" ht="18" customHeight="1" x14ac:dyDescent="0.25">
      <c r="A11" s="12" t="s">
        <v>244</v>
      </c>
      <c r="B11" s="13">
        <v>100</v>
      </c>
      <c r="C11" s="12" t="s">
        <v>242</v>
      </c>
      <c r="D11" s="14">
        <v>75</v>
      </c>
      <c r="E11" s="14">
        <v>175</v>
      </c>
    </row>
    <row r="12" spans="1:5" ht="18" customHeight="1" x14ac:dyDescent="0.25">
      <c r="A12" s="12" t="s">
        <v>245</v>
      </c>
      <c r="B12" s="13">
        <v>600</v>
      </c>
      <c r="C12" s="12" t="s">
        <v>246</v>
      </c>
      <c r="D12" s="14">
        <v>400</v>
      </c>
      <c r="E12" s="14">
        <v>900</v>
      </c>
    </row>
    <row r="13" spans="1:5" ht="18" customHeight="1" x14ac:dyDescent="0.25">
      <c r="A13" s="76" t="s">
        <v>247</v>
      </c>
      <c r="B13" s="30"/>
      <c r="C13" s="30"/>
      <c r="D13" s="30"/>
      <c r="E13" s="30"/>
    </row>
    <row r="14" spans="1:5" ht="18" customHeight="1" x14ac:dyDescent="0.25">
      <c r="A14" s="12" t="s">
        <v>248</v>
      </c>
      <c r="B14" s="13">
        <v>8</v>
      </c>
      <c r="C14" s="12" t="s">
        <v>249</v>
      </c>
      <c r="D14" s="14">
        <v>6</v>
      </c>
      <c r="E14" s="14">
        <v>10</v>
      </c>
    </row>
    <row r="15" spans="1:5" ht="18" customHeight="1" x14ac:dyDescent="0.25">
      <c r="A15" s="12" t="s">
        <v>250</v>
      </c>
      <c r="B15" s="13">
        <v>350</v>
      </c>
      <c r="C15" s="12" t="s">
        <v>251</v>
      </c>
      <c r="D15" s="14">
        <v>200</v>
      </c>
      <c r="E15" s="14">
        <v>600</v>
      </c>
    </row>
    <row r="16" spans="1:5" ht="18" customHeight="1" x14ac:dyDescent="0.25">
      <c r="A16" s="12" t="s">
        <v>252</v>
      </c>
      <c r="B16" s="13">
        <v>300</v>
      </c>
      <c r="C16" s="12" t="s">
        <v>253</v>
      </c>
      <c r="D16" s="14">
        <v>150</v>
      </c>
      <c r="E16" s="14">
        <v>500</v>
      </c>
    </row>
    <row r="17" spans="1:5" ht="18" customHeight="1" x14ac:dyDescent="0.25">
      <c r="A17" s="76" t="s">
        <v>254</v>
      </c>
      <c r="B17" s="30"/>
      <c r="C17" s="30"/>
      <c r="D17" s="30"/>
      <c r="E17" s="30"/>
    </row>
    <row r="18" spans="1:5" ht="18" customHeight="1" x14ac:dyDescent="0.25">
      <c r="A18" s="12" t="s">
        <v>255</v>
      </c>
      <c r="B18" s="13">
        <v>500</v>
      </c>
      <c r="C18" s="12" t="s">
        <v>256</v>
      </c>
      <c r="D18" s="14">
        <v>300</v>
      </c>
      <c r="E18" s="14">
        <v>1000</v>
      </c>
    </row>
    <row r="19" spans="1:5" ht="18" customHeight="1" x14ac:dyDescent="0.25">
      <c r="A19" s="12" t="s">
        <v>257</v>
      </c>
      <c r="B19" s="13">
        <v>400</v>
      </c>
      <c r="C19" s="12" t="s">
        <v>258</v>
      </c>
      <c r="D19" s="14">
        <v>200</v>
      </c>
      <c r="E19" s="14">
        <v>800</v>
      </c>
    </row>
    <row r="20" spans="1:5" ht="18" customHeight="1" x14ac:dyDescent="0.25">
      <c r="A20" s="12" t="s">
        <v>259</v>
      </c>
      <c r="B20" s="13">
        <v>0</v>
      </c>
      <c r="C20" s="12" t="s">
        <v>260</v>
      </c>
      <c r="D20" s="14">
        <v>0</v>
      </c>
      <c r="E20" s="14">
        <v>2000</v>
      </c>
    </row>
    <row r="21" spans="1:5" ht="18" customHeight="1" x14ac:dyDescent="0.25">
      <c r="A21" s="12" t="s">
        <v>261</v>
      </c>
      <c r="B21" s="13">
        <v>500</v>
      </c>
      <c r="C21" s="12" t="s">
        <v>262</v>
      </c>
      <c r="D21" s="14">
        <v>300</v>
      </c>
      <c r="E21" s="14">
        <v>1000</v>
      </c>
    </row>
    <row r="22" spans="1:5" ht="18" customHeight="1" x14ac:dyDescent="0.25">
      <c r="A22" s="12" t="s">
        <v>263</v>
      </c>
      <c r="B22" s="13">
        <v>200</v>
      </c>
      <c r="C22" s="12" t="s">
        <v>264</v>
      </c>
      <c r="D22" s="14">
        <v>100</v>
      </c>
      <c r="E22" s="14">
        <v>400</v>
      </c>
    </row>
    <row r="23" spans="1:5" ht="18" customHeight="1" x14ac:dyDescent="0.25">
      <c r="A23" s="76" t="s">
        <v>265</v>
      </c>
      <c r="B23" s="30"/>
      <c r="C23" s="30"/>
      <c r="D23" s="30"/>
      <c r="E23" s="30"/>
    </row>
    <row r="24" spans="1:5" ht="18" customHeight="1" x14ac:dyDescent="0.25">
      <c r="A24" s="12" t="s">
        <v>266</v>
      </c>
      <c r="B24" s="13">
        <v>500</v>
      </c>
      <c r="C24" s="12" t="s">
        <v>267</v>
      </c>
      <c r="D24" s="14">
        <v>300</v>
      </c>
      <c r="E24" s="14">
        <v>1000</v>
      </c>
    </row>
    <row r="25" spans="1:5" ht="18" customHeight="1" x14ac:dyDescent="0.25">
      <c r="A25" s="12" t="s">
        <v>268</v>
      </c>
      <c r="B25" s="13">
        <v>1500</v>
      </c>
      <c r="C25" s="12" t="s">
        <v>269</v>
      </c>
      <c r="D25" s="14">
        <v>1000</v>
      </c>
      <c r="E25" s="14">
        <v>3000</v>
      </c>
    </row>
    <row r="26" spans="1:5" ht="18" customHeight="1" x14ac:dyDescent="0.25">
      <c r="A26" s="12" t="s">
        <v>270</v>
      </c>
      <c r="B26" s="13">
        <v>12</v>
      </c>
      <c r="C26" s="12" t="s">
        <v>271</v>
      </c>
      <c r="D26" s="14">
        <v>8</v>
      </c>
      <c r="E26" s="14">
        <v>20</v>
      </c>
    </row>
    <row r="27" spans="1:5" ht="18" customHeight="1" x14ac:dyDescent="0.25">
      <c r="A27" s="76" t="s">
        <v>272</v>
      </c>
      <c r="B27" s="30"/>
      <c r="C27" s="30"/>
      <c r="D27" s="30"/>
      <c r="E27" s="30"/>
    </row>
    <row r="28" spans="1:5" ht="18" customHeight="1" x14ac:dyDescent="0.25">
      <c r="A28" s="12" t="s">
        <v>273</v>
      </c>
      <c r="B28" s="15">
        <v>0.08</v>
      </c>
      <c r="C28" s="12" t="s">
        <v>274</v>
      </c>
      <c r="D28" s="16">
        <v>0.05</v>
      </c>
      <c r="E28" s="16">
        <v>0.12</v>
      </c>
    </row>
    <row r="29" spans="1:5" ht="18" customHeight="1" x14ac:dyDescent="0.25">
      <c r="A29" s="12" t="s">
        <v>275</v>
      </c>
      <c r="B29" s="15">
        <v>0.1</v>
      </c>
      <c r="C29" s="12" t="s">
        <v>276</v>
      </c>
      <c r="D29" s="16">
        <v>7.0000000000000007E-2</v>
      </c>
      <c r="E29" s="16">
        <v>0.15</v>
      </c>
    </row>
    <row r="30" spans="1:5" ht="18" customHeight="1" x14ac:dyDescent="0.25">
      <c r="A30" s="12" t="s">
        <v>277</v>
      </c>
      <c r="B30" s="15">
        <v>0.03</v>
      </c>
      <c r="C30" s="12" t="s">
        <v>278</v>
      </c>
      <c r="D30" s="16">
        <v>0.02</v>
      </c>
      <c r="E30" s="16">
        <v>0.05</v>
      </c>
    </row>
    <row r="31" spans="1:5" ht="18" customHeight="1" x14ac:dyDescent="0.25">
      <c r="A31" s="76" t="s">
        <v>279</v>
      </c>
      <c r="B31" s="30"/>
      <c r="C31" s="30"/>
      <c r="D31" s="30"/>
      <c r="E31" s="30"/>
    </row>
    <row r="32" spans="1:5" ht="18" customHeight="1" x14ac:dyDescent="0.25">
      <c r="A32" s="12" t="s">
        <v>280</v>
      </c>
      <c r="B32" s="15">
        <v>0.15</v>
      </c>
      <c r="C32" s="12" t="s">
        <v>281</v>
      </c>
      <c r="D32" s="16">
        <v>0.1</v>
      </c>
      <c r="E32" s="16">
        <v>0.2</v>
      </c>
    </row>
    <row r="33" spans="1:5" ht="18" customHeight="1" x14ac:dyDescent="0.25">
      <c r="A33" s="12" t="s">
        <v>282</v>
      </c>
      <c r="B33" s="15">
        <v>0.25</v>
      </c>
      <c r="C33" s="12" t="s">
        <v>283</v>
      </c>
      <c r="D33" s="16">
        <v>0.2</v>
      </c>
      <c r="E33" s="16">
        <v>0.35</v>
      </c>
    </row>
    <row r="34" spans="1:5" ht="18" customHeight="1" x14ac:dyDescent="0.25">
      <c r="A34" s="12" t="s">
        <v>284</v>
      </c>
      <c r="B34" s="15">
        <v>0.4</v>
      </c>
      <c r="C34" s="12" t="s">
        <v>285</v>
      </c>
      <c r="D34" s="16">
        <v>0.3</v>
      </c>
      <c r="E34" s="16">
        <v>0.5</v>
      </c>
    </row>
    <row r="35" spans="1:5" ht="18" customHeight="1" x14ac:dyDescent="0.25">
      <c r="A35" s="76" t="s">
        <v>286</v>
      </c>
      <c r="B35" s="30"/>
      <c r="C35" s="30"/>
      <c r="D35" s="30"/>
      <c r="E35" s="30"/>
    </row>
    <row r="36" spans="1:5" ht="18" customHeight="1" x14ac:dyDescent="0.25">
      <c r="A36" s="12" t="s">
        <v>287</v>
      </c>
      <c r="B36" s="15">
        <v>0.12</v>
      </c>
      <c r="C36" s="12" t="s">
        <v>288</v>
      </c>
      <c r="D36" s="16">
        <v>0.12</v>
      </c>
      <c r="E36" s="16">
        <v>0.12</v>
      </c>
    </row>
    <row r="37" spans="1:5" ht="18" customHeight="1" x14ac:dyDescent="0.25">
      <c r="A37" s="76" t="s">
        <v>289</v>
      </c>
      <c r="B37" s="30"/>
      <c r="C37" s="30"/>
      <c r="D37" s="30"/>
      <c r="E37" s="30"/>
    </row>
    <row r="38" spans="1:5" ht="18" customHeight="1" x14ac:dyDescent="0.25">
      <c r="A38" s="12" t="s">
        <v>290</v>
      </c>
      <c r="B38" s="13">
        <v>2500</v>
      </c>
      <c r="C38" s="12" t="s">
        <v>291</v>
      </c>
      <c r="D38" s="14">
        <v>2000</v>
      </c>
      <c r="E38" s="14">
        <v>4000</v>
      </c>
    </row>
    <row r="39" spans="1:5" ht="18" customHeight="1" x14ac:dyDescent="0.25">
      <c r="A39" s="12" t="s">
        <v>292</v>
      </c>
      <c r="B39" s="13">
        <v>3000</v>
      </c>
      <c r="C39" s="12" t="s">
        <v>291</v>
      </c>
      <c r="D39" s="14">
        <v>2500</v>
      </c>
      <c r="E39" s="14">
        <v>5000</v>
      </c>
    </row>
    <row r="40" spans="1:5" ht="18" customHeight="1" x14ac:dyDescent="0.25">
      <c r="A40" s="12" t="s">
        <v>293</v>
      </c>
      <c r="B40" s="13">
        <v>3500</v>
      </c>
      <c r="C40" s="12" t="s">
        <v>294</v>
      </c>
      <c r="D40" s="14">
        <v>3000</v>
      </c>
      <c r="E40" s="14">
        <v>5500</v>
      </c>
    </row>
    <row r="41" spans="1:5" ht="18" customHeight="1" x14ac:dyDescent="0.25">
      <c r="A41" s="12" t="s">
        <v>295</v>
      </c>
      <c r="B41" s="13">
        <v>4500</v>
      </c>
      <c r="C41" s="12" t="s">
        <v>296</v>
      </c>
      <c r="D41" s="14">
        <v>3500</v>
      </c>
      <c r="E41" s="14">
        <v>7000</v>
      </c>
    </row>
    <row r="42" spans="1:5" ht="18" customHeight="1" x14ac:dyDescent="0.25">
      <c r="A42" s="12" t="s">
        <v>297</v>
      </c>
      <c r="B42" s="13">
        <v>6000</v>
      </c>
      <c r="C42" s="12" t="s">
        <v>298</v>
      </c>
      <c r="D42" s="14">
        <v>5000</v>
      </c>
      <c r="E42" s="14">
        <v>9000</v>
      </c>
    </row>
    <row r="43" spans="1:5" ht="18" customHeight="1" x14ac:dyDescent="0.25">
      <c r="A43" s="12" t="s">
        <v>299</v>
      </c>
      <c r="B43" s="13">
        <v>8000</v>
      </c>
      <c r="C43" s="12" t="s">
        <v>300</v>
      </c>
      <c r="D43" s="14">
        <v>6000</v>
      </c>
      <c r="E43" s="14">
        <v>12000</v>
      </c>
    </row>
    <row r="44" spans="1:5" ht="18" customHeight="1" x14ac:dyDescent="0.25">
      <c r="A44" s="12" t="s">
        <v>301</v>
      </c>
      <c r="B44" s="13">
        <v>5000</v>
      </c>
      <c r="C44" s="12" t="s">
        <v>302</v>
      </c>
      <c r="D44" s="14">
        <v>4000</v>
      </c>
      <c r="E44" s="14">
        <v>8000</v>
      </c>
    </row>
  </sheetData>
  <mergeCells count="11">
    <mergeCell ref="A37:E37"/>
    <mergeCell ref="A13:E13"/>
    <mergeCell ref="A31:E31"/>
    <mergeCell ref="A17:E17"/>
    <mergeCell ref="A27:E27"/>
    <mergeCell ref="A35:E35"/>
    <mergeCell ref="A4:E4"/>
    <mergeCell ref="A2:E2"/>
    <mergeCell ref="A7:E7"/>
    <mergeCell ref="A1:E1"/>
    <mergeCell ref="A23:E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9"/>
  </sheetPr>
  <dimension ref="B1:G70"/>
  <sheetViews>
    <sheetView showGridLines="0" tabSelected="1" zoomScale="90" workbookViewId="0">
      <selection activeCell="F36" sqref="F36:G36"/>
    </sheetView>
  </sheetViews>
  <sheetFormatPr defaultRowHeight="15" x14ac:dyDescent="0.25"/>
  <cols>
    <col min="1" max="1" width="2" customWidth="1"/>
    <col min="2" max="2" width="30" customWidth="1"/>
    <col min="3" max="4" width="26" customWidth="1"/>
    <col min="5" max="5" width="2" customWidth="1"/>
    <col min="6" max="6" width="28" customWidth="1"/>
    <col min="7" max="7" width="26" customWidth="1"/>
    <col min="8" max="8" width="2" customWidth="1"/>
  </cols>
  <sheetData>
    <row r="1" spans="2:7" ht="38.1" customHeight="1" x14ac:dyDescent="0.25">
      <c r="B1" s="51" t="s">
        <v>0</v>
      </c>
      <c r="C1" s="30"/>
      <c r="D1" s="30"/>
      <c r="E1" s="30"/>
      <c r="F1" s="30"/>
      <c r="G1" s="30"/>
    </row>
    <row r="2" spans="2:7" ht="27.95" customHeight="1" x14ac:dyDescent="0.25">
      <c r="B2" s="68" t="s">
        <v>1</v>
      </c>
      <c r="C2" s="30"/>
      <c r="D2" s="30"/>
      <c r="E2" s="30"/>
      <c r="F2" s="30"/>
      <c r="G2" s="30"/>
    </row>
    <row r="3" spans="2:7" ht="14.1" customHeight="1" x14ac:dyDescent="0.25">
      <c r="B3" s="58" t="s">
        <v>2</v>
      </c>
      <c r="C3" s="30"/>
      <c r="D3" s="30"/>
      <c r="E3" s="30"/>
      <c r="F3" s="30"/>
      <c r="G3" s="30"/>
    </row>
    <row r="5" spans="2:7" ht="20.100000000000001" customHeight="1" x14ac:dyDescent="0.25">
      <c r="B5" s="44" t="s">
        <v>3</v>
      </c>
      <c r="C5" s="30"/>
      <c r="D5" s="30"/>
      <c r="E5" s="30"/>
      <c r="F5" s="30"/>
      <c r="G5" s="30"/>
    </row>
    <row r="6" spans="2:7" ht="20.100000000000001" customHeight="1" x14ac:dyDescent="0.25">
      <c r="B6" s="35" t="s">
        <v>4</v>
      </c>
      <c r="C6" s="30"/>
      <c r="D6" s="18"/>
      <c r="F6" s="17" t="s">
        <v>5</v>
      </c>
      <c r="G6" s="19"/>
    </row>
    <row r="7" spans="2:7" ht="20.100000000000001" customHeight="1" x14ac:dyDescent="0.25">
      <c r="B7" s="35" t="s">
        <v>6</v>
      </c>
      <c r="C7" s="30"/>
      <c r="D7" s="19"/>
      <c r="F7" s="17" t="s">
        <v>7</v>
      </c>
      <c r="G7" s="19"/>
    </row>
    <row r="8" spans="2:7" ht="20.100000000000001" customHeight="1" x14ac:dyDescent="0.25">
      <c r="B8" s="35" t="s">
        <v>8</v>
      </c>
      <c r="C8" s="30"/>
      <c r="D8" s="32" t="s">
        <v>328</v>
      </c>
      <c r="E8" s="30"/>
      <c r="F8" s="30"/>
      <c r="G8" s="30"/>
    </row>
    <row r="9" spans="2:7" ht="20.100000000000001" customHeight="1" x14ac:dyDescent="0.25">
      <c r="B9" s="35" t="s">
        <v>9</v>
      </c>
      <c r="C9" s="30"/>
      <c r="D9" s="19"/>
      <c r="F9" s="17" t="s">
        <v>10</v>
      </c>
      <c r="G9" s="19"/>
    </row>
    <row r="10" spans="2:7" ht="20.100000000000001" customHeight="1" x14ac:dyDescent="0.25">
      <c r="B10" s="35" t="s">
        <v>11</v>
      </c>
      <c r="C10" s="30"/>
      <c r="D10" s="19"/>
      <c r="F10" s="17" t="s">
        <v>12</v>
      </c>
      <c r="G10" s="20">
        <v>100</v>
      </c>
    </row>
    <row r="11" spans="2:7" ht="20.100000000000001" customHeight="1" x14ac:dyDescent="0.25">
      <c r="B11" s="35" t="s">
        <v>13</v>
      </c>
      <c r="C11" s="30"/>
      <c r="D11" s="19"/>
      <c r="F11" s="17" t="s">
        <v>14</v>
      </c>
      <c r="G11" s="19">
        <v>2</v>
      </c>
    </row>
    <row r="13" spans="2:7" ht="20.100000000000001" customHeight="1" x14ac:dyDescent="0.25">
      <c r="B13" s="44" t="s">
        <v>15</v>
      </c>
      <c r="C13" s="30"/>
      <c r="D13" s="30"/>
      <c r="E13" s="30"/>
      <c r="F13" s="30"/>
      <c r="G13" s="30"/>
    </row>
    <row r="14" spans="2:7" ht="20.100000000000001" customHeight="1" x14ac:dyDescent="0.25">
      <c r="B14" s="35" t="s">
        <v>16</v>
      </c>
      <c r="C14" s="30"/>
      <c r="D14" s="19" t="s">
        <v>186</v>
      </c>
      <c r="F14" s="17" t="s">
        <v>17</v>
      </c>
      <c r="G14" s="21">
        <v>2</v>
      </c>
    </row>
    <row r="15" spans="2:7" ht="20.100000000000001" customHeight="1" x14ac:dyDescent="0.25">
      <c r="B15" s="35" t="s">
        <v>18</v>
      </c>
      <c r="C15" s="30"/>
      <c r="D15" s="19" t="s">
        <v>159</v>
      </c>
      <c r="F15" s="17" t="s">
        <v>19</v>
      </c>
      <c r="G15" s="19" t="s">
        <v>145</v>
      </c>
    </row>
    <row r="17" spans="2:7" ht="20.100000000000001" customHeight="1" x14ac:dyDescent="0.25">
      <c r="B17" s="44" t="s">
        <v>20</v>
      </c>
      <c r="C17" s="30"/>
      <c r="D17" s="30"/>
      <c r="E17" s="30"/>
      <c r="F17" s="30"/>
      <c r="G17" s="30"/>
    </row>
    <row r="18" spans="2:7" ht="20.100000000000001" customHeight="1" x14ac:dyDescent="0.25">
      <c r="B18" s="35" t="s">
        <v>21</v>
      </c>
      <c r="C18" s="30"/>
      <c r="D18" s="21">
        <v>8</v>
      </c>
      <c r="F18" s="17" t="s">
        <v>22</v>
      </c>
      <c r="G18" s="19" t="s">
        <v>329</v>
      </c>
    </row>
    <row r="19" spans="2:7" ht="20.100000000000001" customHeight="1" x14ac:dyDescent="0.25">
      <c r="B19" s="35" t="s">
        <v>24</v>
      </c>
      <c r="C19" s="30"/>
      <c r="D19" s="20"/>
      <c r="F19" s="17" t="s">
        <v>25</v>
      </c>
      <c r="G19" s="19" t="s">
        <v>23</v>
      </c>
    </row>
    <row r="20" spans="2:7" ht="20.100000000000001" customHeight="1" x14ac:dyDescent="0.25">
      <c r="B20" s="35" t="s">
        <v>26</v>
      </c>
      <c r="C20" s="30"/>
      <c r="D20" s="13"/>
      <c r="F20" s="17" t="s">
        <v>27</v>
      </c>
      <c r="G20" s="19" t="s">
        <v>23</v>
      </c>
    </row>
    <row r="21" spans="2:7" ht="20.100000000000001" customHeight="1" x14ac:dyDescent="0.25">
      <c r="B21" s="35" t="s">
        <v>28</v>
      </c>
      <c r="C21" s="30"/>
      <c r="D21" s="13"/>
      <c r="F21" s="17" t="s">
        <v>29</v>
      </c>
      <c r="G21" s="19" t="s">
        <v>23</v>
      </c>
    </row>
    <row r="22" spans="2:7" ht="20.100000000000001" customHeight="1" x14ac:dyDescent="0.25">
      <c r="B22" s="35" t="s">
        <v>30</v>
      </c>
      <c r="C22" s="30"/>
      <c r="D22" s="22"/>
      <c r="F22" s="17" t="s">
        <v>31</v>
      </c>
      <c r="G22" s="19" t="s">
        <v>23</v>
      </c>
    </row>
    <row r="23" spans="2:7" ht="20.100000000000001" customHeight="1" x14ac:dyDescent="0.25">
      <c r="B23" s="35" t="s">
        <v>32</v>
      </c>
      <c r="C23" s="30"/>
      <c r="D23" s="13"/>
      <c r="F23" s="17" t="s">
        <v>33</v>
      </c>
      <c r="G23" s="19" t="s">
        <v>329</v>
      </c>
    </row>
    <row r="24" spans="2:7" ht="20.100000000000001" customHeight="1" x14ac:dyDescent="0.25">
      <c r="B24" s="35" t="s">
        <v>34</v>
      </c>
      <c r="C24" s="30"/>
      <c r="D24" s="19" t="s">
        <v>23</v>
      </c>
      <c r="F24" s="17" t="s">
        <v>35</v>
      </c>
      <c r="G24" s="19" t="s">
        <v>330</v>
      </c>
    </row>
    <row r="26" spans="2:7" ht="24" customHeight="1" x14ac:dyDescent="0.25">
      <c r="B26" s="65" t="s">
        <v>36</v>
      </c>
      <c r="C26" s="30"/>
      <c r="D26" s="30"/>
      <c r="E26" s="30"/>
      <c r="F26" s="30"/>
      <c r="G26" s="30"/>
    </row>
    <row r="27" spans="2:7" ht="21.95" customHeight="1" x14ac:dyDescent="0.25">
      <c r="B27" s="53" t="s">
        <v>37</v>
      </c>
      <c r="C27" s="30"/>
      <c r="D27" s="53" t="s">
        <v>38</v>
      </c>
      <c r="E27" s="30"/>
      <c r="F27" s="53" t="s">
        <v>39</v>
      </c>
      <c r="G27" s="30"/>
    </row>
    <row r="28" spans="2:7" ht="21.95" customHeight="1" x14ac:dyDescent="0.25">
      <c r="B28" s="35" t="s">
        <v>40</v>
      </c>
      <c r="C28" s="30"/>
      <c r="D28" s="37" t="s">
        <v>41</v>
      </c>
      <c r="E28" s="30"/>
      <c r="F28" s="50">
        <f ca="1">IFERROR(_xludf.XLOOKUP(D14,'TRUCK MASTERLIST'!$A$3:$A$19,'TRUCK MASTERLIST'!$G$3:$G$19,0),0)</f>
        <v>0</v>
      </c>
      <c r="G28" s="30"/>
    </row>
    <row r="29" spans="2:7" ht="21.95" customHeight="1" x14ac:dyDescent="0.25">
      <c r="B29" s="36" t="s">
        <v>42</v>
      </c>
      <c r="C29" s="30"/>
      <c r="D29" s="38" t="s">
        <v>43</v>
      </c>
      <c r="E29" s="30"/>
      <c r="F29" s="31">
        <f>G10*'RATE SETTINGS'!$B$26</f>
        <v>1200</v>
      </c>
      <c r="G29" s="30"/>
    </row>
    <row r="30" spans="2:7" ht="21.95" customHeight="1" x14ac:dyDescent="0.25">
      <c r="B30" s="35" t="s">
        <v>44</v>
      </c>
      <c r="C30" s="30"/>
      <c r="D30" s="37" t="s">
        <v>45</v>
      </c>
      <c r="E30" s="30"/>
      <c r="F30" s="50">
        <f ca="1">IFERROR((G10/IFERROR(_xludf.XLOOKUP(D14,'TRUCK MASTERLIST'!$A$3:$A$19,'TRUCK MASTERLIST'!$F$3:$F$19,0),5))*(IF(D22="",'RATE SETTINGS'!$B$5,D22))*2*(1+'RATE SETTINGS'!$B$6),0)</f>
        <v>2940</v>
      </c>
      <c r="G30" s="30"/>
    </row>
    <row r="31" spans="2:7" ht="21.95" customHeight="1" x14ac:dyDescent="0.25">
      <c r="B31" s="36" t="s">
        <v>46</v>
      </c>
      <c r="C31" s="30"/>
      <c r="D31" s="38" t="s">
        <v>47</v>
      </c>
      <c r="E31" s="30"/>
      <c r="F31" s="31">
        <f ca="1">IFERROR(_xludf.XLOOKUP(D15,'DRIVER MASTERLIST'!$B$3:$B$11,'DRIVER MASTERLIST'!$C$3:$C$11,0),'RATE SETTINGS'!$B$8)</f>
        <v>800</v>
      </c>
      <c r="G31" s="30"/>
    </row>
    <row r="32" spans="2:7" ht="21.95" customHeight="1" x14ac:dyDescent="0.25">
      <c r="B32" s="35" t="s">
        <v>48</v>
      </c>
      <c r="C32" s="30"/>
      <c r="D32" s="37" t="s">
        <v>49</v>
      </c>
      <c r="E32" s="30"/>
      <c r="F32" s="50">
        <f ca="1">IFERROR(_xludf.XLOOKUP(G15,'HELPER MASTERLIST'!$B$3:$B$9,'HELPER MASTERLIST'!$C$3:$C$9,0),'RATE SETTINGS'!$B$10)*MAX(1,G14)</f>
        <v>1200</v>
      </c>
      <c r="G32" s="30"/>
    </row>
    <row r="33" spans="2:7" ht="21.95" customHeight="1" x14ac:dyDescent="0.25">
      <c r="B33" s="36" t="s">
        <v>50</v>
      </c>
      <c r="C33" s="30"/>
      <c r="D33" s="38" t="s">
        <v>51</v>
      </c>
      <c r="E33" s="30"/>
      <c r="F33" s="31">
        <f>IF(G21="Yes",'RATE SETTINGS'!$B$12,0)</f>
        <v>0</v>
      </c>
      <c r="G33" s="30"/>
    </row>
    <row r="34" spans="2:7" ht="21.95" customHeight="1" x14ac:dyDescent="0.25">
      <c r="B34" s="35" t="s">
        <v>52</v>
      </c>
      <c r="C34" s="30"/>
      <c r="D34" s="37" t="s">
        <v>53</v>
      </c>
      <c r="E34" s="30"/>
      <c r="F34" s="50">
        <f>IF(G22="Yes",MAX(0,D19-D18)*'RATE SETTINGS'!$B$15,0)</f>
        <v>0</v>
      </c>
      <c r="G34" s="30"/>
    </row>
    <row r="35" spans="2:7" ht="21.95" customHeight="1" x14ac:dyDescent="0.25">
      <c r="B35" s="36" t="s">
        <v>54</v>
      </c>
      <c r="C35" s="30"/>
      <c r="D35" s="38" t="s">
        <v>55</v>
      </c>
      <c r="E35" s="30"/>
      <c r="F35" s="31">
        <f>MAX(0,G11-1)*'RATE SETTINGS'!$B$16</f>
        <v>300</v>
      </c>
      <c r="G35" s="30"/>
    </row>
    <row r="36" spans="2:7" ht="21.95" customHeight="1" x14ac:dyDescent="0.25">
      <c r="B36" s="35" t="s">
        <v>56</v>
      </c>
      <c r="C36" s="30"/>
      <c r="D36" s="37" t="s">
        <v>57</v>
      </c>
      <c r="E36" s="30"/>
      <c r="F36" s="50">
        <f>IF(G18="Yes",'RATE SETTINGS'!$B$18,0)</f>
        <v>500</v>
      </c>
      <c r="G36" s="30"/>
    </row>
    <row r="37" spans="2:7" ht="21.95" customHeight="1" x14ac:dyDescent="0.25">
      <c r="B37" s="36" t="s">
        <v>58</v>
      </c>
      <c r="C37" s="30"/>
      <c r="D37" s="38" t="s">
        <v>59</v>
      </c>
      <c r="E37" s="30"/>
      <c r="F37" s="31">
        <f>IF(G19="Yes",'RATE SETTINGS'!$B$19,0)</f>
        <v>0</v>
      </c>
      <c r="G37" s="30"/>
    </row>
    <row r="38" spans="2:7" ht="21.95" customHeight="1" x14ac:dyDescent="0.25">
      <c r="B38" s="35" t="s">
        <v>60</v>
      </c>
      <c r="C38" s="30"/>
      <c r="D38" s="37" t="s">
        <v>61</v>
      </c>
      <c r="E38" s="30"/>
      <c r="F38" s="50">
        <f>'RATE SETTINGS'!$B$20</f>
        <v>0</v>
      </c>
      <c r="G38" s="30"/>
    </row>
    <row r="39" spans="2:7" ht="21.95" customHeight="1" x14ac:dyDescent="0.25">
      <c r="B39" s="36" t="s">
        <v>62</v>
      </c>
      <c r="C39" s="30"/>
      <c r="D39" s="38" t="s">
        <v>63</v>
      </c>
      <c r="E39" s="30"/>
      <c r="F39" s="31">
        <f>IF(G20="Yes",'RATE SETTINGS'!$B$21,0)</f>
        <v>0</v>
      </c>
      <c r="G39" s="30"/>
    </row>
    <row r="40" spans="2:7" ht="21.95" customHeight="1" x14ac:dyDescent="0.25">
      <c r="B40" s="35" t="s">
        <v>64</v>
      </c>
      <c r="C40" s="30"/>
      <c r="D40" s="37" t="s">
        <v>65</v>
      </c>
      <c r="E40" s="30"/>
      <c r="F40" s="50">
        <f>IF(G23="Yes",'RATE SETTINGS'!$B$24,0)</f>
        <v>500</v>
      </c>
      <c r="G40" s="30"/>
    </row>
    <row r="41" spans="2:7" ht="21.95" customHeight="1" x14ac:dyDescent="0.25">
      <c r="B41" s="36" t="s">
        <v>66</v>
      </c>
      <c r="C41" s="30"/>
      <c r="D41" s="38" t="s">
        <v>67</v>
      </c>
      <c r="E41" s="30"/>
      <c r="F41" s="31">
        <f>IF(D24="Yes",'RATE SETTINGS'!$B$25,0)</f>
        <v>0</v>
      </c>
      <c r="G41" s="30"/>
    </row>
    <row r="42" spans="2:7" ht="21.95" customHeight="1" x14ac:dyDescent="0.25">
      <c r="B42" s="35" t="s">
        <v>68</v>
      </c>
      <c r="C42" s="30"/>
      <c r="D42" s="37" t="s">
        <v>69</v>
      </c>
      <c r="E42" s="30"/>
      <c r="F42" s="50">
        <f>IFERROR(D20,0)+IFERROR(D21,0)</f>
        <v>0</v>
      </c>
      <c r="G42" s="30"/>
    </row>
    <row r="43" spans="2:7" ht="21.95" customHeight="1" x14ac:dyDescent="0.25">
      <c r="B43" s="36" t="s">
        <v>70</v>
      </c>
      <c r="C43" s="30"/>
      <c r="D43" s="38" t="s">
        <v>71</v>
      </c>
      <c r="E43" s="30"/>
      <c r="F43" s="31">
        <f ca="1">F28*'RATE SETTINGS'!$B$28</f>
        <v>0</v>
      </c>
      <c r="G43" s="30"/>
    </row>
    <row r="44" spans="2:7" ht="26.1" customHeight="1" x14ac:dyDescent="0.25">
      <c r="B44" s="42" t="s">
        <v>72</v>
      </c>
      <c r="C44" s="30"/>
      <c r="D44" s="30"/>
      <c r="E44" s="30"/>
      <c r="F44" s="57">
        <f ca="1">SUM(F28:F43)</f>
        <v>7440</v>
      </c>
      <c r="G44" s="30"/>
    </row>
    <row r="45" spans="2:7" ht="21.95" customHeight="1" x14ac:dyDescent="0.25">
      <c r="B45" s="29" t="s">
        <v>73</v>
      </c>
      <c r="C45" s="30"/>
      <c r="D45" s="39" t="s">
        <v>74</v>
      </c>
      <c r="E45" s="30"/>
      <c r="F45" s="55">
        <f ca="1">F44*'RATE SETTINGS'!$B$29</f>
        <v>744</v>
      </c>
      <c r="G45" s="30"/>
    </row>
    <row r="46" spans="2:7" ht="21.95" customHeight="1" x14ac:dyDescent="0.25">
      <c r="B46" s="56" t="s">
        <v>75</v>
      </c>
      <c r="C46" s="30"/>
      <c r="D46" s="71" t="s">
        <v>76</v>
      </c>
      <c r="E46" s="30"/>
      <c r="F46" s="49">
        <f ca="1">F44*'RATE SETTINGS'!$B$30</f>
        <v>223.2</v>
      </c>
      <c r="G46" s="30"/>
    </row>
    <row r="47" spans="2:7" ht="26.1" customHeight="1" x14ac:dyDescent="0.25">
      <c r="B47" s="42" t="s">
        <v>77</v>
      </c>
      <c r="C47" s="30"/>
      <c r="D47" s="30"/>
      <c r="E47" s="30"/>
      <c r="F47" s="57">
        <f ca="1">F44+F45+F46</f>
        <v>8407.2000000000007</v>
      </c>
      <c r="G47" s="30"/>
    </row>
    <row r="48" spans="2:7" ht="6" customHeight="1" x14ac:dyDescent="0.25"/>
    <row r="49" spans="2:7" ht="27.95" customHeight="1" x14ac:dyDescent="0.25">
      <c r="B49" s="48" t="s">
        <v>78</v>
      </c>
      <c r="C49" s="30"/>
      <c r="D49" s="30"/>
      <c r="E49" s="30"/>
      <c r="F49" s="67">
        <f ca="1">F47/(1-'RATE SETTINGS'!$B$32)</f>
        <v>9890.8235294117658</v>
      </c>
      <c r="G49" s="30"/>
    </row>
    <row r="50" spans="2:7" ht="27.95" customHeight="1" x14ac:dyDescent="0.25">
      <c r="B50" s="54" t="s">
        <v>79</v>
      </c>
      <c r="C50" s="30"/>
      <c r="D50" s="30"/>
      <c r="E50" s="30"/>
      <c r="F50" s="64">
        <f ca="1">F47/(1-'RATE SETTINGS'!$B$33)</f>
        <v>11209.6</v>
      </c>
      <c r="G50" s="30"/>
    </row>
    <row r="51" spans="2:7" ht="27.95" customHeight="1" x14ac:dyDescent="0.25">
      <c r="B51" s="52" t="s">
        <v>80</v>
      </c>
      <c r="C51" s="30"/>
      <c r="D51" s="30"/>
      <c r="E51" s="30"/>
      <c r="F51" s="72">
        <f ca="1">F47/(1-'RATE SETTINGS'!$B$34)</f>
        <v>14012.000000000002</v>
      </c>
      <c r="G51" s="30"/>
    </row>
    <row r="52" spans="2:7" ht="6" customHeight="1" x14ac:dyDescent="0.25"/>
    <row r="53" spans="2:7" ht="20.100000000000001" customHeight="1" x14ac:dyDescent="0.25">
      <c r="B53" s="56" t="s">
        <v>81</v>
      </c>
      <c r="C53" s="30"/>
      <c r="D53" s="30"/>
      <c r="E53" s="30"/>
      <c r="F53" s="62">
        <f>-IFERROR(D23,0)</f>
        <v>0</v>
      </c>
      <c r="G53" s="30"/>
    </row>
    <row r="54" spans="2:7" ht="20.100000000000001" customHeight="1" x14ac:dyDescent="0.25">
      <c r="B54" s="56" t="s">
        <v>82</v>
      </c>
      <c r="C54" s="30"/>
      <c r="D54" s="30"/>
      <c r="E54" s="30"/>
      <c r="F54" s="49">
        <f ca="1">F50+F53</f>
        <v>11209.6</v>
      </c>
      <c r="G54" s="30"/>
    </row>
    <row r="55" spans="2:7" ht="21.95" customHeight="1" x14ac:dyDescent="0.25">
      <c r="B55" s="61" t="s">
        <v>83</v>
      </c>
      <c r="C55" s="30"/>
      <c r="D55" s="30"/>
      <c r="E55" s="30"/>
      <c r="F55" s="49">
        <f ca="1">IF(G24="VAT-Exclusive",F54*'RATE SETTINGS'!$B$36,IF(G24="VAT-Inclusive",F54-F54/(1+'RATE SETTINGS'!$B$36),0))</f>
        <v>1201.0285714285728</v>
      </c>
      <c r="G55" s="30"/>
    </row>
    <row r="56" spans="2:7" ht="8.1" customHeight="1" x14ac:dyDescent="0.25"/>
    <row r="57" spans="2:7" ht="39.950000000000003" customHeight="1" x14ac:dyDescent="0.25">
      <c r="B57" s="66" t="s">
        <v>84</v>
      </c>
      <c r="C57" s="30"/>
      <c r="D57" s="30"/>
      <c r="E57" s="30"/>
      <c r="F57" s="46">
        <f ca="1">IF(G24="VAT-Exclusive",F54+F55,IF(G24="VAT-Inclusive",F54,F54))</f>
        <v>11209.6</v>
      </c>
      <c r="G57" s="30"/>
    </row>
    <row r="58" spans="2:7" ht="8.1" customHeight="1" x14ac:dyDescent="0.25"/>
    <row r="59" spans="2:7" ht="20.100000000000001" customHeight="1" x14ac:dyDescent="0.25">
      <c r="B59" s="45" t="s">
        <v>85</v>
      </c>
      <c r="C59" s="30"/>
      <c r="D59" s="30"/>
      <c r="E59" s="30"/>
      <c r="F59" s="30"/>
      <c r="G59" s="30"/>
    </row>
    <row r="60" spans="2:7" ht="26.1" customHeight="1" x14ac:dyDescent="0.25">
      <c r="B60" s="63" t="s">
        <v>86</v>
      </c>
      <c r="C60" s="30"/>
      <c r="D60" s="40" t="str">
        <f ca="1">IF(F57&lt;F49,"WARNING: Final price "&amp;TEXT(F57,"₱#,##0.00")&amp;" is BELOW floor price "&amp;TEXT(F49,"₱#,##0.00")&amp;". Consider revising upward.","OK: Price is at or above floor price.")</f>
        <v>OK: Price is at or above floor price.</v>
      </c>
      <c r="E60" s="30"/>
      <c r="F60" s="30"/>
      <c r="G60" s="30"/>
    </row>
    <row r="61" spans="2:7" ht="26.1" customHeight="1" x14ac:dyDescent="0.25">
      <c r="B61" s="41" t="s">
        <v>87</v>
      </c>
      <c r="C61" s="30"/>
      <c r="D61" s="60" t="str">
        <f>IF(D19&gt;D18,"WARNING: Job hours ("&amp;D19&amp;" hrs) EXCEED included hours ("&amp;D18&amp;" hrs). Excess: "&amp;MAX(0,D19-D18)&amp;" hrs. Overtime charge applies.","OK: Job hours within included hours.")</f>
        <v>OK: Job hours within included hours.</v>
      </c>
      <c r="E61" s="30"/>
      <c r="F61" s="30"/>
      <c r="G61" s="30"/>
    </row>
    <row r="62" spans="2:7" ht="26.1" customHeight="1" x14ac:dyDescent="0.25">
      <c r="B62" s="70" t="s">
        <v>88</v>
      </c>
      <c r="C62" s="30"/>
      <c r="D62" s="47" t="str">
        <f ca="1">IF(F47=0,"Enter cost data to see margin.",IF((F57-F47)/IF(F57=0,1,F57)&lt;'RATE SETTINGS'!$B$32,"WARNING: Margin "&amp;TEXT((F57-F47)/IF(F57=0,1,F57),"0.0%")&amp;" is BELOW floor margin "&amp;TEXT('RATE SETTINGS'!$B$32,"0.0%")&amp;".","OK: Margin "&amp;TEXT((F57-F47)/IF(F57=0,1,F57),"0.0%")&amp;" is acceptable."))</f>
        <v>OK: Margin 25.0% is acceptable.</v>
      </c>
      <c r="E62" s="30"/>
      <c r="F62" s="30"/>
      <c r="G62" s="30"/>
    </row>
    <row r="63" spans="2:7" ht="8.1" customHeight="1" x14ac:dyDescent="0.25"/>
    <row r="64" spans="2:7" ht="20.100000000000001" customHeight="1" x14ac:dyDescent="0.25">
      <c r="B64" s="44" t="s">
        <v>89</v>
      </c>
      <c r="C64" s="30"/>
      <c r="D64" s="30"/>
      <c r="E64" s="30"/>
      <c r="F64" s="30"/>
      <c r="G64" s="30"/>
    </row>
    <row r="65" spans="2:7" ht="21.95" customHeight="1" x14ac:dyDescent="0.25">
      <c r="B65" s="29" t="s">
        <v>90</v>
      </c>
      <c r="C65" s="30"/>
      <c r="D65" s="30"/>
      <c r="E65" s="30"/>
      <c r="F65" s="55">
        <f ca="1">F47</f>
        <v>8407.2000000000007</v>
      </c>
      <c r="G65" s="30"/>
    </row>
    <row r="66" spans="2:7" ht="21.95" customHeight="1" x14ac:dyDescent="0.25">
      <c r="B66" s="56" t="s">
        <v>91</v>
      </c>
      <c r="C66" s="30"/>
      <c r="D66" s="30"/>
      <c r="E66" s="30"/>
      <c r="F66" s="49">
        <f ca="1">F57</f>
        <v>11209.6</v>
      </c>
      <c r="G66" s="30"/>
    </row>
    <row r="67" spans="2:7" ht="21.95" customHeight="1" x14ac:dyDescent="0.25">
      <c r="B67" s="59" t="s">
        <v>92</v>
      </c>
      <c r="C67" s="30"/>
      <c r="D67" s="30"/>
      <c r="E67" s="30"/>
      <c r="F67" s="73">
        <f ca="1">F66-F65</f>
        <v>2802.3999999999996</v>
      </c>
      <c r="G67" s="30"/>
    </row>
    <row r="68" spans="2:7" ht="21.95" customHeight="1" x14ac:dyDescent="0.25">
      <c r="B68" s="34" t="s">
        <v>93</v>
      </c>
      <c r="C68" s="30"/>
      <c r="D68" s="30"/>
      <c r="E68" s="30"/>
      <c r="F68" s="33">
        <f ca="1">IF(F66=0,0,(F66-F65)/F66)</f>
        <v>0.24999999999999997</v>
      </c>
      <c r="G68" s="30"/>
    </row>
    <row r="69" spans="2:7" ht="21.95" customHeight="1" x14ac:dyDescent="0.25">
      <c r="B69" s="29" t="s">
        <v>94</v>
      </c>
      <c r="C69" s="30"/>
      <c r="D69" s="30"/>
      <c r="E69" s="30"/>
      <c r="F69" s="69">
        <f>'RATE SETTINGS'!$B$33</f>
        <v>0.25</v>
      </c>
      <c r="G69" s="30"/>
    </row>
    <row r="70" spans="2:7" ht="21.95" customHeight="1" x14ac:dyDescent="0.25">
      <c r="B70" s="56" t="s">
        <v>95</v>
      </c>
      <c r="C70" s="30"/>
      <c r="D70" s="30"/>
      <c r="E70" s="30"/>
      <c r="F70" s="43">
        <f ca="1">F68-F69</f>
        <v>0</v>
      </c>
      <c r="G70" s="30"/>
    </row>
  </sheetData>
  <mergeCells count="118">
    <mergeCell ref="B70:E70"/>
    <mergeCell ref="B10:C10"/>
    <mergeCell ref="F27:G27"/>
    <mergeCell ref="F67:G67"/>
    <mergeCell ref="F37:G37"/>
    <mergeCell ref="D42:E42"/>
    <mergeCell ref="B36:C36"/>
    <mergeCell ref="F44:G44"/>
    <mergeCell ref="B2:G2"/>
    <mergeCell ref="F69:G69"/>
    <mergeCell ref="B62:C62"/>
    <mergeCell ref="B17:G17"/>
    <mergeCell ref="F65:G65"/>
    <mergeCell ref="B46:C46"/>
    <mergeCell ref="D46:E46"/>
    <mergeCell ref="D40:E40"/>
    <mergeCell ref="F40:G40"/>
    <mergeCell ref="B39:C39"/>
    <mergeCell ref="F55:G55"/>
    <mergeCell ref="F51:G51"/>
    <mergeCell ref="B23:C23"/>
    <mergeCell ref="D32:E32"/>
    <mergeCell ref="F32:G32"/>
    <mergeCell ref="D41:E41"/>
    <mergeCell ref="B8:C8"/>
    <mergeCell ref="F41:G41"/>
    <mergeCell ref="F35:G35"/>
    <mergeCell ref="F38:G38"/>
    <mergeCell ref="D43:E43"/>
    <mergeCell ref="B7:C7"/>
    <mergeCell ref="B55:E55"/>
    <mergeCell ref="B43:C43"/>
    <mergeCell ref="F53:G53"/>
    <mergeCell ref="D27:E27"/>
    <mergeCell ref="B42:C42"/>
    <mergeCell ref="B54:E54"/>
    <mergeCell ref="B60:C60"/>
    <mergeCell ref="F36:G36"/>
    <mergeCell ref="F50:G50"/>
    <mergeCell ref="B19:C19"/>
    <mergeCell ref="B34:C34"/>
    <mergeCell ref="B28:C28"/>
    <mergeCell ref="D28:E28"/>
    <mergeCell ref="B26:G26"/>
    <mergeCell ref="B9:C9"/>
    <mergeCell ref="B30:C30"/>
    <mergeCell ref="B57:E57"/>
    <mergeCell ref="D30:E30"/>
    <mergeCell ref="B20:C20"/>
    <mergeCell ref="B44:E44"/>
    <mergeCell ref="B45:C45"/>
    <mergeCell ref="F49:G49"/>
    <mergeCell ref="B1:G1"/>
    <mergeCell ref="B13:G13"/>
    <mergeCell ref="B51:E51"/>
    <mergeCell ref="B18:C18"/>
    <mergeCell ref="B27:C27"/>
    <mergeCell ref="F30:G30"/>
    <mergeCell ref="B50:E50"/>
    <mergeCell ref="B11:C11"/>
    <mergeCell ref="F33:G33"/>
    <mergeCell ref="F45:G45"/>
    <mergeCell ref="F42:G42"/>
    <mergeCell ref="F47:G47"/>
    <mergeCell ref="B29:C29"/>
    <mergeCell ref="B37:C37"/>
    <mergeCell ref="D37:E37"/>
    <mergeCell ref="F31:G31"/>
    <mergeCell ref="F46:G46"/>
    <mergeCell ref="F28:G28"/>
    <mergeCell ref="D39:E39"/>
    <mergeCell ref="B3:G3"/>
    <mergeCell ref="B6:C6"/>
    <mergeCell ref="F39:G39"/>
    <mergeCell ref="B15:C15"/>
    <mergeCell ref="D29:E29"/>
    <mergeCell ref="F70:G70"/>
    <mergeCell ref="B38:C38"/>
    <mergeCell ref="B5:G5"/>
    <mergeCell ref="B40:C40"/>
    <mergeCell ref="F43:G43"/>
    <mergeCell ref="B24:C24"/>
    <mergeCell ref="B33:C33"/>
    <mergeCell ref="B59:G59"/>
    <mergeCell ref="D33:E33"/>
    <mergeCell ref="B69:E69"/>
    <mergeCell ref="B32:C32"/>
    <mergeCell ref="B41:C41"/>
    <mergeCell ref="B35:C35"/>
    <mergeCell ref="F57:G57"/>
    <mergeCell ref="D35:E35"/>
    <mergeCell ref="D62:G62"/>
    <mergeCell ref="B49:E49"/>
    <mergeCell ref="F54:G54"/>
    <mergeCell ref="D34:E34"/>
    <mergeCell ref="F34:G34"/>
    <mergeCell ref="B64:G64"/>
    <mergeCell ref="F66:G66"/>
    <mergeCell ref="B66:E66"/>
    <mergeCell ref="B67:E67"/>
    <mergeCell ref="B65:E65"/>
    <mergeCell ref="F29:G29"/>
    <mergeCell ref="D8:G8"/>
    <mergeCell ref="F68:G68"/>
    <mergeCell ref="B68:E68"/>
    <mergeCell ref="B22:C22"/>
    <mergeCell ref="B31:C31"/>
    <mergeCell ref="D36:E36"/>
    <mergeCell ref="D31:E31"/>
    <mergeCell ref="D45:E45"/>
    <mergeCell ref="B21:C21"/>
    <mergeCell ref="D60:G60"/>
    <mergeCell ref="B61:C61"/>
    <mergeCell ref="B14:C14"/>
    <mergeCell ref="B47:E47"/>
    <mergeCell ref="D61:G61"/>
    <mergeCell ref="B53:E53"/>
    <mergeCell ref="D38:E38"/>
  </mergeCells>
  <dataValidations count="4">
    <dataValidation type="list" allowBlank="1" showErrorMessage="1" errorTitle="Invalid" error="Select from list." sqref="D8" xr:uid="{00000000-0002-0000-0500-000000000000}">
      <formula1>"Corporate/Office Delivery,Hauling Service,Catering Delivery,Lipat-Bahay / House Moving,Condo Delivery / Move-In-Out,Other Trucking Service (Luzon)"</formula1>
    </dataValidation>
    <dataValidation type="list" allowBlank="1" showErrorMessage="1" errorTitle="Invalid" error="Select from list." sqref="D10" xr:uid="{00000000-0002-0000-0500-000001000000}">
      <formula1>"Metro Manila,Central Luzon,CALABARZON,North Luzon,South Luzon,Bicol Region,Mindoro,Palawan (via land+ferry)"</formula1>
    </dataValidation>
    <dataValidation type="list" allowBlank="1" showErrorMessage="1" errorTitle="Invalid" error="Select from list." sqref="D24 G18:G23" xr:uid="{00000000-0002-0000-0500-000005000000}">
      <formula1>"Yes,No"</formula1>
    </dataValidation>
    <dataValidation type="list" allowBlank="1" showErrorMessage="1" errorTitle="Invalid" error="Select from list." sqref="G24" xr:uid="{00000000-0002-0000-0500-00000C000000}">
      <formula1>"VAT-Exclusive,VAT-Inclusive,Non-VAT"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Invalid" error="Select from list." xr:uid="{00000000-0002-0000-0500-000002000000}">
          <x14:formula1>
            <xm:f>'TRUCK MASTERLIST'!$A$3:$A$19</xm:f>
          </x14:formula1>
          <xm:sqref>D14</xm:sqref>
        </x14:dataValidation>
        <x14:dataValidation type="list" allowBlank="1" showErrorMessage="1" errorTitle="Invalid" error="Select from list." xr:uid="{00000000-0002-0000-0500-000003000000}">
          <x14:formula1>
            <xm:f>'DRIVER MASTERLIST'!$B$3:$B$11</xm:f>
          </x14:formula1>
          <xm:sqref>D15</xm:sqref>
        </x14:dataValidation>
        <x14:dataValidation type="list" allowBlank="1" showErrorMessage="1" errorTitle="Invalid" error="Select from list." xr:uid="{00000000-0002-0000-0500-000004000000}">
          <x14:formula1>
            <xm:f>'HELPER MASTERLIST'!$B$3:$B$9</xm:f>
          </x14:formula1>
          <xm:sqref>G15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A6B21"/>
  </sheetPr>
  <dimension ref="B1:C53"/>
  <sheetViews>
    <sheetView showGridLines="0" workbookViewId="0">
      <selection activeCell="I23" sqref="I23"/>
    </sheetView>
  </sheetViews>
  <sheetFormatPr defaultRowHeight="15" x14ac:dyDescent="0.25"/>
  <cols>
    <col min="1" max="1" width="3" customWidth="1"/>
    <col min="2" max="2" width="28" customWidth="1"/>
    <col min="3" max="3" width="50" customWidth="1"/>
    <col min="4" max="4" width="3" customWidth="1"/>
  </cols>
  <sheetData>
    <row r="1" spans="2:3" ht="44.1" customHeight="1" x14ac:dyDescent="0.25">
      <c r="B1" s="84" t="s">
        <v>0</v>
      </c>
      <c r="C1" s="30"/>
    </row>
    <row r="2" spans="2:3" ht="30" customHeight="1" x14ac:dyDescent="0.25">
      <c r="B2" s="79" t="s">
        <v>303</v>
      </c>
      <c r="C2" s="30"/>
    </row>
    <row r="3" spans="2:3" ht="14.1" customHeight="1" x14ac:dyDescent="0.25">
      <c r="B3" s="58" t="s">
        <v>304</v>
      </c>
      <c r="C3" s="30"/>
    </row>
    <row r="5" spans="2:3" ht="20.100000000000001" customHeight="1" x14ac:dyDescent="0.25">
      <c r="B5" s="44" t="s">
        <v>305</v>
      </c>
      <c r="C5" s="30"/>
    </row>
    <row r="6" spans="2:3" ht="20.100000000000001" customHeight="1" x14ac:dyDescent="0.25">
      <c r="B6" s="23" t="s">
        <v>306</v>
      </c>
      <c r="C6" s="24">
        <f>'PRICE COMPUTATION'!D6</f>
        <v>0</v>
      </c>
    </row>
    <row r="7" spans="2:3" ht="20.100000000000001" customHeight="1" x14ac:dyDescent="0.25">
      <c r="B7" s="23" t="s">
        <v>307</v>
      </c>
      <c r="C7" s="12">
        <f>'PRICE COMPUTATION'!D7</f>
        <v>0</v>
      </c>
    </row>
    <row r="8" spans="2:3" ht="20.100000000000001" customHeight="1" x14ac:dyDescent="0.25">
      <c r="B8" s="23" t="s">
        <v>7</v>
      </c>
      <c r="C8" s="12">
        <f>'PRICE COMPUTATION'!G7</f>
        <v>0</v>
      </c>
    </row>
    <row r="9" spans="2:3" ht="20.100000000000001" customHeight="1" x14ac:dyDescent="0.25">
      <c r="B9" s="23" t="s">
        <v>8</v>
      </c>
      <c r="C9" s="12" t="str">
        <f>'PRICE COMPUTATION'!D8</f>
        <v>Lipat-Bahay / House Moving</v>
      </c>
    </row>
    <row r="10" spans="2:3" ht="20.100000000000001" customHeight="1" x14ac:dyDescent="0.25">
      <c r="B10" s="23" t="s">
        <v>9</v>
      </c>
      <c r="C10" s="12">
        <f>'PRICE COMPUTATION'!D9</f>
        <v>0</v>
      </c>
    </row>
    <row r="11" spans="2:3" ht="20.100000000000001" customHeight="1" x14ac:dyDescent="0.25">
      <c r="B11" s="23" t="s">
        <v>10</v>
      </c>
      <c r="C11" s="12">
        <f>'PRICE COMPUTATION'!G9</f>
        <v>0</v>
      </c>
    </row>
    <row r="12" spans="2:3" ht="20.100000000000001" customHeight="1" x14ac:dyDescent="0.25">
      <c r="B12" s="23" t="s">
        <v>308</v>
      </c>
      <c r="C12" s="12">
        <f>'PRICE COMPUTATION'!D10</f>
        <v>0</v>
      </c>
    </row>
    <row r="13" spans="2:3" ht="20.100000000000001" customHeight="1" x14ac:dyDescent="0.25">
      <c r="B13" s="23" t="s">
        <v>309</v>
      </c>
      <c r="C13" s="12" t="str">
        <f>IFERROR('PRICE COMPUTATION'!G10&amp;" km","")</f>
        <v>100 km</v>
      </c>
    </row>
    <row r="15" spans="2:3" ht="20.100000000000001" customHeight="1" x14ac:dyDescent="0.25">
      <c r="B15" s="44" t="s">
        <v>310</v>
      </c>
      <c r="C15" s="30"/>
    </row>
    <row r="16" spans="2:3" ht="20.100000000000001" customHeight="1" x14ac:dyDescent="0.25">
      <c r="B16" s="23" t="s">
        <v>16</v>
      </c>
      <c r="C16" s="12" t="str">
        <f>'PRICE COMPUTATION'!D14</f>
        <v>V6</v>
      </c>
    </row>
    <row r="17" spans="2:3" ht="20.100000000000001" customHeight="1" x14ac:dyDescent="0.25">
      <c r="B17" s="23" t="s">
        <v>311</v>
      </c>
      <c r="C17" s="12" t="str">
        <f>'PRICE COMPUTATION'!D15</f>
        <v>CAPALARAN, RONEL</v>
      </c>
    </row>
    <row r="18" spans="2:3" ht="20.100000000000001" customHeight="1" x14ac:dyDescent="0.25">
      <c r="B18" s="23" t="s">
        <v>312</v>
      </c>
      <c r="C18" s="12" t="str">
        <f>'PRICE COMPUTATION'!G15</f>
        <v>CULA, JORDAN</v>
      </c>
    </row>
    <row r="19" spans="2:3" ht="20.100000000000001" customHeight="1" x14ac:dyDescent="0.25">
      <c r="B19" s="23" t="s">
        <v>313</v>
      </c>
      <c r="C19" s="12">
        <f>'PRICE COMPUTATION'!G14</f>
        <v>2</v>
      </c>
    </row>
    <row r="20" spans="2:3" ht="20.100000000000001" customHeight="1" x14ac:dyDescent="0.25">
      <c r="B20" s="23" t="s">
        <v>314</v>
      </c>
      <c r="C20" s="12" t="str">
        <f>IFERROR('PRICE COMPUTATION'!D18&amp;" hours","")</f>
        <v>8 hours</v>
      </c>
    </row>
    <row r="22" spans="2:3" ht="20.100000000000001" customHeight="1" x14ac:dyDescent="0.25">
      <c r="B22" s="44" t="s">
        <v>247</v>
      </c>
      <c r="C22" s="30"/>
    </row>
    <row r="23" spans="2:3" ht="99.95" customHeight="1" x14ac:dyDescent="0.25">
      <c r="B23" s="81" t="s">
        <v>315</v>
      </c>
      <c r="C23" s="30"/>
    </row>
    <row r="24" spans="2:3" x14ac:dyDescent="0.25">
      <c r="B24" s="30"/>
      <c r="C24" s="30"/>
    </row>
    <row r="25" spans="2:3" x14ac:dyDescent="0.25">
      <c r="B25" s="30"/>
      <c r="C25" s="30"/>
    </row>
    <row r="26" spans="2:3" x14ac:dyDescent="0.25">
      <c r="B26" s="30"/>
      <c r="C26" s="30"/>
    </row>
    <row r="27" spans="2:3" x14ac:dyDescent="0.25">
      <c r="B27" s="30"/>
      <c r="C27" s="30"/>
    </row>
    <row r="29" spans="2:3" ht="20.100000000000001" customHeight="1" x14ac:dyDescent="0.25">
      <c r="B29" s="44" t="s">
        <v>316</v>
      </c>
      <c r="C29" s="30"/>
    </row>
    <row r="30" spans="2:3" ht="60" customHeight="1" x14ac:dyDescent="0.25">
      <c r="B30" s="80" t="s">
        <v>317</v>
      </c>
      <c r="C30" s="30"/>
    </row>
    <row r="31" spans="2:3" x14ac:dyDescent="0.25">
      <c r="B31" s="30"/>
      <c r="C31" s="30"/>
    </row>
    <row r="32" spans="2:3" x14ac:dyDescent="0.25">
      <c r="B32" s="30"/>
      <c r="C32" s="30"/>
    </row>
    <row r="34" spans="2:3" ht="20.100000000000001" customHeight="1" x14ac:dyDescent="0.25">
      <c r="B34" s="44" t="s">
        <v>318</v>
      </c>
      <c r="C34" s="30"/>
    </row>
    <row r="35" spans="2:3" ht="20.100000000000001" customHeight="1" x14ac:dyDescent="0.25">
      <c r="B35" s="23" t="s">
        <v>319</v>
      </c>
      <c r="C35" s="25">
        <f ca="1">'PRICE COMPUTATION'!F49</f>
        <v>9890.8235294117658</v>
      </c>
    </row>
    <row r="36" spans="2:3" ht="20.100000000000001" customHeight="1" x14ac:dyDescent="0.25">
      <c r="B36" s="23" t="s">
        <v>320</v>
      </c>
      <c r="C36" s="26">
        <f ca="1">'PRICE COMPUTATION'!F50</f>
        <v>11209.6</v>
      </c>
    </row>
    <row r="37" spans="2:3" ht="20.100000000000001" customHeight="1" x14ac:dyDescent="0.25">
      <c r="B37" s="23" t="s">
        <v>321</v>
      </c>
      <c r="C37" s="27">
        <f ca="1">'PRICE COMPUTATION'!F51</f>
        <v>14012.000000000002</v>
      </c>
    </row>
    <row r="38" spans="2:3" ht="8.1" customHeight="1" x14ac:dyDescent="0.25"/>
    <row r="39" spans="2:3" ht="30" customHeight="1" x14ac:dyDescent="0.25">
      <c r="B39" s="77" t="s">
        <v>322</v>
      </c>
      <c r="C39" s="30"/>
    </row>
    <row r="40" spans="2:3" ht="44.1" customHeight="1" x14ac:dyDescent="0.25">
      <c r="B40" s="83">
        <f ca="1">'PRICE COMPUTATION'!F57</f>
        <v>11209.6</v>
      </c>
      <c r="C40" s="30"/>
    </row>
    <row r="41" spans="2:3" ht="20.100000000000001" customHeight="1" x14ac:dyDescent="0.25">
      <c r="B41" s="23" t="s">
        <v>35</v>
      </c>
      <c r="C41" s="12" t="str">
        <f>'PRICE COMPUTATION'!G24</f>
        <v>VAT-Inclusive</v>
      </c>
    </row>
    <row r="42" spans="2:3" ht="20.100000000000001" customHeight="1" x14ac:dyDescent="0.25">
      <c r="B42" s="23" t="s">
        <v>323</v>
      </c>
      <c r="C42" s="28">
        <f ca="1">'PRICE COMPUTATION'!F55</f>
        <v>1201.0285714285728</v>
      </c>
    </row>
    <row r="44" spans="2:3" ht="20.100000000000001" customHeight="1" x14ac:dyDescent="0.25">
      <c r="B44" s="44" t="s">
        <v>324</v>
      </c>
      <c r="C44" s="30"/>
    </row>
    <row r="45" spans="2:3" ht="110.1" customHeight="1" x14ac:dyDescent="0.25">
      <c r="B45" s="85" t="s">
        <v>325</v>
      </c>
      <c r="C45" s="30"/>
    </row>
    <row r="46" spans="2:3" x14ac:dyDescent="0.25">
      <c r="B46" s="30"/>
      <c r="C46" s="30"/>
    </row>
    <row r="47" spans="2:3" x14ac:dyDescent="0.25">
      <c r="B47" s="30"/>
      <c r="C47" s="30"/>
    </row>
    <row r="48" spans="2:3" x14ac:dyDescent="0.25">
      <c r="B48" s="30"/>
      <c r="C48" s="30"/>
    </row>
    <row r="49" spans="2:3" x14ac:dyDescent="0.25">
      <c r="B49" s="30"/>
      <c r="C49" s="30"/>
    </row>
    <row r="50" spans="2:3" x14ac:dyDescent="0.25">
      <c r="B50" s="30"/>
      <c r="C50" s="30"/>
    </row>
    <row r="52" spans="2:3" ht="18" customHeight="1" x14ac:dyDescent="0.25">
      <c r="B52" s="78" t="s">
        <v>326</v>
      </c>
      <c r="C52" s="30"/>
    </row>
    <row r="53" spans="2:3" ht="14.1" customHeight="1" x14ac:dyDescent="0.25">
      <c r="B53" s="82" t="s">
        <v>327</v>
      </c>
      <c r="C53" s="30"/>
    </row>
  </sheetData>
  <mergeCells count="16">
    <mergeCell ref="B53:C53"/>
    <mergeCell ref="B40:C40"/>
    <mergeCell ref="B1:C1"/>
    <mergeCell ref="B45:C50"/>
    <mergeCell ref="B39:C39"/>
    <mergeCell ref="B52:C52"/>
    <mergeCell ref="B44:C44"/>
    <mergeCell ref="B2:C2"/>
    <mergeCell ref="B15:C15"/>
    <mergeCell ref="B29:C29"/>
    <mergeCell ref="B30:C32"/>
    <mergeCell ref="B3:C3"/>
    <mergeCell ref="B5:C5"/>
    <mergeCell ref="B34:C34"/>
    <mergeCell ref="B22:C22"/>
    <mergeCell ref="B23:C27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ROUTE-AREA SETTINGS</vt:lpstr>
      <vt:lpstr>HELPER MASTERLIST</vt:lpstr>
      <vt:lpstr>DRIVER MASTERLIST</vt:lpstr>
      <vt:lpstr>TRUCK MASTERLIST</vt:lpstr>
      <vt:lpstr>RATE SETTINGS</vt:lpstr>
      <vt:lpstr>PRICE COMPUTATION</vt:lpstr>
      <vt:lpstr>QUOTATION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e6135</cp:lastModifiedBy>
  <cp:lastPrinted>2026-05-19T09:56:58Z</cp:lastPrinted>
  <dcterms:created xsi:type="dcterms:W3CDTF">2026-05-19T09:46:33Z</dcterms:created>
  <dcterms:modified xsi:type="dcterms:W3CDTF">2026-05-19T12:06:27Z</dcterms:modified>
</cp:coreProperties>
</file>