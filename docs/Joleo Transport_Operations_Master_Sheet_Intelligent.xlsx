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_RATES" sheetId="1" r:id="rId4"/>
    <sheet state="visible" name="SETUP_TRUCKS" sheetId="2" r:id="rId5"/>
    <sheet state="visible" name="SETUP_DRIVERS" sheetId="3" r:id="rId6"/>
    <sheet state="visible" name="SETUP_HELPERS" sheetId="4" r:id="rId7"/>
    <sheet state="visible" name="CLIENTS" sheetId="5" r:id="rId8"/>
    <sheet state="visible" name="BOOKINGS" sheetId="6" r:id="rId9"/>
    <sheet state="visible" name="DISPATCH" sheetId="7" r:id="rId10"/>
    <sheet state="visible" name="TRIP_ACTUALS" sheetId="8" r:id="rId11"/>
    <sheet state="visible" name="COSTING" sheetId="9" r:id="rId12"/>
    <sheet state="visible" name="PROFITABILITY" sheetId="10" r:id="rId13"/>
    <sheet state="visible" name="BILLING" sheetId="11" r:id="rId14"/>
    <sheet state="visible" name="COLLECTIONS" sheetId="12" r:id="rId15"/>
    <sheet state="visible" name="TRIP_EVALUATION" sheetId="13" r:id="rId16"/>
    <sheet state="visible" name="DASHBOARD" sheetId="14" r:id="rId17"/>
  </sheets>
  <definedNames>
    <definedName hidden="1" localSheetId="1" name="_xlnm._FilterDatabase">SETUP_TRUCKS!$A$1:$Z$984</definedName>
  </definedNames>
  <calcPr/>
  <extLst>
    <ext uri="GoogleSheetsCustomDataVersion2">
      <go:sheetsCustomData xmlns:go="http://customooxmlschemas.google.com/" r:id="rId18" roundtripDataChecksum="1HkzmEXXGvHwQfxPpR5s6zZsHNDJOeupHQOdrJuxWMw="/>
    </ext>
  </extLst>
</workbook>
</file>

<file path=xl/sharedStrings.xml><?xml version="1.0" encoding="utf-8"?>
<sst xmlns="http://schemas.openxmlformats.org/spreadsheetml/2006/main" count="315" uniqueCount="218">
  <si>
    <t>Truck Type</t>
  </si>
  <si>
    <t>Min Charge</t>
  </si>
  <si>
    <t>Rate/KM</t>
  </si>
  <si>
    <t>Included Hours</t>
  </si>
  <si>
    <t>OT Rate/Hr</t>
  </si>
  <si>
    <t>Helper Rate</t>
  </si>
  <si>
    <t>Fuel Surcharge %</t>
  </si>
  <si>
    <t>Maintenance/Trip</t>
  </si>
  <si>
    <t>GLOBAL SETTINGS</t>
  </si>
  <si>
    <t>20 ftr - 6 wheels</t>
  </si>
  <si>
    <t>Free Waiting Hours</t>
  </si>
  <si>
    <t>16 ftr - 6 wheels</t>
  </si>
  <si>
    <t>Waiting Rate/Hr</t>
  </si>
  <si>
    <t>14 ftr - 6 wheels</t>
  </si>
  <si>
    <t>Default VAT %</t>
  </si>
  <si>
    <t>12 ftr - 6 wheels</t>
  </si>
  <si>
    <t>Target Margin %</t>
  </si>
  <si>
    <t>10 ftr - 4 wheels</t>
  </si>
  <si>
    <t>Fuel Alert % vs Standard</t>
  </si>
  <si>
    <t>Truck ID</t>
  </si>
  <si>
    <t>Plate No</t>
  </si>
  <si>
    <t>Capacity</t>
  </si>
  <si>
    <t>Fuel km/L</t>
  </si>
  <si>
    <t>Status</t>
  </si>
  <si>
    <t>Condition (1-5)</t>
  </si>
  <si>
    <t>Monthly Fixed Cost</t>
  </si>
  <si>
    <t>Notes</t>
  </si>
  <si>
    <t>V5</t>
  </si>
  <si>
    <t>XHR 788</t>
  </si>
  <si>
    <t>Active</t>
  </si>
  <si>
    <t>SVC</t>
  </si>
  <si>
    <t>V6</t>
  </si>
  <si>
    <t>REP 141</t>
  </si>
  <si>
    <t>3 tons</t>
  </si>
  <si>
    <t>V7</t>
  </si>
  <si>
    <t>RFZ 534</t>
  </si>
  <si>
    <t>3.5 tons</t>
  </si>
  <si>
    <t>V9</t>
  </si>
  <si>
    <t>XKD 180</t>
  </si>
  <si>
    <t>2 tons</t>
  </si>
  <si>
    <t>V10</t>
  </si>
  <si>
    <t>RJB 646</t>
  </si>
  <si>
    <t>6 tons</t>
  </si>
  <si>
    <t>V12</t>
  </si>
  <si>
    <t>TQO 775</t>
  </si>
  <si>
    <t>Under Repair</t>
  </si>
  <si>
    <t>V13</t>
  </si>
  <si>
    <t>UWI 887</t>
  </si>
  <si>
    <t>V15</t>
  </si>
  <si>
    <t>RBH 578</t>
  </si>
  <si>
    <t>10 ftr - 6 wheels</t>
  </si>
  <si>
    <t>V16</t>
  </si>
  <si>
    <t>UCC 523</t>
  </si>
  <si>
    <t>V17</t>
  </si>
  <si>
    <t>WLL 732</t>
  </si>
  <si>
    <t>V18</t>
  </si>
  <si>
    <t>RJE 141</t>
  </si>
  <si>
    <t>V20</t>
  </si>
  <si>
    <t>URR 575</t>
  </si>
  <si>
    <t>V21</t>
  </si>
  <si>
    <t>RHY 366</t>
  </si>
  <si>
    <t>V22</t>
  </si>
  <si>
    <t>RHV 542</t>
  </si>
  <si>
    <t>V23</t>
  </si>
  <si>
    <t>RJP 723</t>
  </si>
  <si>
    <t>ELF1</t>
  </si>
  <si>
    <t>XAM 959</t>
  </si>
  <si>
    <t>ELF2</t>
  </si>
  <si>
    <t>XSH 957</t>
  </si>
  <si>
    <t>16 ftr - 6 wheels drop side</t>
  </si>
  <si>
    <t>4 tons</t>
  </si>
  <si>
    <t>Driver ID</t>
  </si>
  <si>
    <t>Name</t>
  </si>
  <si>
    <t>Assigned Truck</t>
  </si>
  <si>
    <t>Rate Type (Daily/Trip)</t>
  </si>
  <si>
    <t>Rate</t>
  </si>
  <si>
    <t>Experience</t>
  </si>
  <si>
    <t>CARAGAY, ROGELIO JR.</t>
  </si>
  <si>
    <t>CAPALARAN , RONEL</t>
  </si>
  <si>
    <t>CORAÑES, RODNEY</t>
  </si>
  <si>
    <t>IGNACIO, PHILIP</t>
  </si>
  <si>
    <t xml:space="preserve">URR 575 </t>
  </si>
  <si>
    <t>LORETO, ANTONIO</t>
  </si>
  <si>
    <t>CASINOVA, ARMANDO</t>
  </si>
  <si>
    <t>LIBONGCOGON, RONALD</t>
  </si>
  <si>
    <t>NO PERMANENT TRUCK</t>
  </si>
  <si>
    <t>PREDILLA, NILO</t>
  </si>
  <si>
    <t>PREDILLA , ALLAN JAY</t>
  </si>
  <si>
    <t>Helper ID</t>
  </si>
  <si>
    <t>Rate/Day</t>
  </si>
  <si>
    <t>BONTIGAO, FRANCIS</t>
  </si>
  <si>
    <t>CABANIGAN, JOEL</t>
  </si>
  <si>
    <t>CULA, JORDAN</t>
  </si>
  <si>
    <t>LANUZA, JC</t>
  </si>
  <si>
    <t>LIBONGCOGON, RENIL</t>
  </si>
  <si>
    <t>ONDOC, JUNNIFER</t>
  </si>
  <si>
    <t>ROQUE, JOHN</t>
  </si>
  <si>
    <t>Client ID</t>
  </si>
  <si>
    <t>Company Name</t>
  </si>
  <si>
    <t>Contact Person</t>
  </si>
  <si>
    <t>Mobile</t>
  </si>
  <si>
    <t>Email</t>
  </si>
  <si>
    <t>Payment Terms</t>
  </si>
  <si>
    <t>Avg Booking/Month</t>
  </si>
  <si>
    <t>ROBINSONS APPLIANCES CORP</t>
  </si>
  <si>
    <t>MS. LINDSEY USQUISA</t>
  </si>
  <si>
    <t>0998-841-4637</t>
  </si>
  <si>
    <t>lindsey.usquisa@robinsonsretail.com.ph</t>
  </si>
  <si>
    <t>30 DAYS</t>
  </si>
  <si>
    <t>26 per cluster / 5 cluster</t>
  </si>
  <si>
    <t>ROBINSONS HANDYMAN INC</t>
  </si>
  <si>
    <t>23 per cluster / 2 cluster</t>
  </si>
  <si>
    <t>UNITED RENRYSON MANUFACTURING OPC</t>
  </si>
  <si>
    <t>MS. JENNY ANCERO</t>
  </si>
  <si>
    <t>0917-3159710</t>
  </si>
  <si>
    <t>urmc.plant@gmail.com</t>
  </si>
  <si>
    <t>1 WEEK</t>
  </si>
  <si>
    <t>BLOOMING VENTURES INC</t>
  </si>
  <si>
    <t>MS. KRIS DELOS SANTOS</t>
  </si>
  <si>
    <t>0917-5555933</t>
  </si>
  <si>
    <t>blooming.kris4@gmail.com</t>
  </si>
  <si>
    <t>L &amp; T DESIGN POWERHAUS</t>
  </si>
  <si>
    <t>MS. JOVY GOLLOSO</t>
  </si>
  <si>
    <t>0917-9766744</t>
  </si>
  <si>
    <t>jovy_golloso@yahoo.com</t>
  </si>
  <si>
    <t>Booking ID</t>
  </si>
  <si>
    <t>Date</t>
  </si>
  <si>
    <t>Pickup</t>
  </si>
  <si>
    <t>Drop-off</t>
  </si>
  <si>
    <t>Distance (km)</t>
  </si>
  <si>
    <t>Requested Date</t>
  </si>
  <si>
    <t>Requested Time</t>
  </si>
  <si>
    <t>Helpers Needed</t>
  </si>
  <si>
    <t>Cargo Type</t>
  </si>
  <si>
    <t>Quoted Amount</t>
  </si>
  <si>
    <t>Est. Base Charge</t>
  </si>
  <si>
    <t>Est. Helper Cost</t>
  </si>
  <si>
    <t>Est. Total Quote</t>
  </si>
  <si>
    <t>Booking Month</t>
  </si>
  <si>
    <t>Helper ID(s)</t>
  </si>
  <si>
    <t>Dispatch Time</t>
  </si>
  <si>
    <t>Estimated End Time</t>
  </si>
  <si>
    <t>Trip Duration (Hrs)</t>
  </si>
  <si>
    <t>Dispatch Notes</t>
  </si>
  <si>
    <t>Actual Start</t>
  </si>
  <si>
    <t>Actual End</t>
  </si>
  <si>
    <t>Fuel Used (L)</t>
  </si>
  <si>
    <t>Fuel Cost</t>
  </si>
  <si>
    <t>Toll</t>
  </si>
  <si>
    <t>Parking</t>
  </si>
  <si>
    <t>Waiting Hours</t>
  </si>
  <si>
    <t>OT Hours</t>
  </si>
  <si>
    <t>Issues</t>
  </si>
  <si>
    <t>Actual Duration (Hrs)</t>
  </si>
  <si>
    <t>Expected Fuel Cost</t>
  </si>
  <si>
    <t>Fuel Variance</t>
  </si>
  <si>
    <t>Completion Status</t>
  </si>
  <si>
    <t>Cost Notes</t>
  </si>
  <si>
    <t>Base Charge</t>
  </si>
  <si>
    <t>Helper Cost</t>
  </si>
  <si>
    <t>Waiting Cost</t>
  </si>
  <si>
    <t>OT Cost</t>
  </si>
  <si>
    <t>Maintenance Cost</t>
  </si>
  <si>
    <t>Total Cost</t>
  </si>
  <si>
    <t>Revenue</t>
  </si>
  <si>
    <t>Variance vs Quote</t>
  </si>
  <si>
    <t>Cost % of Revenue</t>
  </si>
  <si>
    <t>Profit</t>
  </si>
  <si>
    <t>Margin %</t>
  </si>
  <si>
    <t>Above Target?</t>
  </si>
  <si>
    <t>Profit Status</t>
  </si>
  <si>
    <t>Invoice No</t>
  </si>
  <si>
    <t>Date Billed</t>
  </si>
  <si>
    <t>Amount Billed</t>
  </si>
  <si>
    <t>VAT</t>
  </si>
  <si>
    <t>Total Invoice</t>
  </si>
  <si>
    <t>Due Date</t>
  </si>
  <si>
    <t>Collection Status</t>
  </si>
  <si>
    <t>Client</t>
  </si>
  <si>
    <t>Amount Due</t>
  </si>
  <si>
    <t>Amount Paid</t>
  </si>
  <si>
    <t>Balance</t>
  </si>
  <si>
    <t>Date Paid</t>
  </si>
  <si>
    <t>Aging Days</t>
  </si>
  <si>
    <t>Aging Bucket</t>
  </si>
  <si>
    <t>Truck Score (1-5)</t>
  </si>
  <si>
    <t>Driver Score (1-5)</t>
  </si>
  <si>
    <t>Helper Score (1-5)</t>
  </si>
  <si>
    <t>Delay (mins)</t>
  </si>
  <si>
    <t>Breakdown?</t>
  </si>
  <si>
    <t>Customer Rating</t>
  </si>
  <si>
    <t>Remarks</t>
  </si>
  <si>
    <t>Vehicle Class</t>
  </si>
  <si>
    <t>Driver Class</t>
  </si>
  <si>
    <t>Helper Class</t>
  </si>
  <si>
    <t>TRUCKING OPERATIONS DASHBOARD</t>
  </si>
  <si>
    <t>KPI</t>
  </si>
  <si>
    <t>Value</t>
  </si>
  <si>
    <t>Total Bookings</t>
  </si>
  <si>
    <t>Completed Trips</t>
  </si>
  <si>
    <t>Confirmed/Assigned Trips</t>
  </si>
  <si>
    <t>Cancelled Trips</t>
  </si>
  <si>
    <t>Total Quoted Revenue</t>
  </si>
  <si>
    <t>Total Profit</t>
  </si>
  <si>
    <t>Avg Margin %</t>
  </si>
  <si>
    <t>Total Invoiced</t>
  </si>
  <si>
    <t>Outstanding Receivables</t>
  </si>
  <si>
    <t>Collected Amount</t>
  </si>
  <si>
    <t>Overdue Invoices</t>
  </si>
  <si>
    <t>Active Trucks</t>
  </si>
  <si>
    <t>Active Drivers</t>
  </si>
  <si>
    <t>Avg Truck Score</t>
  </si>
  <si>
    <t>Avg Driver Score</t>
  </si>
  <si>
    <t>Loss-Making Trips</t>
  </si>
  <si>
    <t>Low-Margin Trips</t>
  </si>
  <si>
    <t>Top Client by Revenue</t>
  </si>
  <si>
    <t>Current Month Revenue</t>
  </si>
  <si>
    <t>CONTROL INPUTS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</si>
</sst>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hh:mm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0" fillId="0" fontId="3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0" fontId="3" numFmtId="9" xfId="0" applyAlignment="1" applyFont="1" applyNumberFormat="1">
      <alignment horizontal="center" readingOrder="0"/>
    </xf>
    <xf borderId="0" fillId="0" fontId="5" numFmtId="0" xfId="0" applyAlignment="1" applyFon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0" fillId="4" fontId="6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5" fontId="3" numFmtId="4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horizontal="center"/>
    </xf>
    <xf borderId="0" fillId="4" fontId="3" numFmtId="4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1" fillId="2" fontId="1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9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3" numFmtId="10" xfId="0" applyFont="1" applyNumberFormat="1"/>
    <xf borderId="2" fillId="2" fontId="7" numFmtId="0" xfId="0" applyAlignment="1" applyBorder="1" applyFont="1">
      <alignment horizontal="center"/>
    </xf>
    <xf borderId="4" fillId="0" fontId="2" numFmtId="0" xfId="0" applyBorder="1" applyFont="1"/>
    <xf borderId="1" fillId="6" fontId="5" numFmtId="0" xfId="0" applyBorder="1" applyFill="1" applyFont="1"/>
    <xf borderId="1" fillId="7" fontId="5" numFmtId="0" xfId="0" applyBorder="1" applyFill="1" applyFont="1"/>
    <xf borderId="0" fillId="0" fontId="4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>
        <b/>
        <color rgb="FFB91C1C"/>
      </font>
      <fill>
        <patternFill patternType="solid">
          <fgColor rgb="FFFDE2E1"/>
          <bgColor rgb="FFFDE2E1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2">
    <tableStyle count="3" pivot="0" name="SETUP_RATES-style">
      <tableStyleElement dxfId="1" type="headerRow"/>
      <tableStyleElement dxfId="2" type="firstRowStripe"/>
      <tableStyleElement dxfId="3" type="secondRowStripe"/>
    </tableStyle>
    <tableStyle count="3" pivot="0" name="SETUP_DRIVERS-style">
      <tableStyleElement dxfId="1" type="headerRow"/>
      <tableStyleElement dxfId="2" type="firstRowStripe"/>
      <tableStyleElement dxfId="3" type="secondRowStripe"/>
    </tableStyle>
    <tableStyle count="3" pivot="0" name="SETUP_HELPERS-style">
      <tableStyleElement dxfId="1" type="headerRow"/>
      <tableStyleElement dxfId="2" type="firstRowStripe"/>
      <tableStyleElement dxfId="3" type="secondRowStripe"/>
    </tableStyle>
    <tableStyle count="3" pivot="0" name="CLIENTS-style">
      <tableStyleElement dxfId="1" type="headerRow"/>
      <tableStyleElement dxfId="2" type="firstRowStripe"/>
      <tableStyleElement dxfId="3" type="secondRowStripe"/>
    </tableStyle>
    <tableStyle count="3" pivot="0" name="BOOKINGS-style">
      <tableStyleElement dxfId="1" type="headerRow"/>
      <tableStyleElement dxfId="2" type="firstRowStripe"/>
      <tableStyleElement dxfId="3" type="secondRowStripe"/>
    </tableStyle>
    <tableStyle count="3" pivot="0" name="DISPATCH-style">
      <tableStyleElement dxfId="1" type="headerRow"/>
      <tableStyleElement dxfId="2" type="firstRowStripe"/>
      <tableStyleElement dxfId="3" type="secondRowStripe"/>
    </tableStyle>
    <tableStyle count="3" pivot="0" name="TRIP_ACTUALS-style">
      <tableStyleElement dxfId="1" type="headerRow"/>
      <tableStyleElement dxfId="2" type="firstRowStripe"/>
      <tableStyleElement dxfId="3" type="secondRowStripe"/>
    </tableStyle>
    <tableStyle count="3" pivot="0" name="COSTING-style">
      <tableStyleElement dxfId="1" type="headerRow"/>
      <tableStyleElement dxfId="2" type="firstRowStripe"/>
      <tableStyleElement dxfId="3" type="secondRowStripe"/>
    </tableStyle>
    <tableStyle count="3" pivot="0" name="PROFITABILITY-style">
      <tableStyleElement dxfId="1" type="headerRow"/>
      <tableStyleElement dxfId="2" type="firstRowStripe"/>
      <tableStyleElement dxfId="3" type="secondRowStripe"/>
    </tableStyle>
    <tableStyle count="3" pivot="0" name="BILLING-style">
      <tableStyleElement dxfId="1" type="headerRow"/>
      <tableStyleElement dxfId="2" type="firstRowStripe"/>
      <tableStyleElement dxfId="3" type="secondRowStripe"/>
    </tableStyle>
    <tableStyle count="3" pivot="0" name="COLLECTIONS-style">
      <tableStyleElement dxfId="1" type="headerRow"/>
      <tableStyleElement dxfId="2" type="firstRowStripe"/>
      <tableStyleElement dxfId="3" type="secondRowStripe"/>
    </tableStyle>
    <tableStyle count="3" pivot="0" name="TRIP_EVALU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" displayName="Table_1" name="Table_1" id="1">
  <tableColumns count="8">
    <tableColumn name="Truck Type" id="1"/>
    <tableColumn name="Min Charge" id="2"/>
    <tableColumn name="Rate/KM" id="3"/>
    <tableColumn name="Included Hours" id="4"/>
    <tableColumn name="OT Rate/Hr" id="5"/>
    <tableColumn name="Helper Rate" id="6"/>
    <tableColumn name="Fuel Surcharge %" id="7"/>
    <tableColumn name="Maintenance/Trip" id="8"/>
  </tableColumns>
  <tableStyleInfo name="SETUP_RATES-style" showColumnStripes="0" showFirstColumn="1" showLastColumn="1" showRowStripes="1"/>
</table>
</file>

<file path=xl/tables/table2.xml><?xml version="1.0" encoding="utf-8"?>
<table xmlns="http://schemas.openxmlformats.org/spreadsheetml/2006/main" ref="A1:H21" displayName="Table_2" name="Table_2" id="2">
  <tableColumns count="8">
    <tableColumn name="Driver ID" id="1"/>
    <tableColumn name="Name" id="2"/>
    <tableColumn name="Assigned Truck" id="3"/>
    <tableColumn name="Rate Type (Daily/Trip)" id="4"/>
    <tableColumn name="Rate" id="5"/>
    <tableColumn name="Status" id="6"/>
    <tableColumn name="Experience" id="7"/>
    <tableColumn name="Notes" id="8"/>
  </tableColumns>
  <tableStyleInfo name="SETUP_DRIVERS-style" showColumnStripes="0" showFirstColumn="1" showLastColumn="1" showRowStripes="1"/>
</table>
</file>

<file path=xl/tables/table3.xml><?xml version="1.0" encoding="utf-8"?>
<table xmlns="http://schemas.openxmlformats.org/spreadsheetml/2006/main" ref="A1:E12" displayName="Table_3" name="Table_3" id="3">
  <tableColumns count="5">
    <tableColumn name="Helper ID" id="1"/>
    <tableColumn name="Name" id="2"/>
    <tableColumn name="Rate/Day" id="3"/>
    <tableColumn name="Status" id="4"/>
    <tableColumn name="Notes" id="5"/>
  </tableColumns>
  <tableStyleInfo name="SETUP_HELPERS-style" showColumnStripes="0" showFirstColumn="1" showLastColumn="1" showRowStripes="1"/>
</table>
</file>

<file path=xl/tables/table4.xml><?xml version="1.0" encoding="utf-8"?>
<table xmlns="http://schemas.openxmlformats.org/spreadsheetml/2006/main" ref="A1:H6" displayName="Table_4" name="Table_4" id="4">
  <tableColumns count="8">
    <tableColumn name="Client ID" id="1"/>
    <tableColumn name="Company Name" id="2"/>
    <tableColumn name="Contact Person" id="3"/>
    <tableColumn name="Mobile" id="4"/>
    <tableColumn name="Email" id="5"/>
    <tableColumn name="Payment Terms" id="6"/>
    <tableColumn name="Avg Booking/Month" id="7"/>
    <tableColumn name="Notes" id="8"/>
  </tableColumns>
  <tableStyleInfo name="CLIENTS-style" showColumnStripes="0" showFirstColumn="1" showLastColumn="1" showRowStripes="1"/>
</table>
</file>

<file path=xl/tables/table5.xml><?xml version="1.0" encoding="utf-8"?>
<table xmlns="http://schemas.openxmlformats.org/spreadsheetml/2006/main" ref="A1:M2" displayName="Table_5" name="Table_5" id="5">
  <tableColumns count="13">
    <tableColumn name="Booking ID" id="1"/>
    <tableColumn name="Date" id="2"/>
    <tableColumn name="Client ID" id="3"/>
    <tableColumn name="Pickup" id="4"/>
    <tableColumn name="Drop-off" id="5"/>
    <tableColumn name="Distance (km)" id="6"/>
    <tableColumn name="Truck Type" id="7"/>
    <tableColumn name="Requested Date" id="8"/>
    <tableColumn name="Requested Time" id="9"/>
    <tableColumn name="Helpers Needed" id="10"/>
    <tableColumn name="Cargo Type" id="11"/>
    <tableColumn name="Status" id="12"/>
    <tableColumn name="Quoted Amount" id="13"/>
  </tableColumns>
  <tableStyleInfo name="BOOKINGS-style" showColumnStripes="0" showFirstColumn="1" showLastColumn="1" showRowStripes="1"/>
</table>
</file>

<file path=xl/tables/table6.xml><?xml version="1.0" encoding="utf-8"?>
<table xmlns="http://schemas.openxmlformats.org/spreadsheetml/2006/main" ref="A1:G2" displayName="Table_6" name="Table_6" id="6">
  <tableColumns count="7">
    <tableColumn name="Booking ID" id="1"/>
    <tableColumn name="Truck ID" id="2"/>
    <tableColumn name="Driver ID" id="3"/>
    <tableColumn name="Helper ID(s)" id="4"/>
    <tableColumn name="Dispatch Time" id="5"/>
    <tableColumn name="Estimated End Time" id="6"/>
    <tableColumn name="Status" id="7"/>
  </tableColumns>
  <tableStyleInfo name="DISPATCH-style" showColumnStripes="0" showFirstColumn="1" showLastColumn="1" showRowStripes="1"/>
</table>
</file>

<file path=xl/tables/table7.xml><?xml version="1.0" encoding="utf-8"?>
<table xmlns="http://schemas.openxmlformats.org/spreadsheetml/2006/main" ref="A1:J2" displayName="Table_7" name="Table_7" id="7">
  <tableColumns count="10">
    <tableColumn name="Booking ID" id="1"/>
    <tableColumn name="Actual Start" id="2"/>
    <tableColumn name="Actual End" id="3"/>
    <tableColumn name="Fuel Used (L)" id="4"/>
    <tableColumn name="Fuel Cost" id="5"/>
    <tableColumn name="Toll" id="6"/>
    <tableColumn name="Parking" id="7"/>
    <tableColumn name="Waiting Hours" id="8"/>
    <tableColumn name="OT Hours" id="9"/>
    <tableColumn name="Issues" id="10"/>
  </tableColumns>
  <tableStyleInfo name="TRIP_ACTUALS-style" showColumnStripes="0" showFirstColumn="1" showLastColumn="1" showRowStripes="1"/>
</table>
</file>

<file path=xl/tables/table8.xml><?xml version="1.0" encoding="utf-8"?>
<table xmlns="http://schemas.openxmlformats.org/spreadsheetml/2006/main" ref="A1:I2" displayName="Table_8" name="Table_8" id="8">
  <tableColumns count="9">
    <tableColumn name="Booking ID" id="1"/>
    <tableColumn name="Base Charge" id="2"/>
    <tableColumn name="Helper Cost" id="3"/>
    <tableColumn name="Waiting Cost" id="4"/>
    <tableColumn name="OT Cost" id="5"/>
    <tableColumn name="Fuel Cost" id="6"/>
    <tableColumn name="Toll" id="7"/>
    <tableColumn name="Maintenance Cost" id="8"/>
    <tableColumn name="Total Cost" id="9"/>
  </tableColumns>
  <tableStyleInfo name="COSTING-style" showColumnStripes="0" showFirstColumn="1" showLastColumn="1" showRowStripes="1"/>
</table>
</file>

<file path=xl/tables/table9.xml><?xml version="1.0" encoding="utf-8"?>
<table xmlns="http://schemas.openxmlformats.org/spreadsheetml/2006/main" ref="A1:E2" displayName="Table_9" name="Table_9" id="9">
  <tableColumns count="5">
    <tableColumn name="Booking ID" id="1"/>
    <tableColumn name="Revenue" id="2"/>
    <tableColumn name="Total Cost" id="3"/>
    <tableColumn name="Profit" id="4"/>
    <tableColumn name="Margin %" id="5"/>
  </tableColumns>
  <tableStyleInfo name="PROFITABILITY-style" showColumnStripes="0" showFirstColumn="1" showLastColumn="1" showRowStripes="1"/>
</table>
</file>

<file path=xl/tables/table10.xml><?xml version="1.0" encoding="utf-8"?>
<table xmlns="http://schemas.openxmlformats.org/spreadsheetml/2006/main" ref="A1:G2" displayName="Table_10" name="Table_10" id="10">
  <tableColumns count="7">
    <tableColumn name="Booking ID" id="1"/>
    <tableColumn name="Invoice No" id="2"/>
    <tableColumn name="Date Billed" id="3"/>
    <tableColumn name="Amount Billed" id="4"/>
    <tableColumn name="VAT" id="5"/>
    <tableColumn name="Total Invoice" id="6"/>
    <tableColumn name="Status" id="7"/>
  </tableColumns>
  <tableStyleInfo name="BILLING-style" showColumnStripes="0" showFirstColumn="1" showLastColumn="1" showRowStripes="1"/>
</table>
</file>

<file path=xl/tables/table11.xml><?xml version="1.0" encoding="utf-8"?>
<table xmlns="http://schemas.openxmlformats.org/spreadsheetml/2006/main" ref="A1:G2" displayName="Table_11" name="Table_11" id="11">
  <tableColumns count="7">
    <tableColumn name="Invoice No" id="1"/>
    <tableColumn name="Client" id="2"/>
    <tableColumn name="Amount Due" id="3"/>
    <tableColumn name="Amount Paid" id="4"/>
    <tableColumn name="Balance" id="5"/>
    <tableColumn name="Date Paid" id="6"/>
    <tableColumn name="Status" id="7"/>
  </tableColumns>
  <tableStyleInfo name="COLLECTIONS-style" showColumnStripes="0" showFirstColumn="1" showLastColumn="1" showRowStripes="1"/>
</table>
</file>

<file path=xl/tables/table12.xml><?xml version="1.0" encoding="utf-8"?>
<table xmlns="http://schemas.openxmlformats.org/spreadsheetml/2006/main" ref="A1:H2" displayName="Table_12" name="Table_12" id="12">
  <tableColumns count="8">
    <tableColumn name="Booking ID" id="1"/>
    <tableColumn name="Truck Score (1-5)" id="2"/>
    <tableColumn name="Driver Score (1-5)" id="3"/>
    <tableColumn name="Helper Score (1-5)" id="4"/>
    <tableColumn name="Delay (mins)" id="5"/>
    <tableColumn name="Breakdown?" id="6"/>
    <tableColumn name="Customer Rating" id="7"/>
    <tableColumn name="Remarks" id="8"/>
  </tableColumns>
  <tableStyleInfo name="TRIP_EVALU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9.71"/>
    <col customWidth="1" hidden="1" min="9" max="9" width="8.71"/>
    <col customWidth="1" min="10" max="11" width="18.0"/>
    <col customWidth="1" hidden="1" min="12" max="17" width="8.71"/>
    <col customWidth="1" min="18" max="26" width="8.71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4" t="s">
        <v>8</v>
      </c>
      <c r="K1" s="5"/>
      <c r="L1" s="3"/>
      <c r="M1" s="3"/>
      <c r="N1" s="3"/>
      <c r="O1" s="3"/>
      <c r="P1" s="3"/>
      <c r="Q1" s="3"/>
    </row>
    <row r="2" ht="16.5" customHeight="1">
      <c r="A2" s="6" t="s">
        <v>9</v>
      </c>
      <c r="B2" s="7">
        <v>6000.0</v>
      </c>
      <c r="C2" s="6">
        <v>136.5</v>
      </c>
      <c r="D2" s="6"/>
      <c r="E2" s="6">
        <v>350.0</v>
      </c>
      <c r="F2" s="8"/>
      <c r="G2" s="8"/>
      <c r="H2" s="9">
        <v>0.15</v>
      </c>
      <c r="J2" s="10" t="s">
        <v>10</v>
      </c>
      <c r="K2" s="11">
        <v>1.0</v>
      </c>
    </row>
    <row r="3" ht="16.5" customHeight="1">
      <c r="A3" s="6" t="s">
        <v>11</v>
      </c>
      <c r="B3" s="7">
        <v>6000.0</v>
      </c>
      <c r="C3" s="6">
        <v>110.0</v>
      </c>
      <c r="D3" s="8"/>
      <c r="E3" s="6">
        <v>250.0</v>
      </c>
      <c r="F3" s="8"/>
      <c r="G3" s="8"/>
      <c r="H3" s="9">
        <v>0.15</v>
      </c>
      <c r="J3" s="10" t="s">
        <v>12</v>
      </c>
      <c r="K3" s="11">
        <v>500.0</v>
      </c>
    </row>
    <row r="4" ht="16.5" customHeight="1">
      <c r="A4" s="6" t="s">
        <v>13</v>
      </c>
      <c r="B4" s="6">
        <v>5500.0</v>
      </c>
      <c r="C4" s="6">
        <v>105.0</v>
      </c>
      <c r="D4" s="8"/>
      <c r="E4" s="6">
        <v>250.0</v>
      </c>
      <c r="F4" s="8"/>
      <c r="G4" s="8"/>
      <c r="H4" s="9">
        <v>0.15</v>
      </c>
      <c r="J4" s="10" t="s">
        <v>14</v>
      </c>
      <c r="K4" s="12">
        <v>0.12</v>
      </c>
    </row>
    <row r="5" ht="16.5" customHeight="1">
      <c r="A5" s="13" t="s">
        <v>15</v>
      </c>
      <c r="B5" s="6">
        <v>5000.0</v>
      </c>
      <c r="C5" s="6">
        <v>105.0</v>
      </c>
      <c r="D5" s="8"/>
      <c r="E5" s="6">
        <v>250.0</v>
      </c>
      <c r="F5" s="8"/>
      <c r="G5" s="8"/>
      <c r="H5" s="9">
        <v>0.15</v>
      </c>
      <c r="J5" s="10" t="s">
        <v>16</v>
      </c>
      <c r="K5" s="12">
        <v>0.2</v>
      </c>
    </row>
    <row r="6" ht="16.5" customHeight="1">
      <c r="A6" s="13" t="s">
        <v>17</v>
      </c>
      <c r="B6" s="6">
        <v>4500.0</v>
      </c>
      <c r="C6" s="6">
        <v>100.0</v>
      </c>
      <c r="D6" s="8"/>
      <c r="E6" s="6">
        <v>250.0</v>
      </c>
      <c r="F6" s="8"/>
      <c r="G6" s="8"/>
      <c r="H6" s="9">
        <v>0.15</v>
      </c>
      <c r="J6" s="10" t="s">
        <v>18</v>
      </c>
      <c r="K6" s="12">
        <v>0.15</v>
      </c>
    </row>
    <row r="7" ht="16.5" customHeight="1">
      <c r="A7" s="14"/>
      <c r="B7" s="15"/>
      <c r="C7" s="15"/>
      <c r="D7" s="15"/>
      <c r="E7" s="15"/>
      <c r="F7" s="15"/>
      <c r="G7" s="15"/>
      <c r="H7" s="15"/>
    </row>
    <row r="8" ht="16.5" customHeight="1">
      <c r="A8" s="14"/>
      <c r="B8" s="15"/>
      <c r="C8" s="15"/>
      <c r="D8" s="15"/>
      <c r="E8" s="15"/>
      <c r="F8" s="15"/>
      <c r="G8" s="15"/>
      <c r="H8" s="15"/>
    </row>
    <row r="9" ht="16.5" customHeight="1">
      <c r="A9" s="14"/>
      <c r="B9" s="15"/>
      <c r="C9" s="15"/>
      <c r="D9" s="15"/>
      <c r="E9" s="15"/>
      <c r="F9" s="15"/>
      <c r="G9" s="15"/>
      <c r="H9" s="15"/>
    </row>
    <row r="10" ht="16.5" customHeight="1">
      <c r="A10" s="14"/>
      <c r="B10" s="15"/>
      <c r="C10" s="15"/>
      <c r="D10" s="15"/>
      <c r="E10" s="15"/>
      <c r="F10" s="15"/>
      <c r="G10" s="15"/>
      <c r="H10" s="15"/>
    </row>
    <row r="11">
      <c r="A11" s="14"/>
      <c r="B11" s="15"/>
      <c r="C11" s="15"/>
      <c r="D11" s="16"/>
      <c r="E11" s="15"/>
      <c r="F11" s="15"/>
      <c r="G11" s="15"/>
      <c r="H11" s="15"/>
    </row>
    <row r="12">
      <c r="A12" s="14"/>
      <c r="B12" s="15"/>
      <c r="C12" s="15"/>
      <c r="D12" s="16"/>
      <c r="E12" s="15"/>
      <c r="F12" s="15"/>
      <c r="G12" s="15"/>
      <c r="H12" s="15"/>
    </row>
    <row r="13">
      <c r="A13" s="14"/>
      <c r="B13" s="15"/>
      <c r="C13" s="15"/>
      <c r="D13" s="16"/>
      <c r="E13" s="15"/>
      <c r="F13" s="15"/>
      <c r="G13" s="15"/>
      <c r="H13" s="15"/>
    </row>
    <row r="14">
      <c r="A14" s="14"/>
      <c r="B14" s="15"/>
      <c r="C14" s="15"/>
      <c r="D14" s="15"/>
      <c r="E14" s="15"/>
      <c r="F14" s="15"/>
      <c r="G14" s="15"/>
      <c r="H14" s="15"/>
    </row>
    <row r="15">
      <c r="A15" s="14"/>
      <c r="B15" s="15"/>
      <c r="C15" s="15"/>
      <c r="D15" s="15"/>
      <c r="E15" s="15"/>
      <c r="F15" s="15"/>
      <c r="G15" s="15"/>
      <c r="H15" s="15"/>
    </row>
    <row r="16">
      <c r="A16" s="14"/>
      <c r="B16" s="15"/>
      <c r="C16" s="15"/>
      <c r="D16" s="15"/>
      <c r="E16" s="15"/>
      <c r="F16" s="15"/>
      <c r="G16" s="15"/>
      <c r="H16" s="15"/>
    </row>
    <row r="17">
      <c r="A17" s="14"/>
      <c r="B17" s="15"/>
      <c r="C17" s="15"/>
      <c r="D17" s="15"/>
      <c r="E17" s="15"/>
      <c r="F17" s="15"/>
      <c r="G17" s="15"/>
      <c r="H17" s="15"/>
    </row>
    <row r="18">
      <c r="A18" s="14"/>
      <c r="B18" s="15"/>
      <c r="C18" s="15"/>
      <c r="D18" s="15"/>
      <c r="E18" s="15"/>
      <c r="F18" s="15"/>
      <c r="G18" s="15"/>
      <c r="H18" s="15"/>
    </row>
    <row r="19">
      <c r="A19" s="14"/>
      <c r="B19" s="15"/>
      <c r="C19" s="15"/>
      <c r="D19" s="15"/>
      <c r="E19" s="15"/>
      <c r="F19" s="15"/>
      <c r="G19" s="15"/>
      <c r="H19" s="15"/>
    </row>
    <row r="20">
      <c r="A20" s="14"/>
      <c r="B20" s="15"/>
      <c r="C20" s="15"/>
      <c r="D20" s="15"/>
      <c r="E20" s="15"/>
      <c r="F20" s="15"/>
      <c r="G20" s="15"/>
      <c r="H20" s="15"/>
    </row>
    <row r="21" ht="15.75" customHeight="1">
      <c r="A21" s="14"/>
      <c r="B21" s="15"/>
      <c r="C21" s="15"/>
      <c r="D21" s="15"/>
      <c r="E21" s="15"/>
      <c r="F21" s="15"/>
      <c r="G21" s="15"/>
      <c r="H21" s="15"/>
    </row>
    <row r="22" ht="15.75" customHeight="1">
      <c r="A22" s="14"/>
      <c r="B22" s="15"/>
      <c r="C22" s="15"/>
      <c r="D22" s="15"/>
      <c r="E22" s="15"/>
      <c r="F22" s="15"/>
      <c r="G22" s="15"/>
      <c r="H22" s="15"/>
    </row>
    <row r="23" ht="15.75" customHeight="1">
      <c r="A23" s="14"/>
      <c r="B23" s="15"/>
      <c r="C23" s="15"/>
      <c r="D23" s="15"/>
      <c r="E23" s="15"/>
      <c r="F23" s="15"/>
      <c r="G23" s="15"/>
      <c r="H23" s="15"/>
    </row>
    <row r="24" ht="15.75" customHeight="1">
      <c r="A24" s="14"/>
      <c r="B24" s="15"/>
      <c r="C24" s="15"/>
      <c r="D24" s="15"/>
      <c r="E24" s="15"/>
      <c r="F24" s="15"/>
      <c r="G24" s="15"/>
      <c r="H24" s="15"/>
    </row>
    <row r="25" ht="15.75" customHeight="1">
      <c r="A25" s="14"/>
      <c r="B25" s="15"/>
      <c r="C25" s="15"/>
      <c r="D25" s="15"/>
      <c r="E25" s="15"/>
      <c r="F25" s="15"/>
      <c r="G25" s="15"/>
      <c r="H25" s="15"/>
    </row>
    <row r="26" ht="15.75" customHeight="1">
      <c r="A26" s="14"/>
      <c r="B26" s="15"/>
      <c r="C26" s="15"/>
      <c r="D26" s="15"/>
      <c r="E26" s="15"/>
      <c r="F26" s="15"/>
      <c r="G26" s="15"/>
      <c r="H26" s="15"/>
    </row>
    <row r="27" ht="15.75" customHeight="1">
      <c r="A27" s="14"/>
      <c r="B27" s="15"/>
      <c r="C27" s="15"/>
      <c r="D27" s="15"/>
      <c r="E27" s="15"/>
      <c r="F27" s="15"/>
      <c r="G27" s="15"/>
      <c r="H27" s="15"/>
    </row>
    <row r="28" ht="15.75" customHeight="1">
      <c r="A28" s="14"/>
      <c r="B28" s="15"/>
      <c r="C28" s="15"/>
      <c r="D28" s="15"/>
      <c r="E28" s="15"/>
      <c r="F28" s="15"/>
      <c r="G28" s="15"/>
      <c r="H28" s="15"/>
    </row>
    <row r="29" ht="15.75" customHeight="1">
      <c r="A29" s="14"/>
      <c r="B29" s="15"/>
      <c r="C29" s="15"/>
      <c r="D29" s="15"/>
      <c r="E29" s="15"/>
      <c r="F29" s="15"/>
      <c r="G29" s="15"/>
      <c r="H29" s="15"/>
    </row>
    <row r="30" ht="15.75" customHeight="1">
      <c r="A30" s="14"/>
      <c r="B30" s="15"/>
      <c r="C30" s="15"/>
      <c r="D30" s="15"/>
      <c r="E30" s="15"/>
      <c r="F30" s="15"/>
      <c r="G30" s="15"/>
      <c r="H30" s="15"/>
    </row>
    <row r="31" ht="15.75" customHeight="1">
      <c r="A31" s="14"/>
      <c r="B31" s="15"/>
      <c r="C31" s="15"/>
      <c r="D31" s="15"/>
      <c r="E31" s="15"/>
      <c r="F31" s="15"/>
      <c r="G31" s="15"/>
      <c r="H31" s="15"/>
    </row>
    <row r="32" ht="15.75" customHeight="1">
      <c r="A32" s="14"/>
      <c r="B32" s="15"/>
      <c r="C32" s="15"/>
      <c r="D32" s="15"/>
      <c r="E32" s="15"/>
      <c r="F32" s="15"/>
      <c r="G32" s="15"/>
      <c r="H32" s="15"/>
    </row>
    <row r="33" ht="15.75" customHeight="1">
      <c r="A33" s="14"/>
      <c r="B33" s="15"/>
      <c r="C33" s="15"/>
      <c r="D33" s="15"/>
      <c r="E33" s="15"/>
      <c r="F33" s="15"/>
      <c r="G33" s="15"/>
      <c r="H33" s="15"/>
    </row>
    <row r="34" ht="15.75" customHeight="1">
      <c r="A34" s="14"/>
      <c r="B34" s="15"/>
      <c r="C34" s="15"/>
      <c r="D34" s="15"/>
      <c r="E34" s="15"/>
      <c r="F34" s="15"/>
      <c r="G34" s="15"/>
      <c r="H34" s="15"/>
    </row>
    <row r="35" ht="15.75" customHeight="1">
      <c r="A35" s="14"/>
      <c r="B35" s="15"/>
      <c r="C35" s="15"/>
      <c r="D35" s="15"/>
      <c r="E35" s="15"/>
      <c r="F35" s="15"/>
      <c r="G35" s="15"/>
      <c r="H35" s="15"/>
    </row>
    <row r="36" ht="15.75" customHeight="1">
      <c r="A36" s="14"/>
      <c r="B36" s="15"/>
      <c r="C36" s="15"/>
      <c r="D36" s="15"/>
      <c r="E36" s="15"/>
      <c r="F36" s="15"/>
      <c r="G36" s="15"/>
      <c r="H36" s="15"/>
    </row>
    <row r="37" ht="15.75" customHeight="1">
      <c r="A37" s="14"/>
      <c r="B37" s="15"/>
      <c r="C37" s="15"/>
      <c r="D37" s="15"/>
      <c r="E37" s="15"/>
      <c r="F37" s="15"/>
      <c r="G37" s="15"/>
      <c r="H37" s="15"/>
    </row>
    <row r="38" ht="15.75" customHeight="1">
      <c r="A38" s="14"/>
      <c r="B38" s="15"/>
      <c r="C38" s="15"/>
      <c r="D38" s="15"/>
      <c r="E38" s="15"/>
      <c r="F38" s="15"/>
      <c r="G38" s="15"/>
      <c r="H38" s="15"/>
    </row>
    <row r="39" ht="15.75" customHeight="1">
      <c r="A39" s="14"/>
      <c r="B39" s="15"/>
      <c r="C39" s="15"/>
      <c r="D39" s="15"/>
      <c r="E39" s="15"/>
      <c r="F39" s="15"/>
      <c r="G39" s="15"/>
      <c r="H39" s="15"/>
    </row>
    <row r="40" ht="15.75" customHeight="1">
      <c r="A40" s="14"/>
      <c r="B40" s="15"/>
      <c r="C40" s="15"/>
      <c r="D40" s="15"/>
      <c r="E40" s="15"/>
      <c r="F40" s="15"/>
      <c r="G40" s="15"/>
      <c r="H40" s="15"/>
    </row>
    <row r="41" ht="15.75" customHeight="1">
      <c r="A41" s="14"/>
      <c r="B41" s="15"/>
      <c r="C41" s="15"/>
      <c r="D41" s="15"/>
      <c r="E41" s="15"/>
      <c r="F41" s="15"/>
      <c r="G41" s="15"/>
      <c r="H41" s="15"/>
    </row>
    <row r="42" ht="15.75" customHeight="1">
      <c r="A42" s="14"/>
      <c r="B42" s="15"/>
      <c r="C42" s="15"/>
      <c r="D42" s="15"/>
      <c r="E42" s="15"/>
      <c r="F42" s="15"/>
      <c r="G42" s="15"/>
      <c r="H42" s="15"/>
    </row>
    <row r="43" ht="15.75" customHeight="1">
      <c r="A43" s="14"/>
      <c r="B43" s="15"/>
      <c r="C43" s="15"/>
      <c r="D43" s="15"/>
      <c r="E43" s="15"/>
      <c r="F43" s="15"/>
      <c r="G43" s="15"/>
      <c r="H43" s="15"/>
    </row>
    <row r="44" ht="15.75" customHeight="1">
      <c r="A44" s="14"/>
      <c r="B44" s="15"/>
      <c r="C44" s="15"/>
      <c r="D44" s="15"/>
      <c r="E44" s="15"/>
      <c r="F44" s="15"/>
      <c r="G44" s="15"/>
      <c r="H44" s="15"/>
    </row>
    <row r="45" ht="15.75" customHeight="1">
      <c r="A45" s="14"/>
      <c r="B45" s="15"/>
      <c r="C45" s="15"/>
      <c r="D45" s="15"/>
      <c r="E45" s="15"/>
      <c r="F45" s="15"/>
      <c r="G45" s="15"/>
      <c r="H45" s="15"/>
    </row>
    <row r="46" ht="15.75" customHeight="1">
      <c r="A46" s="14"/>
      <c r="B46" s="15"/>
      <c r="C46" s="15"/>
      <c r="D46" s="15"/>
      <c r="E46" s="15"/>
      <c r="F46" s="15"/>
      <c r="G46" s="15"/>
      <c r="H46" s="15"/>
    </row>
    <row r="47" ht="15.75" customHeight="1">
      <c r="A47" s="14"/>
      <c r="B47" s="15"/>
      <c r="C47" s="15"/>
      <c r="D47" s="15"/>
      <c r="E47" s="15"/>
      <c r="F47" s="15"/>
      <c r="G47" s="15"/>
      <c r="H47" s="15"/>
    </row>
    <row r="48" ht="15.75" customHeight="1">
      <c r="A48" s="14"/>
      <c r="B48" s="15"/>
      <c r="C48" s="15"/>
      <c r="D48" s="15"/>
      <c r="E48" s="15"/>
      <c r="F48" s="15"/>
      <c r="G48" s="15"/>
      <c r="H48" s="15"/>
    </row>
    <row r="49" ht="15.75" customHeight="1">
      <c r="A49" s="14"/>
      <c r="B49" s="15"/>
      <c r="C49" s="15"/>
      <c r="D49" s="15"/>
      <c r="E49" s="15"/>
      <c r="F49" s="15"/>
      <c r="G49" s="15"/>
      <c r="H49" s="15"/>
    </row>
    <row r="50" ht="15.75" customHeight="1">
      <c r="A50" s="14"/>
      <c r="B50" s="15"/>
      <c r="C50" s="15"/>
      <c r="D50" s="15"/>
      <c r="E50" s="15"/>
      <c r="F50" s="15"/>
      <c r="G50" s="15"/>
      <c r="H50" s="15"/>
    </row>
    <row r="51" ht="15.75" customHeight="1">
      <c r="A51" s="14"/>
      <c r="B51" s="15"/>
      <c r="C51" s="15"/>
      <c r="D51" s="15"/>
      <c r="E51" s="15"/>
      <c r="F51" s="15"/>
      <c r="G51" s="15"/>
      <c r="H51" s="15"/>
    </row>
    <row r="52" ht="15.75" customHeight="1">
      <c r="A52" s="14"/>
      <c r="B52" s="15"/>
      <c r="C52" s="15"/>
      <c r="D52" s="15"/>
      <c r="E52" s="15"/>
      <c r="F52" s="15"/>
      <c r="G52" s="15"/>
      <c r="H52" s="15"/>
    </row>
    <row r="53" ht="15.75" customHeight="1">
      <c r="A53" s="14"/>
      <c r="B53" s="15"/>
      <c r="C53" s="15"/>
      <c r="D53" s="15"/>
      <c r="E53" s="15"/>
      <c r="F53" s="15"/>
      <c r="G53" s="15"/>
      <c r="H53" s="15"/>
    </row>
    <row r="54" ht="15.75" customHeight="1">
      <c r="A54" s="14"/>
      <c r="B54" s="15"/>
      <c r="C54" s="15"/>
      <c r="D54" s="15"/>
      <c r="E54" s="15"/>
      <c r="F54" s="15"/>
      <c r="G54" s="15"/>
      <c r="H54" s="15"/>
    </row>
    <row r="55" ht="15.75" customHeight="1">
      <c r="A55" s="14"/>
      <c r="B55" s="15"/>
      <c r="C55" s="15"/>
      <c r="D55" s="15"/>
      <c r="E55" s="15"/>
      <c r="F55" s="15"/>
      <c r="G55" s="15"/>
      <c r="H55" s="15"/>
    </row>
    <row r="56" ht="15.75" customHeight="1">
      <c r="A56" s="14"/>
      <c r="B56" s="15"/>
      <c r="C56" s="15"/>
      <c r="D56" s="15"/>
      <c r="E56" s="15"/>
      <c r="F56" s="15"/>
      <c r="G56" s="15"/>
      <c r="H56" s="15"/>
    </row>
    <row r="57" ht="15.75" customHeight="1">
      <c r="A57" s="14"/>
      <c r="B57" s="15"/>
      <c r="C57" s="15"/>
      <c r="D57" s="15"/>
      <c r="E57" s="15"/>
      <c r="F57" s="15"/>
      <c r="G57" s="15"/>
      <c r="H57" s="15"/>
    </row>
    <row r="58" ht="15.75" customHeight="1">
      <c r="A58" s="14"/>
      <c r="B58" s="15"/>
      <c r="C58" s="15"/>
      <c r="D58" s="15"/>
      <c r="E58" s="15"/>
      <c r="F58" s="15"/>
      <c r="G58" s="15"/>
      <c r="H58" s="15"/>
    </row>
    <row r="59" ht="15.75" customHeight="1">
      <c r="A59" s="14"/>
      <c r="B59" s="15"/>
      <c r="C59" s="15"/>
      <c r="D59" s="15"/>
      <c r="E59" s="15"/>
      <c r="F59" s="15"/>
      <c r="G59" s="15"/>
      <c r="H59" s="15"/>
    </row>
    <row r="60" ht="15.75" customHeight="1">
      <c r="A60" s="14"/>
      <c r="B60" s="15"/>
      <c r="C60" s="15"/>
      <c r="D60" s="15"/>
      <c r="E60" s="15"/>
      <c r="F60" s="15"/>
      <c r="G60" s="15"/>
      <c r="H60" s="15"/>
    </row>
    <row r="61" ht="15.75" customHeight="1">
      <c r="A61" s="14"/>
      <c r="B61" s="15"/>
      <c r="C61" s="15"/>
      <c r="D61" s="15"/>
      <c r="E61" s="15"/>
      <c r="F61" s="15"/>
      <c r="G61" s="15"/>
      <c r="H61" s="15"/>
    </row>
    <row r="62" ht="15.75" customHeight="1">
      <c r="A62" s="14"/>
      <c r="B62" s="15"/>
      <c r="C62" s="15"/>
      <c r="D62" s="15"/>
      <c r="E62" s="15"/>
      <c r="F62" s="15"/>
      <c r="G62" s="15"/>
      <c r="H62" s="15"/>
    </row>
    <row r="63" ht="15.75" customHeight="1">
      <c r="A63" s="14"/>
      <c r="B63" s="15"/>
      <c r="C63" s="15"/>
      <c r="D63" s="15"/>
      <c r="E63" s="15"/>
      <c r="F63" s="15"/>
      <c r="G63" s="15"/>
      <c r="H63" s="15"/>
    </row>
    <row r="64" ht="15.75" customHeight="1">
      <c r="A64" s="14"/>
      <c r="B64" s="15"/>
      <c r="C64" s="15"/>
      <c r="D64" s="15"/>
      <c r="E64" s="15"/>
      <c r="F64" s="15"/>
      <c r="G64" s="15"/>
      <c r="H64" s="15"/>
    </row>
    <row r="65" ht="15.75" customHeight="1">
      <c r="A65" s="14"/>
      <c r="B65" s="15"/>
      <c r="C65" s="15"/>
      <c r="D65" s="15"/>
      <c r="E65" s="15"/>
      <c r="F65" s="15"/>
      <c r="G65" s="15"/>
      <c r="H65" s="15"/>
    </row>
    <row r="66" ht="15.75" customHeight="1">
      <c r="A66" s="14"/>
      <c r="B66" s="15"/>
      <c r="C66" s="15"/>
      <c r="D66" s="15"/>
      <c r="E66" s="15"/>
      <c r="F66" s="15"/>
      <c r="G66" s="15"/>
      <c r="H66" s="15"/>
    </row>
    <row r="67" ht="15.75" customHeight="1">
      <c r="A67" s="14"/>
      <c r="B67" s="15"/>
      <c r="C67" s="15"/>
      <c r="D67" s="15"/>
      <c r="E67" s="15"/>
      <c r="F67" s="15"/>
      <c r="G67" s="15"/>
      <c r="H67" s="15"/>
    </row>
    <row r="68" ht="15.75" customHeight="1">
      <c r="A68" s="14"/>
      <c r="B68" s="15"/>
      <c r="C68" s="15"/>
      <c r="D68" s="15"/>
      <c r="E68" s="15"/>
      <c r="F68" s="15"/>
      <c r="G68" s="15"/>
      <c r="H68" s="15"/>
    </row>
    <row r="69" ht="15.75" customHeight="1">
      <c r="A69" s="14"/>
      <c r="B69" s="15"/>
      <c r="C69" s="15"/>
      <c r="D69" s="15"/>
      <c r="E69" s="15"/>
      <c r="F69" s="15"/>
      <c r="G69" s="15"/>
      <c r="H69" s="15"/>
    </row>
    <row r="70" ht="15.75" customHeight="1">
      <c r="A70" s="14"/>
      <c r="B70" s="15"/>
      <c r="C70" s="15"/>
      <c r="D70" s="15"/>
      <c r="E70" s="15"/>
      <c r="F70" s="15"/>
      <c r="G70" s="15"/>
      <c r="H70" s="15"/>
    </row>
    <row r="71" ht="15.75" customHeight="1">
      <c r="A71" s="14"/>
      <c r="B71" s="15"/>
      <c r="C71" s="15"/>
      <c r="D71" s="15"/>
      <c r="E71" s="15"/>
      <c r="F71" s="15"/>
      <c r="G71" s="15"/>
      <c r="H71" s="15"/>
    </row>
    <row r="72" ht="15.75" customHeight="1">
      <c r="A72" s="14"/>
      <c r="B72" s="15"/>
      <c r="C72" s="15"/>
      <c r="D72" s="15"/>
      <c r="E72" s="15"/>
      <c r="F72" s="15"/>
      <c r="G72" s="15"/>
      <c r="H72" s="15"/>
    </row>
    <row r="73" ht="15.75" customHeight="1">
      <c r="A73" s="14"/>
      <c r="B73" s="15"/>
      <c r="C73" s="15"/>
      <c r="D73" s="15"/>
      <c r="E73" s="15"/>
      <c r="F73" s="15"/>
      <c r="G73" s="15"/>
      <c r="H73" s="15"/>
    </row>
    <row r="74" ht="15.75" customHeight="1">
      <c r="A74" s="14"/>
      <c r="B74" s="15"/>
      <c r="C74" s="15"/>
      <c r="D74" s="15"/>
      <c r="E74" s="15"/>
      <c r="F74" s="15"/>
      <c r="G74" s="15"/>
      <c r="H74" s="15"/>
    </row>
    <row r="75" ht="15.75" customHeight="1">
      <c r="A75" s="14"/>
      <c r="B75" s="15"/>
      <c r="C75" s="15"/>
      <c r="D75" s="15"/>
      <c r="E75" s="15"/>
      <c r="F75" s="15"/>
      <c r="G75" s="15"/>
      <c r="H75" s="15"/>
    </row>
    <row r="76" ht="15.75" customHeight="1">
      <c r="A76" s="14"/>
      <c r="B76" s="15"/>
      <c r="C76" s="15"/>
      <c r="D76" s="15"/>
      <c r="E76" s="15"/>
      <c r="F76" s="15"/>
      <c r="G76" s="15"/>
      <c r="H76" s="15"/>
    </row>
    <row r="77" ht="15.75" customHeight="1">
      <c r="A77" s="14"/>
      <c r="B77" s="15"/>
      <c r="C77" s="15"/>
      <c r="D77" s="15"/>
      <c r="E77" s="15"/>
      <c r="F77" s="15"/>
      <c r="G77" s="15"/>
      <c r="H77" s="15"/>
    </row>
    <row r="78" ht="15.75" customHeight="1">
      <c r="A78" s="14"/>
      <c r="B78" s="15"/>
      <c r="C78" s="15"/>
      <c r="D78" s="15"/>
      <c r="E78" s="15"/>
      <c r="F78" s="15"/>
      <c r="G78" s="15"/>
      <c r="H78" s="15"/>
    </row>
    <row r="79" ht="15.75" customHeight="1">
      <c r="A79" s="14"/>
      <c r="B79" s="15"/>
      <c r="C79" s="15"/>
      <c r="D79" s="15"/>
      <c r="E79" s="15"/>
      <c r="F79" s="15"/>
      <c r="G79" s="15"/>
      <c r="H79" s="15"/>
    </row>
    <row r="80" ht="15.75" customHeight="1">
      <c r="A80" s="14"/>
      <c r="B80" s="15"/>
      <c r="C80" s="15"/>
      <c r="D80" s="15"/>
      <c r="E80" s="15"/>
      <c r="F80" s="15"/>
      <c r="G80" s="15"/>
      <c r="H80" s="15"/>
    </row>
    <row r="81" ht="15.75" customHeight="1">
      <c r="A81" s="14"/>
      <c r="B81" s="15"/>
      <c r="C81" s="15"/>
      <c r="D81" s="15"/>
      <c r="E81" s="15"/>
      <c r="F81" s="15"/>
      <c r="G81" s="15"/>
      <c r="H81" s="15"/>
    </row>
    <row r="82" ht="15.75" customHeight="1">
      <c r="A82" s="14"/>
      <c r="B82" s="15"/>
      <c r="C82" s="15"/>
      <c r="D82" s="15"/>
      <c r="E82" s="15"/>
      <c r="F82" s="15"/>
      <c r="G82" s="15"/>
      <c r="H82" s="15"/>
    </row>
    <row r="83" ht="15.75" customHeight="1">
      <c r="A83" s="14"/>
      <c r="B83" s="15"/>
      <c r="C83" s="15"/>
      <c r="D83" s="15"/>
      <c r="E83" s="15"/>
      <c r="F83" s="15"/>
      <c r="G83" s="15"/>
      <c r="H83" s="15"/>
    </row>
    <row r="84" ht="15.75" customHeight="1">
      <c r="A84" s="14"/>
      <c r="B84" s="15"/>
      <c r="C84" s="15"/>
      <c r="D84" s="15"/>
      <c r="E84" s="15"/>
      <c r="F84" s="15"/>
      <c r="G84" s="15"/>
      <c r="H84" s="15"/>
    </row>
    <row r="85" ht="15.75" customHeight="1">
      <c r="A85" s="14"/>
      <c r="B85" s="15"/>
      <c r="C85" s="15"/>
      <c r="D85" s="15"/>
      <c r="E85" s="15"/>
      <c r="F85" s="15"/>
      <c r="G85" s="15"/>
      <c r="H85" s="15"/>
    </row>
    <row r="86" ht="15.75" customHeight="1">
      <c r="A86" s="14"/>
      <c r="B86" s="15"/>
      <c r="C86" s="15"/>
      <c r="D86" s="15"/>
      <c r="E86" s="15"/>
      <c r="F86" s="15"/>
      <c r="G86" s="15"/>
      <c r="H86" s="15"/>
    </row>
    <row r="87" ht="15.75" customHeight="1">
      <c r="A87" s="14"/>
      <c r="B87" s="15"/>
      <c r="C87" s="15"/>
      <c r="D87" s="15"/>
      <c r="E87" s="15"/>
      <c r="F87" s="15"/>
      <c r="G87" s="15"/>
      <c r="H87" s="15"/>
    </row>
    <row r="88" ht="15.75" customHeight="1">
      <c r="A88" s="14"/>
      <c r="B88" s="15"/>
      <c r="C88" s="15"/>
      <c r="D88" s="15"/>
      <c r="E88" s="15"/>
      <c r="F88" s="15"/>
      <c r="G88" s="15"/>
      <c r="H88" s="15"/>
    </row>
    <row r="89" ht="15.75" customHeight="1">
      <c r="A89" s="14"/>
      <c r="B89" s="15"/>
      <c r="C89" s="15"/>
      <c r="D89" s="15"/>
      <c r="E89" s="15"/>
      <c r="F89" s="15"/>
      <c r="G89" s="15"/>
      <c r="H89" s="15"/>
    </row>
    <row r="90" ht="15.75" customHeight="1">
      <c r="A90" s="14"/>
      <c r="B90" s="15"/>
      <c r="C90" s="15"/>
      <c r="D90" s="15"/>
      <c r="E90" s="15"/>
      <c r="F90" s="15"/>
      <c r="G90" s="15"/>
      <c r="H90" s="15"/>
    </row>
    <row r="91" ht="15.75" customHeight="1">
      <c r="A91" s="14"/>
      <c r="B91" s="15"/>
      <c r="C91" s="15"/>
      <c r="D91" s="15"/>
      <c r="E91" s="15"/>
      <c r="F91" s="15"/>
      <c r="G91" s="15"/>
      <c r="H91" s="15"/>
    </row>
    <row r="92" ht="15.75" customHeight="1">
      <c r="A92" s="14"/>
      <c r="B92" s="15"/>
      <c r="C92" s="15"/>
      <c r="D92" s="15"/>
      <c r="E92" s="15"/>
      <c r="F92" s="15"/>
      <c r="G92" s="15"/>
      <c r="H92" s="15"/>
    </row>
    <row r="93" ht="15.75" customHeight="1">
      <c r="A93" s="14"/>
      <c r="B93" s="15"/>
      <c r="C93" s="15"/>
      <c r="D93" s="15"/>
      <c r="E93" s="15"/>
      <c r="F93" s="15"/>
      <c r="G93" s="15"/>
      <c r="H93" s="15"/>
    </row>
    <row r="94" ht="15.75" customHeight="1">
      <c r="A94" s="14"/>
      <c r="B94" s="15"/>
      <c r="C94" s="15"/>
      <c r="D94" s="15"/>
      <c r="E94" s="15"/>
      <c r="F94" s="15"/>
      <c r="G94" s="15"/>
      <c r="H94" s="15"/>
    </row>
    <row r="95" ht="15.75" customHeight="1">
      <c r="A95" s="14"/>
      <c r="B95" s="15"/>
      <c r="C95" s="15"/>
      <c r="D95" s="15"/>
      <c r="E95" s="15"/>
      <c r="F95" s="15"/>
      <c r="G95" s="15"/>
      <c r="H95" s="15"/>
    </row>
    <row r="96" ht="15.75" customHeight="1">
      <c r="A96" s="14"/>
      <c r="B96" s="15"/>
      <c r="C96" s="15"/>
      <c r="D96" s="15"/>
      <c r="E96" s="15"/>
      <c r="F96" s="15"/>
      <c r="G96" s="15"/>
      <c r="H96" s="15"/>
    </row>
    <row r="97" ht="15.75" customHeight="1">
      <c r="A97" s="14"/>
      <c r="B97" s="15"/>
      <c r="C97" s="15"/>
      <c r="D97" s="15"/>
      <c r="E97" s="15"/>
      <c r="F97" s="15"/>
      <c r="G97" s="15"/>
      <c r="H97" s="15"/>
    </row>
    <row r="98" ht="15.75" customHeight="1">
      <c r="A98" s="14"/>
      <c r="B98" s="15"/>
      <c r="C98" s="15"/>
      <c r="D98" s="15"/>
      <c r="E98" s="15"/>
      <c r="F98" s="15"/>
      <c r="G98" s="15"/>
      <c r="H98" s="15"/>
    </row>
    <row r="99" ht="15.75" customHeight="1">
      <c r="A99" s="14"/>
      <c r="B99" s="15"/>
      <c r="C99" s="15"/>
      <c r="D99" s="15"/>
      <c r="E99" s="15"/>
      <c r="F99" s="15"/>
      <c r="G99" s="15"/>
      <c r="H99" s="15"/>
    </row>
    <row r="100" ht="15.75" customHeight="1">
      <c r="A100" s="14"/>
      <c r="B100" s="15"/>
      <c r="C100" s="15"/>
      <c r="D100" s="15"/>
      <c r="E100" s="15"/>
      <c r="F100" s="15"/>
      <c r="G100" s="15"/>
      <c r="H100" s="15"/>
    </row>
    <row r="101" ht="15.75" customHeight="1">
      <c r="A101" s="14"/>
      <c r="B101" s="15"/>
      <c r="C101" s="15"/>
      <c r="D101" s="15"/>
      <c r="E101" s="15"/>
      <c r="F101" s="15"/>
      <c r="G101" s="15"/>
      <c r="H101" s="15"/>
    </row>
    <row r="102" ht="15.75" customHeight="1">
      <c r="A102" s="14"/>
      <c r="B102" s="15"/>
      <c r="C102" s="15"/>
      <c r="D102" s="15"/>
      <c r="E102" s="15"/>
      <c r="F102" s="15"/>
      <c r="G102" s="15"/>
      <c r="H102" s="15"/>
    </row>
    <row r="103" ht="15.75" customHeight="1">
      <c r="A103" s="14"/>
      <c r="B103" s="15"/>
      <c r="C103" s="15"/>
      <c r="D103" s="15"/>
      <c r="E103" s="15"/>
      <c r="F103" s="15"/>
      <c r="G103" s="15"/>
      <c r="H103" s="15"/>
    </row>
    <row r="104" ht="15.75" customHeight="1">
      <c r="A104" s="14"/>
      <c r="B104" s="15"/>
      <c r="C104" s="15"/>
      <c r="D104" s="15"/>
      <c r="E104" s="15"/>
      <c r="F104" s="15"/>
      <c r="G104" s="15"/>
      <c r="H104" s="15"/>
    </row>
    <row r="105" ht="15.75" customHeight="1">
      <c r="A105" s="14"/>
      <c r="B105" s="15"/>
      <c r="C105" s="15"/>
      <c r="D105" s="15"/>
      <c r="E105" s="15"/>
      <c r="F105" s="15"/>
      <c r="G105" s="15"/>
      <c r="H105" s="15"/>
    </row>
    <row r="106" ht="15.75" customHeight="1">
      <c r="A106" s="14"/>
      <c r="B106" s="15"/>
      <c r="C106" s="15"/>
      <c r="D106" s="15"/>
      <c r="E106" s="15"/>
      <c r="F106" s="15"/>
      <c r="G106" s="15"/>
      <c r="H106" s="15"/>
    </row>
    <row r="107" ht="15.75" customHeight="1">
      <c r="A107" s="14"/>
      <c r="B107" s="15"/>
      <c r="C107" s="15"/>
      <c r="D107" s="15"/>
      <c r="E107" s="15"/>
      <c r="F107" s="15"/>
      <c r="G107" s="15"/>
      <c r="H107" s="15"/>
    </row>
    <row r="108" ht="15.75" customHeight="1">
      <c r="A108" s="14"/>
      <c r="B108" s="15"/>
      <c r="C108" s="15"/>
      <c r="D108" s="15"/>
      <c r="E108" s="15"/>
      <c r="F108" s="15"/>
      <c r="G108" s="15"/>
      <c r="H108" s="15"/>
    </row>
    <row r="109" ht="15.75" customHeight="1">
      <c r="A109" s="14"/>
      <c r="B109" s="15"/>
      <c r="C109" s="15"/>
      <c r="D109" s="15"/>
      <c r="E109" s="15"/>
      <c r="F109" s="15"/>
      <c r="G109" s="15"/>
      <c r="H109" s="15"/>
    </row>
    <row r="110" ht="15.75" customHeight="1">
      <c r="A110" s="14"/>
      <c r="B110" s="15"/>
      <c r="C110" s="15"/>
      <c r="D110" s="15"/>
      <c r="E110" s="15"/>
      <c r="F110" s="15"/>
      <c r="G110" s="15"/>
      <c r="H110" s="15"/>
    </row>
    <row r="111" ht="15.75" customHeight="1">
      <c r="A111" s="14"/>
      <c r="B111" s="15"/>
      <c r="C111" s="15"/>
      <c r="D111" s="15"/>
      <c r="E111" s="15"/>
      <c r="F111" s="15"/>
      <c r="G111" s="15"/>
      <c r="H111" s="15"/>
    </row>
    <row r="112" ht="15.75" customHeight="1">
      <c r="A112" s="14"/>
      <c r="B112" s="15"/>
      <c r="C112" s="15"/>
      <c r="D112" s="15"/>
      <c r="E112" s="15"/>
      <c r="F112" s="15"/>
      <c r="G112" s="15"/>
      <c r="H112" s="15"/>
    </row>
    <row r="113" ht="15.75" customHeight="1">
      <c r="A113" s="14"/>
      <c r="B113" s="15"/>
      <c r="C113" s="15"/>
      <c r="D113" s="15"/>
      <c r="E113" s="15"/>
      <c r="F113" s="15"/>
      <c r="G113" s="15"/>
      <c r="H113" s="15"/>
    </row>
    <row r="114" ht="15.75" customHeight="1">
      <c r="A114" s="14"/>
      <c r="B114" s="15"/>
      <c r="C114" s="15"/>
      <c r="D114" s="15"/>
      <c r="E114" s="15"/>
      <c r="F114" s="15"/>
      <c r="G114" s="15"/>
      <c r="H114" s="15"/>
    </row>
    <row r="115" ht="15.75" customHeight="1">
      <c r="A115" s="14"/>
      <c r="B115" s="15"/>
      <c r="C115" s="15"/>
      <c r="D115" s="15"/>
      <c r="E115" s="15"/>
      <c r="F115" s="15"/>
      <c r="G115" s="15"/>
      <c r="H115" s="15"/>
    </row>
    <row r="116" ht="15.75" customHeight="1">
      <c r="A116" s="14"/>
      <c r="B116" s="15"/>
      <c r="C116" s="15"/>
      <c r="D116" s="15"/>
      <c r="E116" s="15"/>
      <c r="F116" s="15"/>
      <c r="G116" s="15"/>
      <c r="H116" s="15"/>
    </row>
    <row r="117" ht="15.75" customHeight="1">
      <c r="A117" s="14"/>
      <c r="B117" s="15"/>
      <c r="C117" s="15"/>
      <c r="D117" s="15"/>
      <c r="E117" s="15"/>
      <c r="F117" s="15"/>
      <c r="G117" s="15"/>
      <c r="H117" s="15"/>
    </row>
    <row r="118" ht="15.75" customHeight="1">
      <c r="A118" s="14"/>
      <c r="B118" s="15"/>
      <c r="C118" s="15"/>
      <c r="D118" s="15"/>
      <c r="E118" s="15"/>
      <c r="F118" s="15"/>
      <c r="G118" s="15"/>
      <c r="H118" s="15"/>
    </row>
    <row r="119" ht="15.75" customHeight="1">
      <c r="A119" s="14"/>
      <c r="B119" s="15"/>
      <c r="C119" s="15"/>
      <c r="D119" s="15"/>
      <c r="E119" s="15"/>
      <c r="F119" s="15"/>
      <c r="G119" s="15"/>
      <c r="H119" s="15"/>
    </row>
    <row r="120" ht="15.75" customHeight="1">
      <c r="A120" s="14"/>
      <c r="B120" s="15"/>
      <c r="C120" s="15"/>
      <c r="D120" s="15"/>
      <c r="E120" s="15"/>
      <c r="F120" s="15"/>
      <c r="G120" s="15"/>
      <c r="H120" s="15"/>
    </row>
    <row r="121" ht="15.75" customHeight="1">
      <c r="A121" s="14"/>
      <c r="B121" s="15"/>
      <c r="C121" s="15"/>
      <c r="D121" s="15"/>
      <c r="E121" s="15"/>
      <c r="F121" s="15"/>
      <c r="G121" s="15"/>
      <c r="H121" s="15"/>
    </row>
    <row r="122" ht="15.75" customHeight="1">
      <c r="A122" s="14"/>
      <c r="B122" s="15"/>
      <c r="C122" s="15"/>
      <c r="D122" s="15"/>
      <c r="E122" s="15"/>
      <c r="F122" s="15"/>
      <c r="G122" s="15"/>
      <c r="H122" s="15"/>
    </row>
    <row r="123" ht="15.75" customHeight="1">
      <c r="A123" s="14"/>
      <c r="B123" s="15"/>
      <c r="C123" s="15"/>
      <c r="D123" s="15"/>
      <c r="E123" s="15"/>
      <c r="F123" s="15"/>
      <c r="G123" s="15"/>
      <c r="H123" s="15"/>
    </row>
    <row r="124" ht="15.75" customHeight="1">
      <c r="A124" s="14"/>
      <c r="B124" s="15"/>
      <c r="C124" s="15"/>
      <c r="D124" s="15"/>
      <c r="E124" s="15"/>
      <c r="F124" s="15"/>
      <c r="G124" s="15"/>
      <c r="H124" s="15"/>
    </row>
    <row r="125" ht="15.75" customHeight="1">
      <c r="A125" s="14"/>
      <c r="B125" s="15"/>
      <c r="C125" s="15"/>
      <c r="D125" s="15"/>
      <c r="E125" s="15"/>
      <c r="F125" s="15"/>
      <c r="G125" s="15"/>
      <c r="H125" s="15"/>
    </row>
    <row r="126" ht="15.75" customHeight="1">
      <c r="A126" s="14"/>
      <c r="B126" s="15"/>
      <c r="C126" s="15"/>
      <c r="D126" s="15"/>
      <c r="E126" s="15"/>
      <c r="F126" s="15"/>
      <c r="G126" s="15"/>
      <c r="H126" s="15"/>
    </row>
    <row r="127" ht="15.75" customHeight="1">
      <c r="A127" s="14"/>
      <c r="B127" s="15"/>
      <c r="C127" s="15"/>
      <c r="D127" s="15"/>
      <c r="E127" s="15"/>
      <c r="F127" s="15"/>
      <c r="G127" s="15"/>
      <c r="H127" s="15"/>
    </row>
    <row r="128" ht="15.75" customHeight="1">
      <c r="A128" s="14"/>
      <c r="B128" s="15"/>
      <c r="C128" s="15"/>
      <c r="D128" s="15"/>
      <c r="E128" s="15"/>
      <c r="F128" s="15"/>
      <c r="G128" s="15"/>
      <c r="H128" s="15"/>
    </row>
    <row r="129" ht="15.75" customHeight="1">
      <c r="A129" s="14"/>
      <c r="B129" s="15"/>
      <c r="C129" s="15"/>
      <c r="D129" s="15"/>
      <c r="E129" s="15"/>
      <c r="F129" s="15"/>
      <c r="G129" s="15"/>
      <c r="H129" s="15"/>
    </row>
    <row r="130" ht="15.75" customHeight="1">
      <c r="A130" s="14"/>
      <c r="B130" s="15"/>
      <c r="C130" s="15"/>
      <c r="D130" s="15"/>
      <c r="E130" s="15"/>
      <c r="F130" s="15"/>
      <c r="G130" s="15"/>
      <c r="H130" s="15"/>
    </row>
    <row r="131" ht="15.75" customHeight="1">
      <c r="A131" s="14"/>
      <c r="B131" s="15"/>
      <c r="C131" s="15"/>
      <c r="D131" s="15"/>
      <c r="E131" s="15"/>
      <c r="F131" s="15"/>
      <c r="G131" s="15"/>
      <c r="H131" s="15"/>
    </row>
    <row r="132" ht="15.75" customHeight="1">
      <c r="A132" s="14"/>
      <c r="B132" s="15"/>
      <c r="C132" s="15"/>
      <c r="D132" s="15"/>
      <c r="E132" s="15"/>
      <c r="F132" s="15"/>
      <c r="G132" s="15"/>
      <c r="H132" s="15"/>
    </row>
    <row r="133" ht="15.75" customHeight="1">
      <c r="A133" s="14"/>
      <c r="B133" s="15"/>
      <c r="C133" s="15"/>
      <c r="D133" s="15"/>
      <c r="E133" s="15"/>
      <c r="F133" s="15"/>
      <c r="G133" s="15"/>
      <c r="H133" s="15"/>
    </row>
    <row r="134" ht="15.75" customHeight="1">
      <c r="A134" s="14"/>
      <c r="B134" s="15"/>
      <c r="C134" s="15"/>
      <c r="D134" s="15"/>
      <c r="E134" s="15"/>
      <c r="F134" s="15"/>
      <c r="G134" s="15"/>
      <c r="H134" s="15"/>
    </row>
    <row r="135" ht="15.75" customHeight="1">
      <c r="A135" s="14"/>
      <c r="B135" s="15"/>
      <c r="C135" s="15"/>
      <c r="D135" s="15"/>
      <c r="E135" s="15"/>
      <c r="F135" s="15"/>
      <c r="G135" s="15"/>
      <c r="H135" s="15"/>
    </row>
    <row r="136" ht="15.75" customHeight="1">
      <c r="A136" s="14"/>
      <c r="B136" s="15"/>
      <c r="C136" s="15"/>
      <c r="D136" s="15"/>
      <c r="E136" s="15"/>
      <c r="F136" s="15"/>
      <c r="G136" s="15"/>
      <c r="H136" s="15"/>
    </row>
    <row r="137" ht="15.75" customHeight="1">
      <c r="A137" s="14"/>
      <c r="B137" s="15"/>
      <c r="C137" s="15"/>
      <c r="D137" s="15"/>
      <c r="E137" s="15"/>
      <c r="F137" s="15"/>
      <c r="G137" s="15"/>
      <c r="H137" s="15"/>
    </row>
    <row r="138" ht="15.75" customHeight="1">
      <c r="A138" s="14"/>
      <c r="B138" s="15"/>
      <c r="C138" s="15"/>
      <c r="D138" s="15"/>
      <c r="E138" s="15"/>
      <c r="F138" s="15"/>
      <c r="G138" s="15"/>
      <c r="H138" s="15"/>
    </row>
    <row r="139" ht="15.75" customHeight="1">
      <c r="A139" s="14"/>
      <c r="B139" s="15"/>
      <c r="C139" s="15"/>
      <c r="D139" s="15"/>
      <c r="E139" s="15"/>
      <c r="F139" s="15"/>
      <c r="G139" s="15"/>
      <c r="H139" s="15"/>
    </row>
    <row r="140" ht="15.75" customHeight="1">
      <c r="A140" s="14"/>
      <c r="B140" s="15"/>
      <c r="C140" s="15"/>
      <c r="D140" s="15"/>
      <c r="E140" s="15"/>
      <c r="F140" s="15"/>
      <c r="G140" s="15"/>
      <c r="H140" s="15"/>
    </row>
    <row r="141" ht="15.75" customHeight="1">
      <c r="A141" s="14"/>
      <c r="B141" s="15"/>
      <c r="C141" s="15"/>
      <c r="D141" s="15"/>
      <c r="E141" s="15"/>
      <c r="F141" s="15"/>
      <c r="G141" s="15"/>
      <c r="H141" s="15"/>
    </row>
    <row r="142" ht="15.75" customHeight="1">
      <c r="A142" s="14"/>
      <c r="B142" s="15"/>
      <c r="C142" s="15"/>
      <c r="D142" s="15"/>
      <c r="E142" s="15"/>
      <c r="F142" s="15"/>
      <c r="G142" s="15"/>
      <c r="H142" s="15"/>
    </row>
    <row r="143" ht="15.75" customHeight="1">
      <c r="A143" s="14"/>
      <c r="B143" s="15"/>
      <c r="C143" s="15"/>
      <c r="D143" s="15"/>
      <c r="E143" s="15"/>
      <c r="F143" s="15"/>
      <c r="G143" s="15"/>
      <c r="H143" s="15"/>
    </row>
    <row r="144" ht="15.75" customHeight="1">
      <c r="A144" s="14"/>
      <c r="B144" s="15"/>
      <c r="C144" s="15"/>
      <c r="D144" s="15"/>
      <c r="E144" s="15"/>
      <c r="F144" s="15"/>
      <c r="G144" s="15"/>
      <c r="H144" s="15"/>
    </row>
    <row r="145" ht="15.75" customHeight="1">
      <c r="A145" s="14"/>
      <c r="B145" s="15"/>
      <c r="C145" s="15"/>
      <c r="D145" s="15"/>
      <c r="E145" s="15"/>
      <c r="F145" s="15"/>
      <c r="G145" s="15"/>
      <c r="H145" s="15"/>
    </row>
    <row r="146" ht="15.75" customHeight="1">
      <c r="A146" s="14"/>
      <c r="B146" s="15"/>
      <c r="C146" s="15"/>
      <c r="D146" s="15"/>
      <c r="E146" s="15"/>
      <c r="F146" s="15"/>
      <c r="G146" s="15"/>
      <c r="H146" s="15"/>
    </row>
    <row r="147" ht="15.75" customHeight="1">
      <c r="A147" s="14"/>
      <c r="B147" s="15"/>
      <c r="C147" s="15"/>
      <c r="D147" s="15"/>
      <c r="E147" s="15"/>
      <c r="F147" s="15"/>
      <c r="G147" s="15"/>
      <c r="H147" s="15"/>
    </row>
    <row r="148" ht="15.75" customHeight="1">
      <c r="A148" s="14"/>
      <c r="B148" s="15"/>
      <c r="C148" s="15"/>
      <c r="D148" s="15"/>
      <c r="E148" s="15"/>
      <c r="F148" s="15"/>
      <c r="G148" s="15"/>
      <c r="H148" s="15"/>
    </row>
    <row r="149" ht="15.75" customHeight="1">
      <c r="A149" s="14"/>
      <c r="B149" s="15"/>
      <c r="C149" s="15"/>
      <c r="D149" s="15"/>
      <c r="E149" s="15"/>
      <c r="F149" s="15"/>
      <c r="G149" s="15"/>
      <c r="H149" s="15"/>
    </row>
    <row r="150" ht="15.75" customHeight="1">
      <c r="A150" s="14"/>
      <c r="B150" s="15"/>
      <c r="C150" s="15"/>
      <c r="D150" s="15"/>
      <c r="E150" s="15"/>
      <c r="F150" s="15"/>
      <c r="G150" s="15"/>
      <c r="H150" s="15"/>
    </row>
    <row r="151" ht="15.75" customHeight="1">
      <c r="A151" s="14"/>
      <c r="B151" s="15"/>
      <c r="C151" s="15"/>
      <c r="D151" s="15"/>
      <c r="E151" s="15"/>
      <c r="F151" s="15"/>
      <c r="G151" s="15"/>
      <c r="H151" s="15"/>
    </row>
    <row r="152" ht="15.75" customHeight="1">
      <c r="A152" s="14"/>
      <c r="B152" s="15"/>
      <c r="C152" s="15"/>
      <c r="D152" s="15"/>
      <c r="E152" s="15"/>
      <c r="F152" s="15"/>
      <c r="G152" s="15"/>
      <c r="H152" s="15"/>
    </row>
    <row r="153" ht="15.75" customHeight="1">
      <c r="A153" s="14"/>
      <c r="B153" s="15"/>
      <c r="C153" s="15"/>
      <c r="D153" s="15"/>
      <c r="E153" s="15"/>
      <c r="F153" s="15"/>
      <c r="G153" s="15"/>
      <c r="H153" s="15"/>
    </row>
    <row r="154" ht="15.75" customHeight="1">
      <c r="A154" s="14"/>
      <c r="B154" s="15"/>
      <c r="C154" s="15"/>
      <c r="D154" s="15"/>
      <c r="E154" s="15"/>
      <c r="F154" s="15"/>
      <c r="G154" s="15"/>
      <c r="H154" s="15"/>
    </row>
    <row r="155" ht="15.75" customHeight="1">
      <c r="A155" s="14"/>
      <c r="B155" s="15"/>
      <c r="C155" s="15"/>
      <c r="D155" s="15"/>
      <c r="E155" s="15"/>
      <c r="F155" s="15"/>
      <c r="G155" s="15"/>
      <c r="H155" s="15"/>
    </row>
    <row r="156" ht="15.75" customHeight="1">
      <c r="A156" s="14"/>
      <c r="B156" s="15"/>
      <c r="C156" s="15"/>
      <c r="D156" s="15"/>
      <c r="E156" s="15"/>
      <c r="F156" s="15"/>
      <c r="G156" s="15"/>
      <c r="H156" s="15"/>
    </row>
    <row r="157" ht="15.75" customHeight="1">
      <c r="A157" s="14"/>
      <c r="B157" s="15"/>
      <c r="C157" s="15"/>
      <c r="D157" s="15"/>
      <c r="E157" s="15"/>
      <c r="F157" s="15"/>
      <c r="G157" s="15"/>
      <c r="H157" s="15"/>
    </row>
    <row r="158" ht="15.75" customHeight="1">
      <c r="A158" s="14"/>
      <c r="B158" s="15"/>
      <c r="C158" s="15"/>
      <c r="D158" s="15"/>
      <c r="E158" s="15"/>
      <c r="F158" s="15"/>
      <c r="G158" s="15"/>
      <c r="H158" s="15"/>
    </row>
    <row r="159" ht="15.75" customHeight="1">
      <c r="A159" s="14"/>
      <c r="B159" s="15"/>
      <c r="C159" s="15"/>
      <c r="D159" s="15"/>
      <c r="E159" s="15"/>
      <c r="F159" s="15"/>
      <c r="G159" s="15"/>
      <c r="H159" s="15"/>
    </row>
    <row r="160" ht="15.75" customHeight="1">
      <c r="A160" s="14"/>
      <c r="B160" s="15"/>
      <c r="C160" s="15"/>
      <c r="D160" s="15"/>
      <c r="E160" s="15"/>
      <c r="F160" s="15"/>
      <c r="G160" s="15"/>
      <c r="H160" s="15"/>
    </row>
    <row r="161" ht="15.75" customHeight="1">
      <c r="A161" s="14"/>
      <c r="B161" s="15"/>
      <c r="C161" s="15"/>
      <c r="D161" s="15"/>
      <c r="E161" s="15"/>
      <c r="F161" s="15"/>
      <c r="G161" s="15"/>
      <c r="H161" s="15"/>
    </row>
    <row r="162" ht="15.75" customHeight="1">
      <c r="A162" s="14"/>
      <c r="B162" s="15"/>
      <c r="C162" s="15"/>
      <c r="D162" s="15"/>
      <c r="E162" s="15"/>
      <c r="F162" s="15"/>
      <c r="G162" s="15"/>
      <c r="H162" s="15"/>
    </row>
    <row r="163" ht="15.75" customHeight="1">
      <c r="A163" s="14"/>
      <c r="B163" s="15"/>
      <c r="C163" s="15"/>
      <c r="D163" s="15"/>
      <c r="E163" s="15"/>
      <c r="F163" s="15"/>
      <c r="G163" s="15"/>
      <c r="H163" s="15"/>
    </row>
    <row r="164" ht="15.75" customHeight="1">
      <c r="A164" s="14"/>
      <c r="B164" s="15"/>
      <c r="C164" s="15"/>
      <c r="D164" s="15"/>
      <c r="E164" s="15"/>
      <c r="F164" s="15"/>
      <c r="G164" s="15"/>
      <c r="H164" s="15"/>
    </row>
    <row r="165" ht="15.75" customHeight="1">
      <c r="A165" s="14"/>
      <c r="B165" s="15"/>
      <c r="C165" s="15"/>
      <c r="D165" s="15"/>
      <c r="E165" s="15"/>
      <c r="F165" s="15"/>
      <c r="G165" s="15"/>
      <c r="H165" s="15"/>
    </row>
    <row r="166" ht="15.75" customHeight="1">
      <c r="A166" s="14"/>
      <c r="B166" s="15"/>
      <c r="C166" s="15"/>
      <c r="D166" s="15"/>
      <c r="E166" s="15"/>
      <c r="F166" s="15"/>
      <c r="G166" s="15"/>
      <c r="H166" s="15"/>
    </row>
    <row r="167" ht="15.75" customHeight="1">
      <c r="A167" s="14"/>
      <c r="B167" s="15"/>
      <c r="C167" s="15"/>
      <c r="D167" s="15"/>
      <c r="E167" s="15"/>
      <c r="F167" s="15"/>
      <c r="G167" s="15"/>
      <c r="H167" s="15"/>
    </row>
    <row r="168" ht="15.75" customHeight="1">
      <c r="A168" s="14"/>
      <c r="B168" s="15"/>
      <c r="C168" s="15"/>
      <c r="D168" s="15"/>
      <c r="E168" s="15"/>
      <c r="F168" s="15"/>
      <c r="G168" s="15"/>
      <c r="H168" s="15"/>
    </row>
    <row r="169" ht="15.75" customHeight="1">
      <c r="A169" s="14"/>
      <c r="B169" s="15"/>
      <c r="C169" s="15"/>
      <c r="D169" s="15"/>
      <c r="E169" s="15"/>
      <c r="F169" s="15"/>
      <c r="G169" s="15"/>
      <c r="H169" s="15"/>
    </row>
    <row r="170" ht="15.75" customHeight="1">
      <c r="A170" s="14"/>
      <c r="B170" s="15"/>
      <c r="C170" s="15"/>
      <c r="D170" s="15"/>
      <c r="E170" s="15"/>
      <c r="F170" s="15"/>
      <c r="G170" s="15"/>
      <c r="H170" s="15"/>
    </row>
    <row r="171" ht="15.75" customHeight="1">
      <c r="A171" s="14"/>
      <c r="B171" s="15"/>
      <c r="C171" s="15"/>
      <c r="D171" s="15"/>
      <c r="E171" s="15"/>
      <c r="F171" s="15"/>
      <c r="G171" s="15"/>
      <c r="H171" s="15"/>
    </row>
    <row r="172" ht="15.75" customHeight="1">
      <c r="A172" s="14"/>
      <c r="B172" s="15"/>
      <c r="C172" s="15"/>
      <c r="D172" s="15"/>
      <c r="E172" s="15"/>
      <c r="F172" s="15"/>
      <c r="G172" s="15"/>
      <c r="H172" s="15"/>
    </row>
    <row r="173" ht="15.75" customHeight="1">
      <c r="A173" s="14"/>
      <c r="B173" s="15"/>
      <c r="C173" s="15"/>
      <c r="D173" s="15"/>
      <c r="E173" s="15"/>
      <c r="F173" s="15"/>
      <c r="G173" s="15"/>
      <c r="H173" s="15"/>
    </row>
    <row r="174" ht="15.75" customHeight="1">
      <c r="A174" s="14"/>
      <c r="B174" s="15"/>
      <c r="C174" s="15"/>
      <c r="D174" s="15"/>
      <c r="E174" s="15"/>
      <c r="F174" s="15"/>
      <c r="G174" s="15"/>
      <c r="H174" s="15"/>
    </row>
    <row r="175" ht="15.75" customHeight="1">
      <c r="A175" s="14"/>
      <c r="B175" s="15"/>
      <c r="C175" s="15"/>
      <c r="D175" s="15"/>
      <c r="E175" s="15"/>
      <c r="F175" s="15"/>
      <c r="G175" s="15"/>
      <c r="H175" s="15"/>
    </row>
    <row r="176" ht="15.75" customHeight="1">
      <c r="A176" s="14"/>
      <c r="B176" s="15"/>
      <c r="C176" s="15"/>
      <c r="D176" s="15"/>
      <c r="E176" s="15"/>
      <c r="F176" s="15"/>
      <c r="G176" s="15"/>
      <c r="H176" s="15"/>
    </row>
    <row r="177" ht="15.75" customHeight="1">
      <c r="A177" s="14"/>
      <c r="B177" s="15"/>
      <c r="C177" s="15"/>
      <c r="D177" s="15"/>
      <c r="E177" s="15"/>
      <c r="F177" s="15"/>
      <c r="G177" s="15"/>
      <c r="H177" s="15"/>
    </row>
    <row r="178" ht="15.75" customHeight="1">
      <c r="A178" s="14"/>
      <c r="B178" s="15"/>
      <c r="C178" s="15"/>
      <c r="D178" s="15"/>
      <c r="E178" s="15"/>
      <c r="F178" s="15"/>
      <c r="G178" s="15"/>
      <c r="H178" s="15"/>
    </row>
    <row r="179" ht="15.75" customHeight="1">
      <c r="A179" s="14"/>
      <c r="B179" s="15"/>
      <c r="C179" s="15"/>
      <c r="D179" s="15"/>
      <c r="E179" s="15"/>
      <c r="F179" s="15"/>
      <c r="G179" s="15"/>
      <c r="H179" s="15"/>
    </row>
    <row r="180" ht="15.75" customHeight="1">
      <c r="A180" s="14"/>
      <c r="B180" s="15"/>
      <c r="C180" s="15"/>
      <c r="D180" s="15"/>
      <c r="E180" s="15"/>
      <c r="F180" s="15"/>
      <c r="G180" s="15"/>
      <c r="H180" s="15"/>
    </row>
    <row r="181" ht="15.75" customHeight="1">
      <c r="A181" s="14"/>
      <c r="B181" s="15"/>
      <c r="C181" s="15"/>
      <c r="D181" s="15"/>
      <c r="E181" s="15"/>
      <c r="F181" s="15"/>
      <c r="G181" s="15"/>
      <c r="H181" s="15"/>
    </row>
    <row r="182" ht="15.75" customHeight="1">
      <c r="A182" s="14"/>
      <c r="B182" s="15"/>
      <c r="C182" s="15"/>
      <c r="D182" s="15"/>
      <c r="E182" s="15"/>
      <c r="F182" s="15"/>
      <c r="G182" s="15"/>
      <c r="H182" s="15"/>
    </row>
    <row r="183" ht="15.75" customHeight="1">
      <c r="A183" s="14"/>
      <c r="B183" s="15"/>
      <c r="C183" s="15"/>
      <c r="D183" s="15"/>
      <c r="E183" s="15"/>
      <c r="F183" s="15"/>
      <c r="G183" s="15"/>
      <c r="H183" s="15"/>
    </row>
    <row r="184" ht="15.75" customHeight="1">
      <c r="A184" s="14"/>
      <c r="B184" s="15"/>
      <c r="C184" s="15"/>
      <c r="D184" s="15"/>
      <c r="E184" s="15"/>
      <c r="F184" s="15"/>
      <c r="G184" s="15"/>
      <c r="H184" s="15"/>
    </row>
    <row r="185" ht="15.75" customHeight="1">
      <c r="A185" s="14"/>
      <c r="B185" s="15"/>
      <c r="C185" s="15"/>
      <c r="D185" s="15"/>
      <c r="E185" s="15"/>
      <c r="F185" s="15"/>
      <c r="G185" s="15"/>
      <c r="H185" s="15"/>
    </row>
    <row r="186" ht="15.75" customHeight="1">
      <c r="A186" s="14"/>
      <c r="B186" s="15"/>
      <c r="C186" s="15"/>
      <c r="D186" s="15"/>
      <c r="E186" s="15"/>
      <c r="F186" s="15"/>
      <c r="G186" s="15"/>
      <c r="H186" s="15"/>
    </row>
    <row r="187" ht="15.75" customHeight="1">
      <c r="A187" s="14"/>
      <c r="B187" s="15"/>
      <c r="C187" s="15"/>
      <c r="D187" s="15"/>
      <c r="E187" s="15"/>
      <c r="F187" s="15"/>
      <c r="G187" s="15"/>
      <c r="H187" s="15"/>
    </row>
    <row r="188" ht="15.75" customHeight="1">
      <c r="A188" s="14"/>
      <c r="B188" s="15"/>
      <c r="C188" s="15"/>
      <c r="D188" s="15"/>
      <c r="E188" s="15"/>
      <c r="F188" s="15"/>
      <c r="G188" s="15"/>
      <c r="H188" s="15"/>
    </row>
    <row r="189" ht="15.75" customHeight="1">
      <c r="A189" s="14"/>
      <c r="B189" s="15"/>
      <c r="C189" s="15"/>
      <c r="D189" s="15"/>
      <c r="E189" s="15"/>
      <c r="F189" s="15"/>
      <c r="G189" s="15"/>
      <c r="H189" s="15"/>
    </row>
    <row r="190" ht="15.75" customHeight="1">
      <c r="A190" s="14"/>
      <c r="B190" s="15"/>
      <c r="C190" s="15"/>
      <c r="D190" s="15"/>
      <c r="E190" s="15"/>
      <c r="F190" s="15"/>
      <c r="G190" s="15"/>
      <c r="H190" s="15"/>
    </row>
    <row r="191" ht="15.75" customHeight="1">
      <c r="A191" s="14"/>
      <c r="B191" s="15"/>
      <c r="C191" s="15"/>
      <c r="D191" s="15"/>
      <c r="E191" s="15"/>
      <c r="F191" s="15"/>
      <c r="G191" s="15"/>
      <c r="H191" s="15"/>
    </row>
    <row r="192" ht="15.75" customHeight="1">
      <c r="A192" s="14"/>
      <c r="B192" s="15"/>
      <c r="C192" s="15"/>
      <c r="D192" s="15"/>
      <c r="E192" s="15"/>
      <c r="F192" s="15"/>
      <c r="G192" s="15"/>
      <c r="H192" s="15"/>
    </row>
    <row r="193" ht="15.75" customHeight="1">
      <c r="A193" s="14"/>
      <c r="B193" s="15"/>
      <c r="C193" s="15"/>
      <c r="D193" s="15"/>
      <c r="E193" s="15"/>
      <c r="F193" s="15"/>
      <c r="G193" s="15"/>
      <c r="H193" s="15"/>
    </row>
    <row r="194" ht="15.75" customHeight="1">
      <c r="A194" s="14"/>
      <c r="B194" s="15"/>
      <c r="C194" s="15"/>
      <c r="D194" s="15"/>
      <c r="E194" s="15"/>
      <c r="F194" s="15"/>
      <c r="G194" s="15"/>
      <c r="H194" s="15"/>
    </row>
    <row r="195" ht="15.75" customHeight="1">
      <c r="A195" s="14"/>
      <c r="B195" s="15"/>
      <c r="C195" s="15"/>
      <c r="D195" s="15"/>
      <c r="E195" s="15"/>
      <c r="F195" s="15"/>
      <c r="G195" s="15"/>
      <c r="H195" s="15"/>
    </row>
    <row r="196" ht="15.75" customHeight="1">
      <c r="A196" s="14"/>
      <c r="B196" s="15"/>
      <c r="C196" s="15"/>
      <c r="D196" s="15"/>
      <c r="E196" s="15"/>
      <c r="F196" s="15"/>
      <c r="G196" s="15"/>
      <c r="H196" s="15"/>
    </row>
    <row r="197" ht="15.75" customHeight="1">
      <c r="A197" s="14"/>
      <c r="B197" s="15"/>
      <c r="C197" s="15"/>
      <c r="D197" s="15"/>
      <c r="E197" s="15"/>
      <c r="F197" s="15"/>
      <c r="G197" s="15"/>
      <c r="H197" s="15"/>
    </row>
    <row r="198" ht="15.75" customHeight="1">
      <c r="A198" s="14"/>
      <c r="B198" s="15"/>
      <c r="C198" s="15"/>
      <c r="D198" s="15"/>
      <c r="E198" s="15"/>
      <c r="F198" s="15"/>
      <c r="G198" s="15"/>
      <c r="H198" s="15"/>
    </row>
    <row r="199" ht="15.75" customHeight="1">
      <c r="A199" s="14"/>
      <c r="B199" s="15"/>
      <c r="C199" s="15"/>
      <c r="D199" s="15"/>
      <c r="E199" s="15"/>
      <c r="F199" s="15"/>
      <c r="G199" s="15"/>
      <c r="H199" s="15"/>
    </row>
    <row r="200" ht="15.75" customHeight="1">
      <c r="A200" s="14"/>
      <c r="B200" s="15"/>
      <c r="C200" s="15"/>
      <c r="D200" s="15"/>
      <c r="E200" s="15"/>
      <c r="F200" s="15"/>
      <c r="G200" s="15"/>
      <c r="H200" s="15"/>
    </row>
    <row r="201" ht="15.75" customHeight="1">
      <c r="A201" s="14"/>
      <c r="B201" s="15"/>
      <c r="C201" s="15"/>
      <c r="D201" s="15"/>
      <c r="E201" s="15"/>
      <c r="F201" s="15"/>
      <c r="G201" s="15"/>
      <c r="H201" s="15"/>
    </row>
    <row r="202" ht="15.75" customHeight="1">
      <c r="A202" s="14"/>
      <c r="B202" s="15"/>
      <c r="C202" s="15"/>
      <c r="D202" s="15"/>
      <c r="E202" s="15"/>
      <c r="F202" s="15"/>
      <c r="G202" s="15"/>
      <c r="H202" s="15"/>
    </row>
    <row r="203" ht="15.75" customHeight="1">
      <c r="A203" s="14"/>
      <c r="B203" s="15"/>
      <c r="C203" s="15"/>
      <c r="D203" s="15"/>
      <c r="E203" s="15"/>
      <c r="F203" s="15"/>
      <c r="G203" s="15"/>
      <c r="H203" s="15"/>
    </row>
    <row r="204" ht="15.75" customHeight="1">
      <c r="A204" s="14"/>
      <c r="B204" s="15"/>
      <c r="C204" s="15"/>
      <c r="D204" s="15"/>
      <c r="E204" s="15"/>
      <c r="F204" s="15"/>
      <c r="G204" s="15"/>
      <c r="H204" s="15"/>
    </row>
    <row r="205" ht="15.75" customHeight="1">
      <c r="A205" s="14"/>
      <c r="B205" s="15"/>
      <c r="C205" s="15"/>
      <c r="D205" s="15"/>
      <c r="E205" s="15"/>
      <c r="F205" s="15"/>
      <c r="G205" s="15"/>
      <c r="H205" s="15"/>
    </row>
    <row r="206" ht="15.75" customHeight="1">
      <c r="A206" s="14"/>
      <c r="B206" s="15"/>
      <c r="C206" s="15"/>
      <c r="D206" s="15"/>
      <c r="E206" s="15"/>
      <c r="F206" s="15"/>
      <c r="G206" s="15"/>
      <c r="H206" s="15"/>
    </row>
    <row r="207" ht="15.75" customHeight="1">
      <c r="A207" s="14"/>
      <c r="B207" s="15"/>
      <c r="C207" s="15"/>
      <c r="D207" s="15"/>
      <c r="E207" s="15"/>
      <c r="F207" s="15"/>
      <c r="G207" s="15"/>
      <c r="H207" s="15"/>
    </row>
    <row r="208" ht="15.75" customHeight="1">
      <c r="A208" s="14"/>
      <c r="B208" s="15"/>
      <c r="C208" s="15"/>
      <c r="D208" s="15"/>
      <c r="E208" s="15"/>
      <c r="F208" s="15"/>
      <c r="G208" s="15"/>
      <c r="H208" s="15"/>
    </row>
    <row r="209" ht="15.75" customHeight="1">
      <c r="A209" s="14"/>
      <c r="B209" s="15"/>
      <c r="C209" s="15"/>
      <c r="D209" s="15"/>
      <c r="E209" s="15"/>
      <c r="F209" s="15"/>
      <c r="G209" s="15"/>
      <c r="H209" s="15"/>
    </row>
    <row r="210" ht="15.75" customHeight="1">
      <c r="A210" s="14"/>
      <c r="B210" s="15"/>
      <c r="C210" s="15"/>
      <c r="D210" s="15"/>
      <c r="E210" s="15"/>
      <c r="F210" s="15"/>
      <c r="G210" s="15"/>
      <c r="H210" s="15"/>
    </row>
    <row r="211" ht="15.75" customHeight="1">
      <c r="A211" s="14"/>
      <c r="B211" s="15"/>
      <c r="C211" s="15"/>
      <c r="D211" s="15"/>
      <c r="E211" s="15"/>
      <c r="F211" s="15"/>
      <c r="G211" s="15"/>
      <c r="H211" s="15"/>
    </row>
    <row r="212" ht="15.75" customHeight="1">
      <c r="A212" s="14"/>
      <c r="B212" s="15"/>
      <c r="C212" s="15"/>
      <c r="D212" s="15"/>
      <c r="E212" s="15"/>
      <c r="F212" s="15"/>
      <c r="G212" s="15"/>
      <c r="H212" s="15"/>
    </row>
    <row r="213" ht="15.75" customHeight="1">
      <c r="A213" s="14"/>
      <c r="B213" s="15"/>
      <c r="C213" s="15"/>
      <c r="D213" s="15"/>
      <c r="E213" s="15"/>
      <c r="F213" s="15"/>
      <c r="G213" s="15"/>
      <c r="H213" s="15"/>
    </row>
    <row r="214" ht="15.75" customHeight="1">
      <c r="A214" s="14"/>
      <c r="B214" s="15"/>
      <c r="C214" s="15"/>
      <c r="D214" s="15"/>
      <c r="E214" s="15"/>
      <c r="F214" s="15"/>
      <c r="G214" s="15"/>
      <c r="H214" s="15"/>
    </row>
    <row r="215" ht="15.75" customHeight="1">
      <c r="A215" s="14"/>
      <c r="B215" s="15"/>
      <c r="C215" s="15"/>
      <c r="D215" s="15"/>
      <c r="E215" s="15"/>
      <c r="F215" s="15"/>
      <c r="G215" s="15"/>
      <c r="H215" s="15"/>
    </row>
    <row r="216" ht="15.75" customHeight="1">
      <c r="A216" s="14"/>
      <c r="B216" s="15"/>
      <c r="C216" s="15"/>
      <c r="D216" s="15"/>
      <c r="E216" s="15"/>
      <c r="F216" s="15"/>
      <c r="G216" s="15"/>
      <c r="H216" s="15"/>
    </row>
    <row r="217" ht="15.75" customHeight="1">
      <c r="A217" s="14"/>
      <c r="B217" s="15"/>
      <c r="C217" s="15"/>
      <c r="D217" s="15"/>
      <c r="E217" s="15"/>
      <c r="F217" s="15"/>
      <c r="G217" s="15"/>
      <c r="H217" s="15"/>
    </row>
    <row r="218" ht="15.75" customHeight="1">
      <c r="A218" s="14"/>
      <c r="B218" s="15"/>
      <c r="C218" s="15"/>
      <c r="D218" s="15"/>
      <c r="E218" s="15"/>
      <c r="F218" s="15"/>
      <c r="G218" s="15"/>
      <c r="H218" s="15"/>
    </row>
    <row r="219" ht="15.75" customHeight="1">
      <c r="A219" s="14"/>
      <c r="B219" s="15"/>
      <c r="C219" s="15"/>
      <c r="D219" s="15"/>
      <c r="E219" s="15"/>
      <c r="F219" s="15"/>
      <c r="G219" s="15"/>
      <c r="H219" s="15"/>
    </row>
    <row r="220" ht="15.75" customHeight="1">
      <c r="A220" s="14"/>
      <c r="B220" s="15"/>
      <c r="C220" s="15"/>
      <c r="D220" s="15"/>
      <c r="E220" s="15"/>
      <c r="F220" s="15"/>
      <c r="G220" s="15"/>
      <c r="H220" s="15"/>
    </row>
    <row r="221" ht="15.75" customHeight="1">
      <c r="A221" s="14"/>
      <c r="B221" s="17"/>
      <c r="C221" s="14"/>
      <c r="D221" s="14"/>
      <c r="E221" s="14"/>
      <c r="F221" s="14"/>
      <c r="G221" s="14"/>
      <c r="H221" s="14"/>
    </row>
    <row r="222" ht="15.75" customHeight="1">
      <c r="A222" s="14"/>
      <c r="B222" s="17"/>
      <c r="C222" s="14"/>
      <c r="D222" s="14"/>
      <c r="E222" s="14"/>
      <c r="F222" s="14"/>
      <c r="G222" s="14"/>
      <c r="H222" s="14"/>
    </row>
    <row r="223" ht="15.75" customHeight="1">
      <c r="A223" s="14"/>
      <c r="B223" s="17"/>
      <c r="C223" s="14"/>
      <c r="D223" s="14"/>
      <c r="E223" s="14"/>
      <c r="F223" s="14"/>
      <c r="G223" s="14"/>
      <c r="H223" s="14"/>
    </row>
    <row r="224" ht="15.75" customHeight="1">
      <c r="A224" s="14"/>
      <c r="B224" s="17"/>
      <c r="C224" s="14"/>
      <c r="D224" s="14"/>
      <c r="E224" s="14"/>
      <c r="F224" s="14"/>
      <c r="G224" s="14"/>
      <c r="H224" s="14"/>
    </row>
    <row r="225" ht="15.75" customHeight="1">
      <c r="A225" s="14"/>
      <c r="B225" s="17"/>
      <c r="C225" s="14"/>
      <c r="D225" s="14"/>
      <c r="E225" s="14"/>
      <c r="F225" s="14"/>
      <c r="G225" s="14"/>
      <c r="H225" s="14"/>
    </row>
    <row r="226" ht="15.75" customHeight="1">
      <c r="A226" s="14"/>
      <c r="B226" s="17"/>
      <c r="C226" s="14"/>
      <c r="D226" s="14"/>
      <c r="E226" s="14"/>
      <c r="F226" s="14"/>
      <c r="G226" s="14"/>
      <c r="H226" s="14"/>
    </row>
    <row r="227" ht="15.75" customHeight="1">
      <c r="A227" s="14"/>
      <c r="B227" s="17"/>
      <c r="C227" s="14"/>
      <c r="D227" s="14"/>
      <c r="E227" s="14"/>
      <c r="F227" s="14"/>
      <c r="G227" s="14"/>
      <c r="H227" s="14"/>
    </row>
    <row r="228" ht="15.75" customHeight="1">
      <c r="A228" s="14"/>
      <c r="B228" s="17"/>
      <c r="C228" s="14"/>
      <c r="D228" s="14"/>
      <c r="E228" s="14"/>
      <c r="F228" s="14"/>
      <c r="G228" s="14"/>
      <c r="H228" s="14"/>
    </row>
    <row r="229" ht="15.75" customHeight="1">
      <c r="A229" s="14"/>
      <c r="B229" s="17"/>
      <c r="C229" s="14"/>
      <c r="D229" s="14"/>
      <c r="E229" s="14"/>
      <c r="F229" s="14"/>
      <c r="G229" s="14"/>
      <c r="H229" s="14"/>
    </row>
    <row r="230" ht="15.75" customHeight="1">
      <c r="A230" s="14"/>
      <c r="B230" s="17"/>
      <c r="C230" s="14"/>
      <c r="D230" s="14"/>
      <c r="E230" s="14"/>
      <c r="F230" s="14"/>
      <c r="G230" s="14"/>
      <c r="H230" s="14"/>
    </row>
    <row r="231" ht="15.75" customHeight="1">
      <c r="A231" s="14"/>
      <c r="B231" s="17"/>
      <c r="C231" s="14"/>
      <c r="D231" s="14"/>
      <c r="E231" s="14"/>
      <c r="F231" s="14"/>
      <c r="G231" s="14"/>
      <c r="H231" s="14"/>
    </row>
    <row r="232" ht="15.75" customHeight="1">
      <c r="A232" s="14"/>
      <c r="B232" s="17"/>
      <c r="C232" s="14"/>
      <c r="D232" s="14"/>
      <c r="E232" s="14"/>
      <c r="F232" s="14"/>
      <c r="G232" s="14"/>
      <c r="H232" s="14"/>
    </row>
    <row r="233" ht="15.75" customHeight="1">
      <c r="A233" s="14"/>
      <c r="B233" s="17"/>
      <c r="C233" s="14"/>
      <c r="D233" s="14"/>
      <c r="E233" s="14"/>
      <c r="F233" s="14"/>
      <c r="G233" s="14"/>
      <c r="H233" s="14"/>
    </row>
    <row r="234" ht="15.75" customHeight="1">
      <c r="A234" s="14"/>
      <c r="B234" s="17"/>
      <c r="C234" s="14"/>
      <c r="D234" s="14"/>
      <c r="E234" s="14"/>
      <c r="F234" s="14"/>
      <c r="G234" s="14"/>
      <c r="H234" s="14"/>
    </row>
    <row r="235" ht="15.75" customHeight="1">
      <c r="A235" s="14"/>
      <c r="B235" s="17"/>
      <c r="C235" s="14"/>
      <c r="D235" s="14"/>
      <c r="E235" s="14"/>
      <c r="F235" s="14"/>
      <c r="G235" s="14"/>
      <c r="H235" s="14"/>
    </row>
    <row r="236" ht="15.75" customHeight="1">
      <c r="A236" s="14"/>
      <c r="B236" s="17"/>
      <c r="C236" s="14"/>
      <c r="D236" s="14"/>
      <c r="E236" s="14"/>
      <c r="F236" s="14"/>
      <c r="G236" s="14"/>
      <c r="H236" s="14"/>
    </row>
    <row r="237" ht="15.75" customHeight="1">
      <c r="A237" s="14"/>
      <c r="B237" s="17"/>
      <c r="C237" s="14"/>
      <c r="D237" s="14"/>
      <c r="E237" s="14"/>
      <c r="F237" s="14"/>
      <c r="G237" s="14"/>
      <c r="H237" s="14"/>
    </row>
    <row r="238" ht="15.75" customHeight="1">
      <c r="A238" s="14"/>
      <c r="B238" s="17"/>
      <c r="C238" s="14"/>
      <c r="D238" s="14"/>
      <c r="E238" s="14"/>
      <c r="F238" s="14"/>
      <c r="G238" s="14"/>
      <c r="H238" s="14"/>
    </row>
    <row r="239" ht="15.75" customHeight="1">
      <c r="A239" s="14"/>
      <c r="B239" s="17"/>
      <c r="C239" s="14"/>
      <c r="D239" s="14"/>
      <c r="E239" s="14"/>
      <c r="F239" s="14"/>
      <c r="G239" s="14"/>
      <c r="H239" s="14"/>
    </row>
    <row r="240" ht="15.75" customHeight="1">
      <c r="A240" s="14"/>
      <c r="B240" s="17"/>
      <c r="C240" s="14"/>
      <c r="D240" s="14"/>
      <c r="E240" s="14"/>
      <c r="F240" s="14"/>
      <c r="G240" s="14"/>
      <c r="H240" s="14"/>
    </row>
    <row r="241" ht="15.75" customHeight="1">
      <c r="A241" s="14"/>
      <c r="B241" s="17"/>
      <c r="C241" s="14"/>
      <c r="D241" s="14"/>
      <c r="E241" s="14"/>
      <c r="F241" s="14"/>
      <c r="G241" s="14"/>
      <c r="H241" s="14"/>
    </row>
    <row r="242" ht="15.75" customHeight="1">
      <c r="A242" s="14"/>
      <c r="B242" s="17"/>
      <c r="C242" s="14"/>
      <c r="D242" s="14"/>
      <c r="E242" s="14"/>
      <c r="F242" s="14"/>
      <c r="G242" s="14"/>
      <c r="H242" s="14"/>
    </row>
    <row r="243" ht="15.75" customHeight="1">
      <c r="A243" s="14"/>
      <c r="B243" s="17"/>
      <c r="C243" s="14"/>
      <c r="D243" s="14"/>
      <c r="E243" s="14"/>
      <c r="F243" s="14"/>
      <c r="G243" s="14"/>
      <c r="H243" s="14"/>
    </row>
    <row r="244" ht="15.75" customHeight="1">
      <c r="A244" s="14"/>
      <c r="B244" s="17"/>
      <c r="C244" s="14"/>
      <c r="D244" s="14"/>
      <c r="E244" s="14"/>
      <c r="F244" s="14"/>
      <c r="G244" s="14"/>
      <c r="H244" s="14"/>
    </row>
    <row r="245" ht="15.75" customHeight="1">
      <c r="A245" s="14"/>
      <c r="B245" s="17"/>
      <c r="C245" s="14"/>
      <c r="D245" s="14"/>
      <c r="E245" s="14"/>
      <c r="F245" s="14"/>
      <c r="G245" s="14"/>
      <c r="H245" s="14"/>
    </row>
    <row r="246" ht="15.75" customHeight="1">
      <c r="A246" s="14"/>
      <c r="B246" s="17"/>
      <c r="C246" s="14"/>
      <c r="D246" s="14"/>
      <c r="E246" s="14"/>
      <c r="F246" s="14"/>
      <c r="G246" s="14"/>
      <c r="H246" s="14"/>
    </row>
    <row r="247" ht="15.75" customHeight="1">
      <c r="A247" s="14"/>
      <c r="B247" s="17"/>
      <c r="C247" s="14"/>
      <c r="D247" s="14"/>
      <c r="E247" s="14"/>
      <c r="F247" s="14"/>
      <c r="G247" s="14"/>
      <c r="H247" s="14"/>
    </row>
    <row r="248" ht="15.75" customHeight="1">
      <c r="A248" s="14"/>
      <c r="B248" s="17"/>
      <c r="C248" s="14"/>
      <c r="D248" s="14"/>
      <c r="E248" s="14"/>
      <c r="F248" s="14"/>
      <c r="G248" s="14"/>
      <c r="H248" s="14"/>
    </row>
    <row r="249" ht="15.75" customHeight="1">
      <c r="A249" s="14"/>
      <c r="B249" s="17"/>
      <c r="C249" s="14"/>
      <c r="D249" s="14"/>
      <c r="E249" s="14"/>
      <c r="F249" s="14"/>
      <c r="G249" s="14"/>
      <c r="H249" s="14"/>
    </row>
    <row r="250" ht="15.75" customHeight="1">
      <c r="A250" s="14"/>
      <c r="B250" s="17"/>
      <c r="C250" s="14"/>
      <c r="D250" s="14"/>
      <c r="E250" s="14"/>
      <c r="F250" s="14"/>
      <c r="G250" s="14"/>
      <c r="H250" s="14"/>
    </row>
    <row r="251" ht="15.75" customHeight="1">
      <c r="A251" s="14"/>
      <c r="B251" s="17"/>
      <c r="C251" s="14"/>
      <c r="D251" s="14"/>
      <c r="E251" s="14"/>
      <c r="F251" s="14"/>
      <c r="G251" s="14"/>
      <c r="H251" s="14"/>
    </row>
    <row r="252" ht="15.75" customHeight="1">
      <c r="A252" s="14"/>
      <c r="B252" s="17"/>
      <c r="C252" s="14"/>
      <c r="D252" s="14"/>
      <c r="E252" s="14"/>
      <c r="F252" s="14"/>
      <c r="G252" s="14"/>
      <c r="H252" s="14"/>
    </row>
    <row r="253" ht="15.75" customHeight="1">
      <c r="A253" s="14"/>
      <c r="B253" s="17"/>
      <c r="C253" s="14"/>
      <c r="D253" s="14"/>
      <c r="E253" s="14"/>
      <c r="F253" s="14"/>
      <c r="G253" s="14"/>
      <c r="H253" s="14"/>
    </row>
    <row r="254" ht="15.75" customHeight="1">
      <c r="A254" s="14"/>
      <c r="B254" s="17"/>
      <c r="C254" s="14"/>
      <c r="D254" s="14"/>
      <c r="E254" s="14"/>
      <c r="F254" s="14"/>
      <c r="G254" s="14"/>
      <c r="H254" s="14"/>
    </row>
    <row r="255" ht="15.75" customHeight="1">
      <c r="A255" s="14"/>
      <c r="B255" s="17"/>
      <c r="C255" s="14"/>
      <c r="D255" s="14"/>
      <c r="E255" s="14"/>
      <c r="F255" s="14"/>
      <c r="G255" s="14"/>
      <c r="H255" s="14"/>
    </row>
    <row r="256" ht="15.75" customHeight="1">
      <c r="A256" s="14"/>
      <c r="B256" s="17"/>
      <c r="C256" s="14"/>
      <c r="D256" s="14"/>
      <c r="E256" s="14"/>
      <c r="F256" s="14"/>
      <c r="G256" s="14"/>
      <c r="H256" s="14"/>
    </row>
    <row r="257" ht="15.75" customHeight="1">
      <c r="A257" s="14"/>
      <c r="B257" s="17"/>
      <c r="C257" s="14"/>
      <c r="D257" s="14"/>
      <c r="E257" s="14"/>
      <c r="F257" s="14"/>
      <c r="G257" s="14"/>
      <c r="H257" s="14"/>
    </row>
    <row r="258" ht="15.75" customHeight="1">
      <c r="A258" s="14"/>
      <c r="B258" s="17"/>
      <c r="C258" s="14"/>
      <c r="D258" s="14"/>
      <c r="E258" s="14"/>
      <c r="F258" s="14"/>
      <c r="G258" s="14"/>
      <c r="H258" s="14"/>
    </row>
    <row r="259" ht="15.75" customHeight="1">
      <c r="A259" s="14"/>
      <c r="B259" s="17"/>
      <c r="C259" s="14"/>
      <c r="D259" s="14"/>
      <c r="E259" s="14"/>
      <c r="F259" s="14"/>
      <c r="G259" s="14"/>
      <c r="H259" s="14"/>
    </row>
    <row r="260" ht="15.75" customHeight="1">
      <c r="A260" s="14"/>
      <c r="B260" s="17"/>
      <c r="C260" s="14"/>
      <c r="D260" s="14"/>
      <c r="E260" s="14"/>
      <c r="F260" s="14"/>
      <c r="G260" s="14"/>
      <c r="H260" s="14"/>
    </row>
    <row r="261" ht="15.75" customHeight="1">
      <c r="A261" s="14"/>
      <c r="B261" s="17"/>
      <c r="C261" s="14"/>
      <c r="D261" s="14"/>
      <c r="E261" s="14"/>
      <c r="F261" s="14"/>
      <c r="G261" s="14"/>
      <c r="H261" s="14"/>
    </row>
    <row r="262" ht="15.75" customHeight="1">
      <c r="A262" s="14"/>
      <c r="B262" s="17"/>
      <c r="C262" s="14"/>
      <c r="D262" s="14"/>
      <c r="E262" s="14"/>
      <c r="F262" s="14"/>
      <c r="G262" s="14"/>
      <c r="H262" s="14"/>
    </row>
    <row r="263" ht="15.75" customHeight="1">
      <c r="A263" s="14"/>
      <c r="B263" s="17"/>
      <c r="C263" s="14"/>
      <c r="D263" s="14"/>
      <c r="E263" s="14"/>
      <c r="F263" s="14"/>
      <c r="G263" s="14"/>
      <c r="H263" s="14"/>
    </row>
    <row r="264" ht="15.75" customHeight="1">
      <c r="A264" s="14"/>
      <c r="B264" s="17"/>
      <c r="C264" s="14"/>
      <c r="D264" s="14"/>
      <c r="E264" s="14"/>
      <c r="F264" s="14"/>
      <c r="G264" s="14"/>
      <c r="H264" s="14"/>
    </row>
    <row r="265" ht="15.75" customHeight="1">
      <c r="A265" s="14"/>
      <c r="B265" s="17"/>
      <c r="C265" s="14"/>
      <c r="D265" s="14"/>
      <c r="E265" s="14"/>
      <c r="F265" s="14"/>
      <c r="G265" s="14"/>
      <c r="H265" s="14"/>
    </row>
    <row r="266" ht="15.75" customHeight="1">
      <c r="A266" s="14"/>
      <c r="B266" s="17"/>
      <c r="C266" s="14"/>
      <c r="D266" s="14"/>
      <c r="E266" s="14"/>
      <c r="F266" s="14"/>
      <c r="G266" s="14"/>
      <c r="H266" s="14"/>
    </row>
    <row r="267" ht="15.75" customHeight="1">
      <c r="A267" s="14"/>
      <c r="B267" s="17"/>
      <c r="C267" s="14"/>
      <c r="D267" s="14"/>
      <c r="E267" s="14"/>
      <c r="F267" s="14"/>
      <c r="G267" s="14"/>
      <c r="H267" s="14"/>
    </row>
    <row r="268" ht="15.75" customHeight="1">
      <c r="A268" s="14"/>
      <c r="B268" s="17"/>
      <c r="C268" s="14"/>
      <c r="D268" s="14"/>
      <c r="E268" s="14"/>
      <c r="F268" s="14"/>
      <c r="G268" s="14"/>
      <c r="H268" s="14"/>
    </row>
    <row r="269" ht="15.75" customHeight="1">
      <c r="A269" s="14"/>
      <c r="B269" s="17"/>
      <c r="C269" s="14"/>
      <c r="D269" s="14"/>
      <c r="E269" s="14"/>
      <c r="F269" s="14"/>
      <c r="G269" s="14"/>
      <c r="H269" s="14"/>
    </row>
    <row r="270" ht="15.75" customHeight="1">
      <c r="A270" s="14"/>
      <c r="B270" s="17"/>
      <c r="C270" s="14"/>
      <c r="D270" s="14"/>
      <c r="E270" s="14"/>
      <c r="F270" s="14"/>
      <c r="G270" s="14"/>
      <c r="H270" s="14"/>
    </row>
    <row r="271" ht="15.75" customHeight="1">
      <c r="A271" s="14"/>
      <c r="B271" s="17"/>
      <c r="C271" s="14"/>
      <c r="D271" s="14"/>
      <c r="E271" s="14"/>
      <c r="F271" s="14"/>
      <c r="G271" s="14"/>
      <c r="H271" s="14"/>
    </row>
    <row r="272" ht="15.75" customHeight="1">
      <c r="A272" s="14"/>
      <c r="B272" s="17"/>
      <c r="C272" s="14"/>
      <c r="D272" s="14"/>
      <c r="E272" s="14"/>
      <c r="F272" s="14"/>
      <c r="G272" s="14"/>
      <c r="H272" s="14"/>
    </row>
    <row r="273" ht="15.75" customHeight="1">
      <c r="A273" s="14"/>
      <c r="B273" s="17"/>
      <c r="C273" s="14"/>
      <c r="D273" s="14"/>
      <c r="E273" s="14"/>
      <c r="F273" s="14"/>
      <c r="G273" s="14"/>
      <c r="H273" s="14"/>
    </row>
    <row r="274" ht="15.75" customHeight="1">
      <c r="A274" s="14"/>
      <c r="B274" s="17"/>
      <c r="C274" s="14"/>
      <c r="D274" s="14"/>
      <c r="E274" s="14"/>
      <c r="F274" s="14"/>
      <c r="G274" s="14"/>
      <c r="H274" s="14"/>
    </row>
    <row r="275" ht="15.75" customHeight="1">
      <c r="A275" s="14"/>
      <c r="B275" s="17"/>
      <c r="C275" s="14"/>
      <c r="D275" s="14"/>
      <c r="E275" s="14"/>
      <c r="F275" s="14"/>
      <c r="G275" s="14"/>
      <c r="H275" s="14"/>
    </row>
    <row r="276" ht="15.75" customHeight="1">
      <c r="A276" s="14"/>
      <c r="B276" s="17"/>
      <c r="C276" s="14"/>
      <c r="D276" s="14"/>
      <c r="E276" s="14"/>
      <c r="F276" s="14"/>
      <c r="G276" s="14"/>
      <c r="H276" s="14"/>
    </row>
    <row r="277" ht="15.75" customHeight="1">
      <c r="A277" s="14"/>
      <c r="B277" s="17"/>
      <c r="C277" s="14"/>
      <c r="D277" s="14"/>
      <c r="E277" s="14"/>
      <c r="F277" s="14"/>
      <c r="G277" s="14"/>
      <c r="H277" s="14"/>
    </row>
    <row r="278" ht="15.75" customHeight="1">
      <c r="A278" s="14"/>
      <c r="B278" s="17"/>
      <c r="C278" s="14"/>
      <c r="D278" s="14"/>
      <c r="E278" s="14"/>
      <c r="F278" s="14"/>
      <c r="G278" s="14"/>
      <c r="H278" s="14"/>
    </row>
    <row r="279" ht="15.75" customHeight="1">
      <c r="A279" s="14"/>
      <c r="B279" s="17"/>
      <c r="C279" s="14"/>
      <c r="D279" s="14"/>
      <c r="E279" s="14"/>
      <c r="F279" s="14"/>
      <c r="G279" s="14"/>
      <c r="H279" s="14"/>
    </row>
    <row r="280" ht="15.75" customHeight="1">
      <c r="A280" s="14"/>
      <c r="B280" s="17"/>
      <c r="C280" s="14"/>
      <c r="D280" s="14"/>
      <c r="E280" s="14"/>
      <c r="F280" s="14"/>
      <c r="G280" s="14"/>
      <c r="H280" s="14"/>
    </row>
    <row r="281" ht="15.75" customHeight="1">
      <c r="A281" s="14"/>
      <c r="B281" s="17"/>
      <c r="C281" s="14"/>
      <c r="D281" s="14"/>
      <c r="E281" s="14"/>
      <c r="F281" s="14"/>
      <c r="G281" s="14"/>
      <c r="H281" s="14"/>
    </row>
    <row r="282" ht="15.75" customHeight="1">
      <c r="A282" s="14"/>
      <c r="B282" s="17"/>
      <c r="C282" s="14"/>
      <c r="D282" s="14"/>
      <c r="E282" s="14"/>
      <c r="F282" s="14"/>
      <c r="G282" s="14"/>
      <c r="H282" s="14"/>
    </row>
    <row r="283" ht="15.75" customHeight="1">
      <c r="A283" s="14"/>
      <c r="B283" s="17"/>
      <c r="C283" s="14"/>
      <c r="D283" s="14"/>
      <c r="E283" s="14"/>
      <c r="F283" s="14"/>
      <c r="G283" s="14"/>
      <c r="H283" s="14"/>
    </row>
    <row r="284" ht="15.75" customHeight="1">
      <c r="A284" s="14"/>
      <c r="B284" s="17"/>
      <c r="C284" s="14"/>
      <c r="D284" s="14"/>
      <c r="E284" s="14"/>
      <c r="F284" s="14"/>
      <c r="G284" s="14"/>
      <c r="H284" s="14"/>
    </row>
    <row r="285" ht="15.75" customHeight="1">
      <c r="A285" s="14"/>
      <c r="B285" s="17"/>
      <c r="C285" s="14"/>
      <c r="D285" s="14"/>
      <c r="E285" s="14"/>
      <c r="F285" s="14"/>
      <c r="G285" s="14"/>
      <c r="H285" s="14"/>
    </row>
    <row r="286" ht="15.75" customHeight="1">
      <c r="A286" s="14"/>
      <c r="B286" s="17"/>
      <c r="C286" s="14"/>
      <c r="D286" s="14"/>
      <c r="E286" s="14"/>
      <c r="F286" s="14"/>
      <c r="G286" s="14"/>
      <c r="H286" s="14"/>
    </row>
    <row r="287" ht="15.75" customHeight="1">
      <c r="A287" s="14"/>
      <c r="B287" s="17"/>
      <c r="C287" s="14"/>
      <c r="D287" s="14"/>
      <c r="E287" s="14"/>
      <c r="F287" s="14"/>
      <c r="G287" s="14"/>
      <c r="H287" s="14"/>
    </row>
    <row r="288" ht="15.75" customHeight="1">
      <c r="A288" s="14"/>
      <c r="B288" s="17"/>
      <c r="C288" s="14"/>
      <c r="D288" s="14"/>
      <c r="E288" s="14"/>
      <c r="F288" s="14"/>
      <c r="G288" s="14"/>
      <c r="H288" s="14"/>
    </row>
    <row r="289" ht="15.75" customHeight="1">
      <c r="A289" s="14"/>
      <c r="B289" s="17"/>
      <c r="C289" s="14"/>
      <c r="D289" s="14"/>
      <c r="E289" s="14"/>
      <c r="F289" s="14"/>
      <c r="G289" s="14"/>
      <c r="H289" s="14"/>
    </row>
    <row r="290" ht="15.75" customHeight="1">
      <c r="A290" s="14"/>
      <c r="B290" s="17"/>
      <c r="C290" s="14"/>
      <c r="D290" s="14"/>
      <c r="E290" s="14"/>
      <c r="F290" s="14"/>
      <c r="G290" s="14"/>
      <c r="H290" s="14"/>
    </row>
    <row r="291" ht="15.75" customHeight="1">
      <c r="A291" s="14"/>
      <c r="B291" s="17"/>
      <c r="C291" s="14"/>
      <c r="D291" s="14"/>
      <c r="E291" s="14"/>
      <c r="F291" s="14"/>
      <c r="G291" s="14"/>
      <c r="H291" s="14"/>
    </row>
    <row r="292" ht="15.75" customHeight="1">
      <c r="A292" s="14"/>
      <c r="B292" s="17"/>
      <c r="C292" s="14"/>
      <c r="D292" s="14"/>
      <c r="E292" s="14"/>
      <c r="F292" s="14"/>
      <c r="G292" s="14"/>
      <c r="H292" s="14"/>
    </row>
    <row r="293" ht="15.75" customHeight="1">
      <c r="A293" s="14"/>
      <c r="B293" s="17"/>
      <c r="C293" s="14"/>
      <c r="D293" s="14"/>
      <c r="E293" s="14"/>
      <c r="F293" s="14"/>
      <c r="G293" s="14"/>
      <c r="H293" s="14"/>
    </row>
    <row r="294" ht="15.75" customHeight="1">
      <c r="A294" s="14"/>
      <c r="B294" s="17"/>
      <c r="C294" s="14"/>
      <c r="D294" s="14"/>
      <c r="E294" s="14"/>
      <c r="F294" s="14"/>
      <c r="G294" s="14"/>
      <c r="H294" s="14"/>
    </row>
    <row r="295" ht="15.75" customHeight="1">
      <c r="A295" s="14"/>
      <c r="B295" s="17"/>
      <c r="C295" s="14"/>
      <c r="D295" s="14"/>
      <c r="E295" s="14"/>
      <c r="F295" s="14"/>
      <c r="G295" s="14"/>
      <c r="H295" s="14"/>
    </row>
    <row r="296" ht="15.75" customHeight="1">
      <c r="A296" s="14"/>
      <c r="B296" s="17"/>
      <c r="C296" s="14"/>
      <c r="D296" s="14"/>
      <c r="E296" s="14"/>
      <c r="F296" s="14"/>
      <c r="G296" s="14"/>
      <c r="H296" s="14"/>
    </row>
    <row r="297" ht="15.75" customHeight="1">
      <c r="A297" s="14"/>
      <c r="B297" s="17"/>
      <c r="C297" s="14"/>
      <c r="D297" s="14"/>
      <c r="E297" s="14"/>
      <c r="F297" s="14"/>
      <c r="G297" s="14"/>
      <c r="H297" s="14"/>
    </row>
    <row r="298" ht="15.75" customHeight="1">
      <c r="A298" s="14"/>
      <c r="B298" s="17"/>
      <c r="C298" s="14"/>
      <c r="D298" s="14"/>
      <c r="E298" s="14"/>
      <c r="F298" s="14"/>
      <c r="G298" s="14"/>
      <c r="H298" s="14"/>
    </row>
    <row r="299" ht="15.75" customHeight="1">
      <c r="A299" s="14"/>
      <c r="B299" s="17"/>
      <c r="C299" s="14"/>
      <c r="D299" s="14"/>
      <c r="E299" s="14"/>
      <c r="F299" s="14"/>
      <c r="G299" s="14"/>
      <c r="H299" s="14"/>
    </row>
    <row r="300" ht="15.75" customHeight="1">
      <c r="A300" s="14"/>
      <c r="B300" s="17"/>
      <c r="C300" s="14"/>
      <c r="D300" s="14"/>
      <c r="E300" s="14"/>
      <c r="F300" s="14"/>
      <c r="G300" s="14"/>
      <c r="H300" s="14"/>
    </row>
    <row r="301" ht="15.75" customHeight="1">
      <c r="A301" s="14"/>
      <c r="B301" s="17"/>
      <c r="C301" s="14"/>
      <c r="D301" s="14"/>
      <c r="E301" s="14"/>
      <c r="F301" s="14"/>
      <c r="G301" s="14"/>
      <c r="H301" s="14"/>
    </row>
    <row r="302" ht="15.75" customHeight="1">
      <c r="A302" s="14"/>
      <c r="B302" s="17"/>
      <c r="C302" s="14"/>
      <c r="D302" s="14"/>
      <c r="E302" s="14"/>
      <c r="F302" s="14"/>
      <c r="G302" s="14"/>
      <c r="H302" s="14"/>
    </row>
    <row r="303" ht="15.75" customHeight="1">
      <c r="A303" s="14"/>
      <c r="B303" s="17"/>
      <c r="C303" s="14"/>
      <c r="D303" s="14"/>
      <c r="E303" s="14"/>
      <c r="F303" s="14"/>
      <c r="G303" s="14"/>
      <c r="H303" s="14"/>
    </row>
    <row r="304" ht="15.75" customHeight="1">
      <c r="A304" s="14"/>
      <c r="B304" s="17"/>
      <c r="C304" s="14"/>
      <c r="D304" s="14"/>
      <c r="E304" s="14"/>
      <c r="F304" s="14"/>
      <c r="G304" s="14"/>
      <c r="H304" s="14"/>
    </row>
    <row r="305" ht="15.75" customHeight="1">
      <c r="A305" s="14"/>
      <c r="B305" s="17"/>
      <c r="C305" s="14"/>
      <c r="D305" s="14"/>
      <c r="E305" s="14"/>
      <c r="F305" s="14"/>
      <c r="G305" s="14"/>
      <c r="H305" s="14"/>
    </row>
    <row r="306" ht="15.75" customHeight="1">
      <c r="A306" s="14"/>
      <c r="B306" s="17"/>
      <c r="C306" s="14"/>
      <c r="D306" s="14"/>
      <c r="E306" s="14"/>
      <c r="F306" s="14"/>
      <c r="G306" s="14"/>
      <c r="H306" s="14"/>
    </row>
    <row r="307" ht="15.75" customHeight="1">
      <c r="A307" s="14"/>
      <c r="B307" s="17"/>
      <c r="C307" s="14"/>
      <c r="D307" s="14"/>
      <c r="E307" s="14"/>
      <c r="F307" s="14"/>
      <c r="G307" s="14"/>
      <c r="H307" s="14"/>
    </row>
    <row r="308" ht="15.75" customHeight="1">
      <c r="A308" s="14"/>
      <c r="B308" s="17"/>
      <c r="C308" s="14"/>
      <c r="D308" s="14"/>
      <c r="E308" s="14"/>
      <c r="F308" s="14"/>
      <c r="G308" s="14"/>
      <c r="H308" s="14"/>
    </row>
    <row r="309" ht="15.75" customHeight="1">
      <c r="A309" s="14"/>
      <c r="B309" s="17"/>
      <c r="C309" s="14"/>
      <c r="D309" s="14"/>
      <c r="E309" s="14"/>
      <c r="F309" s="14"/>
      <c r="G309" s="14"/>
      <c r="H309" s="14"/>
    </row>
    <row r="310" ht="15.75" customHeight="1">
      <c r="A310" s="14"/>
      <c r="B310" s="17"/>
      <c r="C310" s="14"/>
      <c r="D310" s="14"/>
      <c r="E310" s="14"/>
      <c r="F310" s="14"/>
      <c r="G310" s="14"/>
      <c r="H310" s="14"/>
    </row>
    <row r="311" ht="15.75" customHeight="1">
      <c r="A311" s="14"/>
      <c r="B311" s="17"/>
      <c r="C311" s="14"/>
      <c r="D311" s="14"/>
      <c r="E311" s="14"/>
      <c r="F311" s="14"/>
      <c r="G311" s="14"/>
      <c r="H311" s="14"/>
    </row>
    <row r="312" ht="15.75" customHeight="1">
      <c r="A312" s="14"/>
      <c r="B312" s="17"/>
      <c r="C312" s="14"/>
      <c r="D312" s="14"/>
      <c r="E312" s="14"/>
      <c r="F312" s="14"/>
      <c r="G312" s="14"/>
      <c r="H312" s="14"/>
    </row>
    <row r="313" ht="15.75" customHeight="1">
      <c r="A313" s="14"/>
      <c r="B313" s="17"/>
      <c r="C313" s="14"/>
      <c r="D313" s="14"/>
      <c r="E313" s="14"/>
      <c r="F313" s="14"/>
      <c r="G313" s="14"/>
      <c r="H313" s="14"/>
    </row>
    <row r="314" ht="15.75" customHeight="1">
      <c r="A314" s="14"/>
      <c r="B314" s="17"/>
      <c r="C314" s="14"/>
      <c r="D314" s="14"/>
      <c r="E314" s="14"/>
      <c r="F314" s="14"/>
      <c r="G314" s="14"/>
      <c r="H314" s="14"/>
    </row>
    <row r="315" ht="15.75" customHeight="1">
      <c r="A315" s="14"/>
      <c r="B315" s="17"/>
      <c r="C315" s="14"/>
      <c r="D315" s="14"/>
      <c r="E315" s="14"/>
      <c r="F315" s="14"/>
      <c r="G315" s="14"/>
      <c r="H315" s="14"/>
    </row>
    <row r="316" ht="15.75" customHeight="1">
      <c r="A316" s="14"/>
      <c r="B316" s="17"/>
      <c r="C316" s="14"/>
      <c r="D316" s="14"/>
      <c r="E316" s="14"/>
      <c r="F316" s="14"/>
      <c r="G316" s="14"/>
      <c r="H316" s="14"/>
    </row>
    <row r="317" ht="15.75" customHeight="1">
      <c r="A317" s="14"/>
      <c r="B317" s="17"/>
      <c r="C317" s="14"/>
      <c r="D317" s="14"/>
      <c r="E317" s="14"/>
      <c r="F317" s="14"/>
      <c r="G317" s="14"/>
      <c r="H317" s="14"/>
    </row>
    <row r="318" ht="15.75" customHeight="1">
      <c r="A318" s="14"/>
      <c r="B318" s="17"/>
      <c r="C318" s="14"/>
      <c r="D318" s="14"/>
      <c r="E318" s="14"/>
      <c r="F318" s="14"/>
      <c r="G318" s="14"/>
      <c r="H318" s="14"/>
    </row>
    <row r="319" ht="15.75" customHeight="1">
      <c r="A319" s="14"/>
      <c r="B319" s="17"/>
      <c r="C319" s="14"/>
      <c r="D319" s="14"/>
      <c r="E319" s="14"/>
      <c r="F319" s="14"/>
      <c r="G319" s="14"/>
      <c r="H319" s="14"/>
    </row>
    <row r="320" ht="15.75" customHeight="1">
      <c r="A320" s="14"/>
      <c r="B320" s="17"/>
      <c r="C320" s="14"/>
      <c r="D320" s="14"/>
      <c r="E320" s="14"/>
      <c r="F320" s="14"/>
      <c r="G320" s="14"/>
      <c r="H320" s="14"/>
    </row>
    <row r="321" ht="15.75" customHeight="1">
      <c r="A321" s="14"/>
      <c r="B321" s="17"/>
      <c r="C321" s="14"/>
      <c r="D321" s="14"/>
      <c r="E321" s="14"/>
      <c r="F321" s="14"/>
      <c r="G321" s="14"/>
      <c r="H321" s="14"/>
    </row>
    <row r="322" ht="15.75" customHeight="1">
      <c r="A322" s="14"/>
      <c r="B322" s="17"/>
      <c r="C322" s="14"/>
      <c r="D322" s="14"/>
      <c r="E322" s="14"/>
      <c r="F322" s="14"/>
      <c r="G322" s="14"/>
      <c r="H322" s="14"/>
    </row>
    <row r="323" ht="15.75" customHeight="1">
      <c r="A323" s="14"/>
      <c r="B323" s="17"/>
      <c r="C323" s="14"/>
      <c r="D323" s="14"/>
      <c r="E323" s="14"/>
      <c r="F323" s="14"/>
      <c r="G323" s="14"/>
      <c r="H323" s="14"/>
    </row>
    <row r="324" ht="15.75" customHeight="1">
      <c r="A324" s="14"/>
      <c r="B324" s="17"/>
      <c r="C324" s="14"/>
      <c r="D324" s="14"/>
      <c r="E324" s="14"/>
      <c r="F324" s="14"/>
      <c r="G324" s="14"/>
      <c r="H324" s="14"/>
    </row>
    <row r="325" ht="15.75" customHeight="1">
      <c r="A325" s="14"/>
      <c r="B325" s="17"/>
      <c r="C325" s="14"/>
      <c r="D325" s="14"/>
      <c r="E325" s="14"/>
      <c r="F325" s="14"/>
      <c r="G325" s="14"/>
      <c r="H325" s="14"/>
    </row>
    <row r="326" ht="15.75" customHeight="1">
      <c r="A326" s="14"/>
      <c r="B326" s="17"/>
      <c r="C326" s="14"/>
      <c r="D326" s="14"/>
      <c r="E326" s="14"/>
      <c r="F326" s="14"/>
      <c r="G326" s="14"/>
      <c r="H326" s="14"/>
    </row>
    <row r="327" ht="15.75" customHeight="1">
      <c r="A327" s="14"/>
      <c r="B327" s="17"/>
      <c r="C327" s="14"/>
      <c r="D327" s="14"/>
      <c r="E327" s="14"/>
      <c r="F327" s="14"/>
      <c r="G327" s="14"/>
      <c r="H327" s="14"/>
    </row>
    <row r="328" ht="15.75" customHeight="1">
      <c r="A328" s="14"/>
      <c r="B328" s="17"/>
      <c r="C328" s="14"/>
      <c r="D328" s="14"/>
      <c r="E328" s="14"/>
      <c r="F328" s="14"/>
      <c r="G328" s="14"/>
      <c r="H328" s="14"/>
    </row>
    <row r="329" ht="15.75" customHeight="1">
      <c r="A329" s="14"/>
      <c r="B329" s="17"/>
      <c r="C329" s="14"/>
      <c r="D329" s="14"/>
      <c r="E329" s="14"/>
      <c r="F329" s="14"/>
      <c r="G329" s="14"/>
      <c r="H329" s="14"/>
    </row>
    <row r="330" ht="15.75" customHeight="1">
      <c r="A330" s="14"/>
      <c r="B330" s="17"/>
      <c r="C330" s="14"/>
      <c r="D330" s="14"/>
      <c r="E330" s="14"/>
      <c r="F330" s="14"/>
      <c r="G330" s="14"/>
      <c r="H330" s="14"/>
    </row>
    <row r="331" ht="15.75" customHeight="1">
      <c r="A331" s="14"/>
      <c r="B331" s="17"/>
      <c r="C331" s="14"/>
      <c r="D331" s="14"/>
      <c r="E331" s="14"/>
      <c r="F331" s="14"/>
      <c r="G331" s="14"/>
      <c r="H331" s="14"/>
    </row>
    <row r="332" ht="15.75" customHeight="1">
      <c r="A332" s="14"/>
      <c r="B332" s="17"/>
      <c r="C332" s="14"/>
      <c r="D332" s="14"/>
      <c r="E332" s="14"/>
      <c r="F332" s="14"/>
      <c r="G332" s="14"/>
      <c r="H332" s="14"/>
    </row>
    <row r="333" ht="15.75" customHeight="1">
      <c r="A333" s="14"/>
      <c r="B333" s="17"/>
      <c r="C333" s="14"/>
      <c r="D333" s="14"/>
      <c r="E333" s="14"/>
      <c r="F333" s="14"/>
      <c r="G333" s="14"/>
      <c r="H333" s="14"/>
    </row>
    <row r="334" ht="15.75" customHeight="1">
      <c r="A334" s="14"/>
      <c r="B334" s="17"/>
      <c r="C334" s="14"/>
      <c r="D334" s="14"/>
      <c r="E334" s="14"/>
      <c r="F334" s="14"/>
      <c r="G334" s="14"/>
      <c r="H334" s="14"/>
    </row>
    <row r="335" ht="15.75" customHeight="1">
      <c r="A335" s="14"/>
      <c r="B335" s="17"/>
      <c r="C335" s="14"/>
      <c r="D335" s="14"/>
      <c r="E335" s="14"/>
      <c r="F335" s="14"/>
      <c r="G335" s="14"/>
      <c r="H335" s="14"/>
    </row>
    <row r="336" ht="15.75" customHeight="1">
      <c r="A336" s="14"/>
      <c r="B336" s="17"/>
      <c r="C336" s="14"/>
      <c r="D336" s="14"/>
      <c r="E336" s="14"/>
      <c r="F336" s="14"/>
      <c r="G336" s="14"/>
      <c r="H336" s="14"/>
    </row>
    <row r="337" ht="15.75" customHeight="1">
      <c r="A337" s="14"/>
      <c r="B337" s="17"/>
      <c r="C337" s="14"/>
      <c r="D337" s="14"/>
      <c r="E337" s="14"/>
      <c r="F337" s="14"/>
      <c r="G337" s="14"/>
      <c r="H337" s="14"/>
    </row>
    <row r="338" ht="15.75" customHeight="1">
      <c r="A338" s="14"/>
      <c r="B338" s="17"/>
      <c r="C338" s="14"/>
      <c r="D338" s="14"/>
      <c r="E338" s="14"/>
      <c r="F338" s="14"/>
      <c r="G338" s="14"/>
      <c r="H338" s="14"/>
    </row>
    <row r="339" ht="15.75" customHeight="1">
      <c r="A339" s="14"/>
      <c r="B339" s="17"/>
      <c r="C339" s="14"/>
      <c r="D339" s="14"/>
      <c r="E339" s="14"/>
      <c r="F339" s="14"/>
      <c r="G339" s="14"/>
      <c r="H339" s="14"/>
    </row>
    <row r="340" ht="15.75" customHeight="1">
      <c r="A340" s="14"/>
      <c r="B340" s="17"/>
      <c r="C340" s="14"/>
      <c r="D340" s="14"/>
      <c r="E340" s="14"/>
      <c r="F340" s="14"/>
      <c r="G340" s="14"/>
      <c r="H340" s="14"/>
    </row>
    <row r="341" ht="15.75" customHeight="1">
      <c r="A341" s="14"/>
      <c r="B341" s="17"/>
      <c r="C341" s="14"/>
      <c r="D341" s="14"/>
      <c r="E341" s="14"/>
      <c r="F341" s="14"/>
      <c r="G341" s="14"/>
      <c r="H341" s="14"/>
    </row>
    <row r="342" ht="15.75" customHeight="1">
      <c r="A342" s="14"/>
      <c r="B342" s="17"/>
      <c r="C342" s="14"/>
      <c r="D342" s="14"/>
      <c r="E342" s="14"/>
      <c r="F342" s="14"/>
      <c r="G342" s="14"/>
      <c r="H342" s="14"/>
    </row>
    <row r="343" ht="15.75" customHeight="1">
      <c r="A343" s="14"/>
      <c r="B343" s="17"/>
      <c r="C343" s="14"/>
      <c r="D343" s="14"/>
      <c r="E343" s="14"/>
      <c r="F343" s="14"/>
      <c r="G343" s="14"/>
      <c r="H343" s="14"/>
    </row>
    <row r="344" ht="15.75" customHeight="1">
      <c r="A344" s="14"/>
      <c r="B344" s="17"/>
      <c r="C344" s="14"/>
      <c r="D344" s="14"/>
      <c r="E344" s="14"/>
      <c r="F344" s="14"/>
      <c r="G344" s="14"/>
      <c r="H344" s="14"/>
    </row>
    <row r="345" ht="15.75" customHeight="1">
      <c r="A345" s="14"/>
      <c r="B345" s="17"/>
      <c r="C345" s="14"/>
      <c r="D345" s="14"/>
      <c r="E345" s="14"/>
      <c r="F345" s="14"/>
      <c r="G345" s="14"/>
      <c r="H345" s="14"/>
    </row>
    <row r="346" ht="15.75" customHeight="1">
      <c r="A346" s="14"/>
      <c r="B346" s="17"/>
      <c r="C346" s="14"/>
      <c r="D346" s="14"/>
      <c r="E346" s="14"/>
      <c r="F346" s="14"/>
      <c r="G346" s="14"/>
      <c r="H346" s="14"/>
    </row>
    <row r="347" ht="15.75" customHeight="1">
      <c r="A347" s="14"/>
      <c r="B347" s="17"/>
      <c r="C347" s="14"/>
      <c r="D347" s="14"/>
      <c r="E347" s="14"/>
      <c r="F347" s="14"/>
      <c r="G347" s="14"/>
      <c r="H347" s="14"/>
    </row>
    <row r="348" ht="15.75" customHeight="1">
      <c r="A348" s="14"/>
      <c r="B348" s="17"/>
      <c r="C348" s="14"/>
      <c r="D348" s="14"/>
      <c r="E348" s="14"/>
      <c r="F348" s="14"/>
      <c r="G348" s="14"/>
      <c r="H348" s="14"/>
    </row>
    <row r="349" ht="15.75" customHeight="1">
      <c r="A349" s="14"/>
      <c r="B349" s="17"/>
      <c r="C349" s="14"/>
      <c r="D349" s="14"/>
      <c r="E349" s="14"/>
      <c r="F349" s="14"/>
      <c r="G349" s="14"/>
      <c r="H349" s="14"/>
    </row>
    <row r="350" ht="15.75" customHeight="1">
      <c r="A350" s="14"/>
      <c r="B350" s="17"/>
      <c r="C350" s="14"/>
      <c r="D350" s="14"/>
      <c r="E350" s="14"/>
      <c r="F350" s="14"/>
      <c r="G350" s="14"/>
      <c r="H350" s="14"/>
    </row>
    <row r="351" ht="15.75" customHeight="1">
      <c r="A351" s="14"/>
      <c r="B351" s="17"/>
      <c r="C351" s="14"/>
      <c r="D351" s="14"/>
      <c r="E351" s="14"/>
      <c r="F351" s="14"/>
      <c r="G351" s="14"/>
      <c r="H351" s="14"/>
    </row>
    <row r="352" ht="15.75" customHeight="1">
      <c r="A352" s="14"/>
      <c r="B352" s="17"/>
      <c r="C352" s="14"/>
      <c r="D352" s="14"/>
      <c r="E352" s="14"/>
      <c r="F352" s="14"/>
      <c r="G352" s="14"/>
      <c r="H352" s="14"/>
    </row>
    <row r="353" ht="15.75" customHeight="1">
      <c r="A353" s="14"/>
      <c r="B353" s="17"/>
      <c r="C353" s="14"/>
      <c r="D353" s="14"/>
      <c r="E353" s="14"/>
      <c r="F353" s="14"/>
      <c r="G353" s="14"/>
      <c r="H353" s="14"/>
    </row>
    <row r="354" ht="15.75" customHeight="1">
      <c r="A354" s="14"/>
      <c r="B354" s="17"/>
      <c r="C354" s="14"/>
      <c r="D354" s="14"/>
      <c r="E354" s="14"/>
      <c r="F354" s="14"/>
      <c r="G354" s="14"/>
      <c r="H354" s="14"/>
    </row>
    <row r="355" ht="15.75" customHeight="1">
      <c r="A355" s="14"/>
      <c r="B355" s="17"/>
      <c r="C355" s="14"/>
      <c r="D355" s="14"/>
      <c r="E355" s="14"/>
      <c r="F355" s="14"/>
      <c r="G355" s="14"/>
      <c r="H355" s="14"/>
    </row>
    <row r="356" ht="15.75" customHeight="1">
      <c r="A356" s="14"/>
      <c r="B356" s="17"/>
      <c r="C356" s="14"/>
      <c r="D356" s="14"/>
      <c r="E356" s="14"/>
      <c r="F356" s="14"/>
      <c r="G356" s="14"/>
      <c r="H356" s="14"/>
    </row>
    <row r="357" ht="15.75" customHeight="1">
      <c r="A357" s="14"/>
      <c r="B357" s="17"/>
      <c r="C357" s="14"/>
      <c r="D357" s="14"/>
      <c r="E357" s="14"/>
      <c r="F357" s="14"/>
      <c r="G357" s="14"/>
      <c r="H357" s="14"/>
    </row>
    <row r="358" ht="15.75" customHeight="1">
      <c r="A358" s="14"/>
      <c r="B358" s="17"/>
      <c r="C358" s="14"/>
      <c r="D358" s="14"/>
      <c r="E358" s="14"/>
      <c r="F358" s="14"/>
      <c r="G358" s="14"/>
      <c r="H358" s="14"/>
    </row>
    <row r="359" ht="15.75" customHeight="1">
      <c r="A359" s="14"/>
      <c r="B359" s="17"/>
      <c r="C359" s="14"/>
      <c r="D359" s="14"/>
      <c r="E359" s="14"/>
      <c r="F359" s="14"/>
      <c r="G359" s="14"/>
      <c r="H359" s="14"/>
    </row>
    <row r="360" ht="15.75" customHeight="1">
      <c r="A360" s="14"/>
      <c r="B360" s="17"/>
      <c r="C360" s="14"/>
      <c r="D360" s="14"/>
      <c r="E360" s="14"/>
      <c r="F360" s="14"/>
      <c r="G360" s="14"/>
      <c r="H360" s="14"/>
    </row>
    <row r="361" ht="15.75" customHeight="1">
      <c r="A361" s="14"/>
      <c r="B361" s="17"/>
      <c r="C361" s="14"/>
      <c r="D361" s="14"/>
      <c r="E361" s="14"/>
      <c r="F361" s="14"/>
      <c r="G361" s="14"/>
      <c r="H361" s="14"/>
    </row>
    <row r="362" ht="15.75" customHeight="1">
      <c r="A362" s="14"/>
      <c r="B362" s="17"/>
      <c r="C362" s="14"/>
      <c r="D362" s="14"/>
      <c r="E362" s="14"/>
      <c r="F362" s="14"/>
      <c r="G362" s="14"/>
      <c r="H362" s="14"/>
    </row>
    <row r="363" ht="15.75" customHeight="1">
      <c r="A363" s="14"/>
      <c r="B363" s="17"/>
      <c r="C363" s="14"/>
      <c r="D363" s="14"/>
      <c r="E363" s="14"/>
      <c r="F363" s="14"/>
      <c r="G363" s="14"/>
      <c r="H363" s="14"/>
    </row>
    <row r="364" ht="15.75" customHeight="1">
      <c r="A364" s="14"/>
      <c r="B364" s="17"/>
      <c r="C364" s="14"/>
      <c r="D364" s="14"/>
      <c r="E364" s="14"/>
      <c r="F364" s="14"/>
      <c r="G364" s="14"/>
      <c r="H364" s="14"/>
    </row>
    <row r="365" ht="15.75" customHeight="1">
      <c r="A365" s="14"/>
      <c r="B365" s="17"/>
      <c r="C365" s="14"/>
      <c r="D365" s="14"/>
      <c r="E365" s="14"/>
      <c r="F365" s="14"/>
      <c r="G365" s="14"/>
      <c r="H365" s="14"/>
    </row>
    <row r="366" ht="15.75" customHeight="1">
      <c r="A366" s="14"/>
      <c r="B366" s="17"/>
      <c r="C366" s="14"/>
      <c r="D366" s="14"/>
      <c r="E366" s="14"/>
      <c r="F366" s="14"/>
      <c r="G366" s="14"/>
      <c r="H366" s="14"/>
    </row>
    <row r="367" ht="15.75" customHeight="1">
      <c r="A367" s="14"/>
      <c r="B367" s="17"/>
      <c r="C367" s="14"/>
      <c r="D367" s="14"/>
      <c r="E367" s="14"/>
      <c r="F367" s="14"/>
      <c r="G367" s="14"/>
      <c r="H367" s="14"/>
    </row>
    <row r="368" ht="15.75" customHeight="1">
      <c r="A368" s="14"/>
      <c r="B368" s="17"/>
      <c r="C368" s="14"/>
      <c r="D368" s="14"/>
      <c r="E368" s="14"/>
      <c r="F368" s="14"/>
      <c r="G368" s="14"/>
      <c r="H368" s="14"/>
    </row>
    <row r="369" ht="15.75" customHeight="1">
      <c r="A369" s="14"/>
      <c r="B369" s="17"/>
      <c r="C369" s="14"/>
      <c r="D369" s="14"/>
      <c r="E369" s="14"/>
      <c r="F369" s="14"/>
      <c r="G369" s="14"/>
      <c r="H369" s="14"/>
    </row>
    <row r="370" ht="15.75" customHeight="1">
      <c r="A370" s="14"/>
      <c r="B370" s="17"/>
      <c r="C370" s="14"/>
      <c r="D370" s="14"/>
      <c r="E370" s="14"/>
      <c r="F370" s="14"/>
      <c r="G370" s="14"/>
      <c r="H370" s="14"/>
    </row>
    <row r="371" ht="15.75" customHeight="1">
      <c r="A371" s="14"/>
      <c r="B371" s="17"/>
      <c r="C371" s="14"/>
      <c r="D371" s="14"/>
      <c r="E371" s="14"/>
      <c r="F371" s="14"/>
      <c r="G371" s="14"/>
      <c r="H371" s="14"/>
    </row>
    <row r="372" ht="15.75" customHeight="1">
      <c r="A372" s="14"/>
      <c r="B372" s="17"/>
      <c r="C372" s="14"/>
      <c r="D372" s="14"/>
      <c r="E372" s="14"/>
      <c r="F372" s="14"/>
      <c r="G372" s="14"/>
      <c r="H372" s="14"/>
    </row>
    <row r="373" ht="15.75" customHeight="1">
      <c r="A373" s="14"/>
      <c r="B373" s="17"/>
      <c r="C373" s="14"/>
      <c r="D373" s="14"/>
      <c r="E373" s="14"/>
      <c r="F373" s="14"/>
      <c r="G373" s="14"/>
      <c r="H373" s="14"/>
    </row>
    <row r="374" ht="15.75" customHeight="1">
      <c r="A374" s="14"/>
      <c r="B374" s="17"/>
      <c r="C374" s="14"/>
      <c r="D374" s="14"/>
      <c r="E374" s="14"/>
      <c r="F374" s="14"/>
      <c r="G374" s="14"/>
      <c r="H374" s="14"/>
    </row>
    <row r="375" ht="15.75" customHeight="1">
      <c r="A375" s="14"/>
      <c r="B375" s="17"/>
      <c r="C375" s="14"/>
      <c r="D375" s="14"/>
      <c r="E375" s="14"/>
      <c r="F375" s="14"/>
      <c r="G375" s="14"/>
      <c r="H375" s="14"/>
    </row>
    <row r="376" ht="15.75" customHeight="1">
      <c r="A376" s="14"/>
      <c r="B376" s="17"/>
      <c r="C376" s="14"/>
      <c r="D376" s="14"/>
      <c r="E376" s="14"/>
      <c r="F376" s="14"/>
      <c r="G376" s="14"/>
      <c r="H376" s="14"/>
    </row>
    <row r="377" ht="15.75" customHeight="1">
      <c r="A377" s="14"/>
      <c r="B377" s="17"/>
      <c r="C377" s="14"/>
      <c r="D377" s="14"/>
      <c r="E377" s="14"/>
      <c r="F377" s="14"/>
      <c r="G377" s="14"/>
      <c r="H377" s="14"/>
    </row>
    <row r="378" ht="15.75" customHeight="1">
      <c r="A378" s="14"/>
      <c r="B378" s="17"/>
      <c r="C378" s="14"/>
      <c r="D378" s="14"/>
      <c r="E378" s="14"/>
      <c r="F378" s="14"/>
      <c r="G378" s="14"/>
      <c r="H378" s="14"/>
    </row>
    <row r="379" ht="15.75" customHeight="1">
      <c r="A379" s="14"/>
      <c r="B379" s="17"/>
      <c r="C379" s="14"/>
      <c r="D379" s="14"/>
      <c r="E379" s="14"/>
      <c r="F379" s="14"/>
      <c r="G379" s="14"/>
      <c r="H379" s="14"/>
    </row>
    <row r="380" ht="15.75" customHeight="1">
      <c r="A380" s="14"/>
      <c r="B380" s="17"/>
      <c r="C380" s="14"/>
      <c r="D380" s="14"/>
      <c r="E380" s="14"/>
      <c r="F380" s="14"/>
      <c r="G380" s="14"/>
      <c r="H380" s="14"/>
    </row>
    <row r="381" ht="15.75" customHeight="1">
      <c r="A381" s="14"/>
      <c r="B381" s="17"/>
      <c r="C381" s="14"/>
      <c r="D381" s="14"/>
      <c r="E381" s="14"/>
      <c r="F381" s="14"/>
      <c r="G381" s="14"/>
      <c r="H381" s="14"/>
    </row>
    <row r="382" ht="15.75" customHeight="1">
      <c r="A382" s="14"/>
      <c r="B382" s="17"/>
      <c r="C382" s="14"/>
      <c r="D382" s="14"/>
      <c r="E382" s="14"/>
      <c r="F382" s="14"/>
      <c r="G382" s="14"/>
      <c r="H382" s="14"/>
    </row>
    <row r="383" ht="15.75" customHeight="1">
      <c r="A383" s="14"/>
      <c r="B383" s="17"/>
      <c r="C383" s="14"/>
      <c r="D383" s="14"/>
      <c r="E383" s="14"/>
      <c r="F383" s="14"/>
      <c r="G383" s="14"/>
      <c r="H383" s="14"/>
    </row>
    <row r="384" ht="15.75" customHeight="1">
      <c r="A384" s="14"/>
      <c r="B384" s="17"/>
      <c r="C384" s="14"/>
      <c r="D384" s="14"/>
      <c r="E384" s="14"/>
      <c r="F384" s="14"/>
      <c r="G384" s="14"/>
      <c r="H384" s="14"/>
    </row>
    <row r="385" ht="15.75" customHeight="1">
      <c r="A385" s="14"/>
      <c r="B385" s="17"/>
      <c r="C385" s="14"/>
      <c r="D385" s="14"/>
      <c r="E385" s="14"/>
      <c r="F385" s="14"/>
      <c r="G385" s="14"/>
      <c r="H385" s="14"/>
    </row>
    <row r="386" ht="15.75" customHeight="1">
      <c r="A386" s="14"/>
      <c r="B386" s="17"/>
      <c r="C386" s="14"/>
      <c r="D386" s="14"/>
      <c r="E386" s="14"/>
      <c r="F386" s="14"/>
      <c r="G386" s="14"/>
      <c r="H386" s="14"/>
    </row>
    <row r="387" ht="15.75" customHeight="1">
      <c r="A387" s="14"/>
      <c r="B387" s="17"/>
      <c r="C387" s="14"/>
      <c r="D387" s="14"/>
      <c r="E387" s="14"/>
      <c r="F387" s="14"/>
      <c r="G387" s="14"/>
      <c r="H387" s="14"/>
    </row>
    <row r="388" ht="15.75" customHeight="1">
      <c r="A388" s="14"/>
      <c r="B388" s="17"/>
      <c r="C388" s="14"/>
      <c r="D388" s="14"/>
      <c r="E388" s="14"/>
      <c r="F388" s="14"/>
      <c r="G388" s="14"/>
      <c r="H388" s="14"/>
    </row>
    <row r="389" ht="15.75" customHeight="1">
      <c r="A389" s="14"/>
      <c r="B389" s="17"/>
      <c r="C389" s="14"/>
      <c r="D389" s="14"/>
      <c r="E389" s="14"/>
      <c r="F389" s="14"/>
      <c r="G389" s="14"/>
      <c r="H389" s="14"/>
    </row>
    <row r="390" ht="15.75" customHeight="1">
      <c r="A390" s="14"/>
      <c r="B390" s="17"/>
      <c r="C390" s="14"/>
      <c r="D390" s="14"/>
      <c r="E390" s="14"/>
      <c r="F390" s="14"/>
      <c r="G390" s="14"/>
      <c r="H390" s="14"/>
    </row>
    <row r="391" ht="15.75" customHeight="1">
      <c r="A391" s="14"/>
      <c r="B391" s="17"/>
      <c r="C391" s="14"/>
      <c r="D391" s="14"/>
      <c r="E391" s="14"/>
      <c r="F391" s="14"/>
      <c r="G391" s="14"/>
      <c r="H391" s="14"/>
    </row>
    <row r="392" ht="15.75" customHeight="1">
      <c r="A392" s="14"/>
      <c r="B392" s="17"/>
      <c r="C392" s="14"/>
      <c r="D392" s="14"/>
      <c r="E392" s="14"/>
      <c r="F392" s="14"/>
      <c r="G392" s="14"/>
      <c r="H392" s="14"/>
    </row>
    <row r="393" ht="15.75" customHeight="1">
      <c r="A393" s="14"/>
      <c r="B393" s="17"/>
      <c r="C393" s="14"/>
      <c r="D393" s="14"/>
      <c r="E393" s="14"/>
      <c r="F393" s="14"/>
      <c r="G393" s="14"/>
      <c r="H393" s="14"/>
    </row>
    <row r="394" ht="15.75" customHeight="1">
      <c r="A394" s="14"/>
      <c r="B394" s="17"/>
      <c r="C394" s="14"/>
      <c r="D394" s="14"/>
      <c r="E394" s="14"/>
      <c r="F394" s="14"/>
      <c r="G394" s="14"/>
      <c r="H394" s="14"/>
    </row>
    <row r="395" ht="15.75" customHeight="1">
      <c r="A395" s="14"/>
      <c r="B395" s="17"/>
      <c r="C395" s="14"/>
      <c r="D395" s="14"/>
      <c r="E395" s="14"/>
      <c r="F395" s="14"/>
      <c r="G395" s="14"/>
      <c r="H395" s="14"/>
    </row>
    <row r="396" ht="15.75" customHeight="1">
      <c r="A396" s="14"/>
      <c r="B396" s="17"/>
      <c r="C396" s="14"/>
      <c r="D396" s="14"/>
      <c r="E396" s="14"/>
      <c r="F396" s="14"/>
      <c r="G396" s="14"/>
      <c r="H396" s="14"/>
    </row>
    <row r="397" ht="15.75" customHeight="1">
      <c r="A397" s="14"/>
      <c r="B397" s="17"/>
      <c r="C397" s="14"/>
      <c r="D397" s="14"/>
      <c r="E397" s="14"/>
      <c r="F397" s="14"/>
      <c r="G397" s="14"/>
      <c r="H397" s="14"/>
    </row>
    <row r="398" ht="15.75" customHeight="1">
      <c r="A398" s="14"/>
      <c r="B398" s="17"/>
      <c r="C398" s="14"/>
      <c r="D398" s="14"/>
      <c r="E398" s="14"/>
      <c r="F398" s="14"/>
      <c r="G398" s="14"/>
      <c r="H398" s="14"/>
    </row>
    <row r="399" ht="15.75" customHeight="1">
      <c r="A399" s="14"/>
      <c r="B399" s="17"/>
      <c r="C399" s="14"/>
      <c r="D399" s="14"/>
      <c r="E399" s="14"/>
      <c r="F399" s="14"/>
      <c r="G399" s="14"/>
      <c r="H399" s="14"/>
    </row>
    <row r="400" ht="15.75" customHeight="1">
      <c r="A400" s="14"/>
      <c r="B400" s="17"/>
      <c r="C400" s="14"/>
      <c r="D400" s="14"/>
      <c r="E400" s="14"/>
      <c r="F400" s="14"/>
      <c r="G400" s="14"/>
      <c r="H400" s="14"/>
    </row>
    <row r="401" ht="15.75" customHeight="1">
      <c r="A401" s="14"/>
      <c r="B401" s="17"/>
      <c r="C401" s="14"/>
      <c r="D401" s="14"/>
      <c r="E401" s="14"/>
      <c r="F401" s="14"/>
      <c r="G401" s="14"/>
      <c r="H401" s="14"/>
    </row>
    <row r="402" ht="15.75" customHeight="1">
      <c r="A402" s="14"/>
      <c r="B402" s="17"/>
      <c r="C402" s="14"/>
      <c r="D402" s="14"/>
      <c r="E402" s="14"/>
      <c r="F402" s="14"/>
      <c r="G402" s="14"/>
      <c r="H402" s="14"/>
    </row>
    <row r="403" ht="15.75" customHeight="1">
      <c r="A403" s="14"/>
      <c r="B403" s="17"/>
      <c r="C403" s="14"/>
      <c r="D403" s="14"/>
      <c r="E403" s="14"/>
      <c r="F403" s="14"/>
      <c r="G403" s="14"/>
      <c r="H403" s="14"/>
    </row>
    <row r="404" ht="15.75" customHeight="1">
      <c r="A404" s="14"/>
      <c r="B404" s="17"/>
      <c r="C404" s="14"/>
      <c r="D404" s="14"/>
      <c r="E404" s="14"/>
      <c r="F404" s="14"/>
      <c r="G404" s="14"/>
      <c r="H404" s="14"/>
    </row>
    <row r="405" ht="15.75" customHeight="1">
      <c r="A405" s="14"/>
      <c r="B405" s="17"/>
      <c r="C405" s="14"/>
      <c r="D405" s="14"/>
      <c r="E405" s="14"/>
      <c r="F405" s="14"/>
      <c r="G405" s="14"/>
      <c r="H405" s="14"/>
    </row>
    <row r="406" ht="15.75" customHeight="1">
      <c r="A406" s="14"/>
      <c r="B406" s="17"/>
      <c r="C406" s="14"/>
      <c r="D406" s="14"/>
      <c r="E406" s="14"/>
      <c r="F406" s="14"/>
      <c r="G406" s="14"/>
      <c r="H406" s="14"/>
    </row>
    <row r="407" ht="15.75" customHeight="1">
      <c r="A407" s="14"/>
      <c r="B407" s="17"/>
      <c r="C407" s="14"/>
      <c r="D407" s="14"/>
      <c r="E407" s="14"/>
      <c r="F407" s="14"/>
      <c r="G407" s="14"/>
      <c r="H407" s="14"/>
    </row>
    <row r="408" ht="15.75" customHeight="1">
      <c r="A408" s="14"/>
      <c r="B408" s="17"/>
      <c r="C408" s="14"/>
      <c r="D408" s="14"/>
      <c r="E408" s="14"/>
      <c r="F408" s="14"/>
      <c r="G408" s="14"/>
      <c r="H408" s="14"/>
    </row>
    <row r="409" ht="15.75" customHeight="1">
      <c r="A409" s="14"/>
      <c r="B409" s="17"/>
      <c r="C409" s="14"/>
      <c r="D409" s="14"/>
      <c r="E409" s="14"/>
      <c r="F409" s="14"/>
      <c r="G409" s="14"/>
      <c r="H409" s="14"/>
    </row>
    <row r="410" ht="15.75" customHeight="1">
      <c r="A410" s="14"/>
      <c r="B410" s="17"/>
      <c r="C410" s="14"/>
      <c r="D410" s="14"/>
      <c r="E410" s="14"/>
      <c r="F410" s="14"/>
      <c r="G410" s="14"/>
      <c r="H410" s="14"/>
    </row>
    <row r="411" ht="15.75" customHeight="1">
      <c r="A411" s="14"/>
      <c r="B411" s="17"/>
      <c r="C411" s="14"/>
      <c r="D411" s="14"/>
      <c r="E411" s="14"/>
      <c r="F411" s="14"/>
      <c r="G411" s="14"/>
      <c r="H411" s="14"/>
    </row>
    <row r="412" ht="15.75" customHeight="1">
      <c r="A412" s="14"/>
      <c r="B412" s="17"/>
      <c r="C412" s="14"/>
      <c r="D412" s="14"/>
      <c r="E412" s="14"/>
      <c r="F412" s="14"/>
      <c r="G412" s="14"/>
      <c r="H412" s="14"/>
    </row>
    <row r="413" ht="15.75" customHeight="1">
      <c r="A413" s="14"/>
      <c r="B413" s="17"/>
      <c r="C413" s="14"/>
      <c r="D413" s="14"/>
      <c r="E413" s="14"/>
      <c r="F413" s="14"/>
      <c r="G413" s="14"/>
      <c r="H413" s="14"/>
    </row>
    <row r="414" ht="15.75" customHeight="1">
      <c r="A414" s="14"/>
      <c r="B414" s="17"/>
      <c r="C414" s="14"/>
      <c r="D414" s="14"/>
      <c r="E414" s="14"/>
      <c r="F414" s="14"/>
      <c r="G414" s="14"/>
      <c r="H414" s="14"/>
    </row>
    <row r="415" ht="15.75" customHeight="1">
      <c r="A415" s="14"/>
      <c r="B415" s="17"/>
      <c r="C415" s="14"/>
      <c r="D415" s="14"/>
      <c r="E415" s="14"/>
      <c r="F415" s="14"/>
      <c r="G415" s="14"/>
      <c r="H415" s="14"/>
    </row>
    <row r="416" ht="15.75" customHeight="1">
      <c r="A416" s="14"/>
      <c r="B416" s="17"/>
      <c r="C416" s="14"/>
      <c r="D416" s="14"/>
      <c r="E416" s="14"/>
      <c r="F416" s="14"/>
      <c r="G416" s="14"/>
      <c r="H416" s="14"/>
    </row>
    <row r="417" ht="15.75" customHeight="1">
      <c r="A417" s="14"/>
      <c r="B417" s="17"/>
      <c r="C417" s="14"/>
      <c r="D417" s="14"/>
      <c r="E417" s="14"/>
      <c r="F417" s="14"/>
      <c r="G417" s="14"/>
      <c r="H417" s="14"/>
    </row>
    <row r="418" ht="15.75" customHeight="1">
      <c r="A418" s="14"/>
      <c r="B418" s="17"/>
      <c r="C418" s="14"/>
      <c r="D418" s="14"/>
      <c r="E418" s="14"/>
      <c r="F418" s="14"/>
      <c r="G418" s="14"/>
      <c r="H418" s="14"/>
    </row>
    <row r="419" ht="15.75" customHeight="1">
      <c r="A419" s="14"/>
      <c r="B419" s="17"/>
      <c r="C419" s="14"/>
      <c r="D419" s="14"/>
      <c r="E419" s="14"/>
      <c r="F419" s="14"/>
      <c r="G419" s="14"/>
      <c r="H419" s="14"/>
    </row>
    <row r="420" ht="15.75" customHeight="1">
      <c r="A420" s="14"/>
      <c r="B420" s="17"/>
      <c r="C420" s="14"/>
      <c r="D420" s="14"/>
      <c r="E420" s="14"/>
      <c r="F420" s="14"/>
      <c r="G420" s="14"/>
      <c r="H420" s="14"/>
    </row>
    <row r="421" ht="15.75" customHeight="1">
      <c r="A421" s="14"/>
      <c r="B421" s="17"/>
      <c r="C421" s="14"/>
      <c r="D421" s="14"/>
      <c r="E421" s="14"/>
      <c r="F421" s="14"/>
      <c r="G421" s="14"/>
      <c r="H421" s="14"/>
    </row>
    <row r="422" ht="15.75" customHeight="1">
      <c r="A422" s="14"/>
      <c r="B422" s="17"/>
      <c r="C422" s="14"/>
      <c r="D422" s="14"/>
      <c r="E422" s="14"/>
      <c r="F422" s="14"/>
      <c r="G422" s="14"/>
      <c r="H422" s="14"/>
    </row>
    <row r="423" ht="15.75" customHeight="1">
      <c r="A423" s="14"/>
      <c r="B423" s="17"/>
      <c r="C423" s="14"/>
      <c r="D423" s="14"/>
      <c r="E423" s="14"/>
      <c r="F423" s="14"/>
      <c r="G423" s="14"/>
      <c r="H423" s="14"/>
    </row>
    <row r="424" ht="15.75" customHeight="1">
      <c r="A424" s="14"/>
      <c r="B424" s="17"/>
      <c r="C424" s="14"/>
      <c r="D424" s="14"/>
      <c r="E424" s="14"/>
      <c r="F424" s="14"/>
      <c r="G424" s="14"/>
      <c r="H424" s="14"/>
    </row>
    <row r="425" ht="15.75" customHeight="1">
      <c r="A425" s="14"/>
      <c r="B425" s="17"/>
      <c r="C425" s="14"/>
      <c r="D425" s="14"/>
      <c r="E425" s="14"/>
      <c r="F425" s="14"/>
      <c r="G425" s="14"/>
      <c r="H425" s="14"/>
    </row>
    <row r="426" ht="15.75" customHeight="1">
      <c r="A426" s="14"/>
      <c r="B426" s="17"/>
      <c r="C426" s="14"/>
      <c r="D426" s="14"/>
      <c r="E426" s="14"/>
      <c r="F426" s="14"/>
      <c r="G426" s="14"/>
      <c r="H426" s="14"/>
    </row>
    <row r="427" ht="15.75" customHeight="1">
      <c r="A427" s="14"/>
      <c r="B427" s="17"/>
      <c r="C427" s="14"/>
      <c r="D427" s="14"/>
      <c r="E427" s="14"/>
      <c r="F427" s="14"/>
      <c r="G427" s="14"/>
      <c r="H427" s="14"/>
    </row>
    <row r="428" ht="15.75" customHeight="1">
      <c r="A428" s="14"/>
      <c r="B428" s="17"/>
      <c r="C428" s="14"/>
      <c r="D428" s="14"/>
      <c r="E428" s="14"/>
      <c r="F428" s="14"/>
      <c r="G428" s="14"/>
      <c r="H428" s="14"/>
    </row>
    <row r="429" ht="15.75" customHeight="1">
      <c r="A429" s="14"/>
      <c r="B429" s="17"/>
      <c r="C429" s="14"/>
      <c r="D429" s="14"/>
      <c r="E429" s="14"/>
      <c r="F429" s="14"/>
      <c r="G429" s="14"/>
      <c r="H429" s="14"/>
    </row>
    <row r="430" ht="15.75" customHeight="1">
      <c r="A430" s="14"/>
      <c r="B430" s="17"/>
      <c r="C430" s="14"/>
      <c r="D430" s="14"/>
      <c r="E430" s="14"/>
      <c r="F430" s="14"/>
      <c r="G430" s="14"/>
      <c r="H430" s="14"/>
    </row>
    <row r="431" ht="15.75" customHeight="1">
      <c r="A431" s="14"/>
      <c r="B431" s="17"/>
      <c r="C431" s="14"/>
      <c r="D431" s="14"/>
      <c r="E431" s="14"/>
      <c r="F431" s="14"/>
      <c r="G431" s="14"/>
      <c r="H431" s="14"/>
    </row>
    <row r="432" ht="15.75" customHeight="1">
      <c r="A432" s="14"/>
      <c r="B432" s="17"/>
      <c r="C432" s="14"/>
      <c r="D432" s="14"/>
      <c r="E432" s="14"/>
      <c r="F432" s="14"/>
      <c r="G432" s="14"/>
      <c r="H432" s="14"/>
    </row>
    <row r="433" ht="15.75" customHeight="1">
      <c r="A433" s="14"/>
      <c r="B433" s="17"/>
      <c r="C433" s="14"/>
      <c r="D433" s="14"/>
      <c r="E433" s="14"/>
      <c r="F433" s="14"/>
      <c r="G433" s="14"/>
      <c r="H433" s="14"/>
    </row>
    <row r="434" ht="15.75" customHeight="1">
      <c r="A434" s="14"/>
      <c r="B434" s="17"/>
      <c r="C434" s="14"/>
      <c r="D434" s="14"/>
      <c r="E434" s="14"/>
      <c r="F434" s="14"/>
      <c r="G434" s="14"/>
      <c r="H434" s="14"/>
    </row>
    <row r="435" ht="15.75" customHeight="1">
      <c r="A435" s="14"/>
      <c r="B435" s="17"/>
      <c r="C435" s="14"/>
      <c r="D435" s="14"/>
      <c r="E435" s="14"/>
      <c r="F435" s="14"/>
      <c r="G435" s="14"/>
      <c r="H435" s="14"/>
    </row>
    <row r="436" ht="15.75" customHeight="1">
      <c r="A436" s="14"/>
      <c r="B436" s="17"/>
      <c r="C436" s="14"/>
      <c r="D436" s="14"/>
      <c r="E436" s="14"/>
      <c r="F436" s="14"/>
      <c r="G436" s="14"/>
      <c r="H436" s="14"/>
    </row>
    <row r="437" ht="15.75" customHeight="1">
      <c r="A437" s="14"/>
      <c r="B437" s="17"/>
      <c r="C437" s="14"/>
      <c r="D437" s="14"/>
      <c r="E437" s="14"/>
      <c r="F437" s="14"/>
      <c r="G437" s="14"/>
      <c r="H437" s="14"/>
    </row>
    <row r="438" ht="15.75" customHeight="1">
      <c r="A438" s="14"/>
      <c r="B438" s="17"/>
      <c r="C438" s="14"/>
      <c r="D438" s="14"/>
      <c r="E438" s="14"/>
      <c r="F438" s="14"/>
      <c r="G438" s="14"/>
      <c r="H438" s="14"/>
    </row>
    <row r="439" ht="15.75" customHeight="1">
      <c r="A439" s="14"/>
      <c r="B439" s="17"/>
      <c r="C439" s="14"/>
      <c r="D439" s="14"/>
      <c r="E439" s="14"/>
      <c r="F439" s="14"/>
      <c r="G439" s="14"/>
      <c r="H439" s="14"/>
    </row>
    <row r="440" ht="15.75" customHeight="1">
      <c r="A440" s="14"/>
      <c r="B440" s="17"/>
      <c r="C440" s="14"/>
      <c r="D440" s="14"/>
      <c r="E440" s="14"/>
      <c r="F440" s="14"/>
      <c r="G440" s="14"/>
      <c r="H440" s="14"/>
    </row>
    <row r="441" ht="15.75" customHeight="1">
      <c r="A441" s="14"/>
      <c r="B441" s="17"/>
      <c r="C441" s="14"/>
      <c r="D441" s="14"/>
      <c r="E441" s="14"/>
      <c r="F441" s="14"/>
      <c r="G441" s="14"/>
      <c r="H441" s="14"/>
    </row>
    <row r="442" ht="15.75" customHeight="1">
      <c r="A442" s="14"/>
      <c r="B442" s="17"/>
      <c r="C442" s="14"/>
      <c r="D442" s="14"/>
      <c r="E442" s="14"/>
      <c r="F442" s="14"/>
      <c r="G442" s="14"/>
      <c r="H442" s="14"/>
    </row>
    <row r="443" ht="15.75" customHeight="1">
      <c r="A443" s="14"/>
      <c r="B443" s="17"/>
      <c r="C443" s="14"/>
      <c r="D443" s="14"/>
      <c r="E443" s="14"/>
      <c r="F443" s="14"/>
      <c r="G443" s="14"/>
      <c r="H443" s="14"/>
    </row>
    <row r="444" ht="15.75" customHeight="1">
      <c r="A444" s="14"/>
      <c r="B444" s="17"/>
      <c r="C444" s="14"/>
      <c r="D444" s="14"/>
      <c r="E444" s="14"/>
      <c r="F444" s="14"/>
      <c r="G444" s="14"/>
      <c r="H444" s="14"/>
    </row>
    <row r="445" ht="15.75" customHeight="1">
      <c r="A445" s="14"/>
      <c r="B445" s="17"/>
      <c r="C445" s="14"/>
      <c r="D445" s="14"/>
      <c r="E445" s="14"/>
      <c r="F445" s="14"/>
      <c r="G445" s="14"/>
      <c r="H445" s="14"/>
    </row>
    <row r="446" ht="15.75" customHeight="1">
      <c r="A446" s="14"/>
      <c r="B446" s="17"/>
      <c r="C446" s="14"/>
      <c r="D446" s="14"/>
      <c r="E446" s="14"/>
      <c r="F446" s="14"/>
      <c r="G446" s="14"/>
      <c r="H446" s="14"/>
    </row>
    <row r="447" ht="15.75" customHeight="1">
      <c r="A447" s="14"/>
      <c r="B447" s="17"/>
      <c r="C447" s="14"/>
      <c r="D447" s="14"/>
      <c r="E447" s="14"/>
      <c r="F447" s="14"/>
      <c r="G447" s="14"/>
      <c r="H447" s="14"/>
    </row>
    <row r="448" ht="15.75" customHeight="1">
      <c r="A448" s="14"/>
      <c r="B448" s="17"/>
      <c r="C448" s="14"/>
      <c r="D448" s="14"/>
      <c r="E448" s="14"/>
      <c r="F448" s="14"/>
      <c r="G448" s="14"/>
      <c r="H448" s="14"/>
    </row>
    <row r="449" ht="15.75" customHeight="1">
      <c r="A449" s="14"/>
      <c r="B449" s="17"/>
      <c r="C449" s="14"/>
      <c r="D449" s="14"/>
      <c r="E449" s="14"/>
      <c r="F449" s="14"/>
      <c r="G449" s="14"/>
      <c r="H449" s="14"/>
    </row>
    <row r="450" ht="15.75" customHeight="1">
      <c r="A450" s="14"/>
      <c r="B450" s="17"/>
      <c r="C450" s="14"/>
      <c r="D450" s="14"/>
      <c r="E450" s="14"/>
      <c r="F450" s="14"/>
      <c r="G450" s="14"/>
      <c r="H450" s="14"/>
    </row>
    <row r="451" ht="15.75" customHeight="1">
      <c r="A451" s="14"/>
      <c r="B451" s="17"/>
      <c r="C451" s="14"/>
      <c r="D451" s="14"/>
      <c r="E451" s="14"/>
      <c r="F451" s="14"/>
      <c r="G451" s="14"/>
      <c r="H451" s="14"/>
    </row>
    <row r="452" ht="15.75" customHeight="1">
      <c r="A452" s="14"/>
      <c r="B452" s="17"/>
      <c r="C452" s="14"/>
      <c r="D452" s="14"/>
      <c r="E452" s="14"/>
      <c r="F452" s="14"/>
      <c r="G452" s="14"/>
      <c r="H452" s="14"/>
    </row>
    <row r="453" ht="15.75" customHeight="1">
      <c r="A453" s="14"/>
      <c r="B453" s="17"/>
      <c r="C453" s="14"/>
      <c r="D453" s="14"/>
      <c r="E453" s="14"/>
      <c r="F453" s="14"/>
      <c r="G453" s="14"/>
      <c r="H453" s="14"/>
    </row>
    <row r="454" ht="15.75" customHeight="1">
      <c r="A454" s="14"/>
      <c r="B454" s="17"/>
      <c r="C454" s="14"/>
      <c r="D454" s="14"/>
      <c r="E454" s="14"/>
      <c r="F454" s="14"/>
      <c r="G454" s="14"/>
      <c r="H454" s="14"/>
    </row>
    <row r="455" ht="15.75" customHeight="1">
      <c r="A455" s="14"/>
      <c r="B455" s="17"/>
      <c r="C455" s="14"/>
      <c r="D455" s="14"/>
      <c r="E455" s="14"/>
      <c r="F455" s="14"/>
      <c r="G455" s="14"/>
      <c r="H455" s="14"/>
    </row>
    <row r="456" ht="15.75" customHeight="1">
      <c r="A456" s="14"/>
      <c r="B456" s="17"/>
      <c r="C456" s="14"/>
      <c r="D456" s="14"/>
      <c r="E456" s="14"/>
      <c r="F456" s="14"/>
      <c r="G456" s="14"/>
      <c r="H456" s="14"/>
    </row>
    <row r="457" ht="15.75" customHeight="1">
      <c r="A457" s="14"/>
      <c r="B457" s="17"/>
      <c r="C457" s="14"/>
      <c r="D457" s="14"/>
      <c r="E457" s="14"/>
      <c r="F457" s="14"/>
      <c r="G457" s="14"/>
      <c r="H457" s="14"/>
    </row>
    <row r="458" ht="15.75" customHeight="1">
      <c r="A458" s="14"/>
      <c r="B458" s="17"/>
      <c r="C458" s="14"/>
      <c r="D458" s="14"/>
      <c r="E458" s="14"/>
      <c r="F458" s="14"/>
      <c r="G458" s="14"/>
      <c r="H458" s="14"/>
    </row>
    <row r="459" ht="15.75" customHeight="1">
      <c r="A459" s="14"/>
      <c r="B459" s="17"/>
      <c r="C459" s="14"/>
      <c r="D459" s="14"/>
      <c r="E459" s="14"/>
      <c r="F459" s="14"/>
      <c r="G459" s="14"/>
      <c r="H459" s="14"/>
    </row>
    <row r="460" ht="15.75" customHeight="1">
      <c r="A460" s="14"/>
      <c r="B460" s="17"/>
      <c r="C460" s="14"/>
      <c r="D460" s="14"/>
      <c r="E460" s="14"/>
      <c r="F460" s="14"/>
      <c r="G460" s="14"/>
      <c r="H460" s="14"/>
    </row>
    <row r="461" ht="15.75" customHeight="1">
      <c r="A461" s="14"/>
      <c r="B461" s="17"/>
      <c r="C461" s="14"/>
      <c r="D461" s="14"/>
      <c r="E461" s="14"/>
      <c r="F461" s="14"/>
      <c r="G461" s="14"/>
      <c r="H461" s="14"/>
    </row>
    <row r="462" ht="15.75" customHeight="1">
      <c r="A462" s="14"/>
      <c r="B462" s="17"/>
      <c r="C462" s="14"/>
      <c r="D462" s="14"/>
      <c r="E462" s="14"/>
      <c r="F462" s="14"/>
      <c r="G462" s="14"/>
      <c r="H462" s="14"/>
    </row>
    <row r="463" ht="15.75" customHeight="1">
      <c r="A463" s="14"/>
      <c r="B463" s="17"/>
      <c r="C463" s="14"/>
      <c r="D463" s="14"/>
      <c r="E463" s="14"/>
      <c r="F463" s="14"/>
      <c r="G463" s="14"/>
      <c r="H463" s="14"/>
    </row>
    <row r="464" ht="15.75" customHeight="1">
      <c r="A464" s="14"/>
      <c r="B464" s="17"/>
      <c r="C464" s="14"/>
      <c r="D464" s="14"/>
      <c r="E464" s="14"/>
      <c r="F464" s="14"/>
      <c r="G464" s="14"/>
      <c r="H464" s="14"/>
    </row>
    <row r="465" ht="15.75" customHeight="1">
      <c r="A465" s="14"/>
      <c r="B465" s="17"/>
      <c r="C465" s="14"/>
      <c r="D465" s="14"/>
      <c r="E465" s="14"/>
      <c r="F465" s="14"/>
      <c r="G465" s="14"/>
      <c r="H465" s="14"/>
    </row>
    <row r="466" ht="15.75" customHeight="1">
      <c r="A466" s="14"/>
      <c r="B466" s="17"/>
      <c r="C466" s="14"/>
      <c r="D466" s="14"/>
      <c r="E466" s="14"/>
      <c r="F466" s="14"/>
      <c r="G466" s="14"/>
      <c r="H466" s="14"/>
    </row>
    <row r="467" ht="15.75" customHeight="1">
      <c r="A467" s="14"/>
      <c r="B467" s="17"/>
      <c r="C467" s="14"/>
      <c r="D467" s="14"/>
      <c r="E467" s="14"/>
      <c r="F467" s="14"/>
      <c r="G467" s="14"/>
      <c r="H467" s="14"/>
    </row>
    <row r="468" ht="15.75" customHeight="1">
      <c r="A468" s="14"/>
      <c r="B468" s="17"/>
      <c r="C468" s="14"/>
      <c r="D468" s="14"/>
      <c r="E468" s="14"/>
      <c r="F468" s="14"/>
      <c r="G468" s="14"/>
      <c r="H468" s="14"/>
    </row>
    <row r="469" ht="15.75" customHeight="1">
      <c r="A469" s="14"/>
      <c r="B469" s="17"/>
      <c r="C469" s="14"/>
      <c r="D469" s="14"/>
      <c r="E469" s="14"/>
      <c r="F469" s="14"/>
      <c r="G469" s="14"/>
      <c r="H469" s="14"/>
    </row>
    <row r="470" ht="15.75" customHeight="1">
      <c r="A470" s="14"/>
      <c r="B470" s="17"/>
      <c r="C470" s="14"/>
      <c r="D470" s="14"/>
      <c r="E470" s="14"/>
      <c r="F470" s="14"/>
      <c r="G470" s="14"/>
      <c r="H470" s="14"/>
    </row>
    <row r="471" ht="15.75" customHeight="1">
      <c r="A471" s="14"/>
      <c r="B471" s="17"/>
      <c r="C471" s="14"/>
      <c r="D471" s="14"/>
      <c r="E471" s="14"/>
      <c r="F471" s="14"/>
      <c r="G471" s="14"/>
      <c r="H471" s="14"/>
    </row>
    <row r="472" ht="15.75" customHeight="1">
      <c r="A472" s="14"/>
      <c r="B472" s="17"/>
      <c r="C472" s="14"/>
      <c r="D472" s="14"/>
      <c r="E472" s="14"/>
      <c r="F472" s="14"/>
      <c r="G472" s="14"/>
      <c r="H472" s="14"/>
    </row>
    <row r="473" ht="15.75" customHeight="1">
      <c r="A473" s="14"/>
      <c r="B473" s="17"/>
      <c r="C473" s="14"/>
      <c r="D473" s="14"/>
      <c r="E473" s="14"/>
      <c r="F473" s="14"/>
      <c r="G473" s="14"/>
      <c r="H473" s="14"/>
    </row>
    <row r="474" ht="15.75" customHeight="1">
      <c r="A474" s="14"/>
      <c r="B474" s="17"/>
      <c r="C474" s="14"/>
      <c r="D474" s="14"/>
      <c r="E474" s="14"/>
      <c r="F474" s="14"/>
      <c r="G474" s="14"/>
      <c r="H474" s="14"/>
    </row>
    <row r="475" ht="15.75" customHeight="1">
      <c r="A475" s="14"/>
      <c r="B475" s="17"/>
      <c r="C475" s="14"/>
      <c r="D475" s="14"/>
      <c r="E475" s="14"/>
      <c r="F475" s="14"/>
      <c r="G475" s="14"/>
      <c r="H475" s="14"/>
    </row>
    <row r="476" ht="15.75" customHeight="1">
      <c r="A476" s="14"/>
      <c r="B476" s="17"/>
      <c r="C476" s="14"/>
      <c r="D476" s="14"/>
      <c r="E476" s="14"/>
      <c r="F476" s="14"/>
      <c r="G476" s="14"/>
      <c r="H476" s="14"/>
    </row>
    <row r="477" ht="15.75" customHeight="1">
      <c r="A477" s="14"/>
      <c r="B477" s="17"/>
      <c r="C477" s="14"/>
      <c r="D477" s="14"/>
      <c r="E477" s="14"/>
      <c r="F477" s="14"/>
      <c r="G477" s="14"/>
      <c r="H477" s="14"/>
    </row>
    <row r="478" ht="15.75" customHeight="1">
      <c r="A478" s="14"/>
      <c r="B478" s="17"/>
      <c r="C478" s="14"/>
      <c r="D478" s="14"/>
      <c r="E478" s="14"/>
      <c r="F478" s="14"/>
      <c r="G478" s="14"/>
      <c r="H478" s="14"/>
    </row>
    <row r="479" ht="15.75" customHeight="1">
      <c r="A479" s="14"/>
      <c r="B479" s="17"/>
      <c r="C479" s="14"/>
      <c r="D479" s="14"/>
      <c r="E479" s="14"/>
      <c r="F479" s="14"/>
      <c r="G479" s="14"/>
      <c r="H479" s="14"/>
    </row>
    <row r="480" ht="15.75" customHeight="1">
      <c r="A480" s="14"/>
      <c r="B480" s="17"/>
      <c r="C480" s="14"/>
      <c r="D480" s="14"/>
      <c r="E480" s="14"/>
      <c r="F480" s="14"/>
      <c r="G480" s="14"/>
      <c r="H480" s="14"/>
    </row>
    <row r="481" ht="15.75" customHeight="1">
      <c r="A481" s="14"/>
      <c r="B481" s="17"/>
      <c r="C481" s="14"/>
      <c r="D481" s="14"/>
      <c r="E481" s="14"/>
      <c r="F481" s="14"/>
      <c r="G481" s="14"/>
      <c r="H481" s="14"/>
    </row>
    <row r="482" ht="15.75" customHeight="1">
      <c r="A482" s="14"/>
      <c r="B482" s="17"/>
      <c r="C482" s="14"/>
      <c r="D482" s="14"/>
      <c r="E482" s="14"/>
      <c r="F482" s="14"/>
      <c r="G482" s="14"/>
      <c r="H482" s="14"/>
    </row>
    <row r="483" ht="15.75" customHeight="1">
      <c r="A483" s="14"/>
      <c r="B483" s="17"/>
      <c r="C483" s="14"/>
      <c r="D483" s="14"/>
      <c r="E483" s="14"/>
      <c r="F483" s="14"/>
      <c r="G483" s="14"/>
      <c r="H483" s="14"/>
    </row>
    <row r="484" ht="15.75" customHeight="1">
      <c r="A484" s="14"/>
      <c r="B484" s="17"/>
      <c r="C484" s="14"/>
      <c r="D484" s="14"/>
      <c r="E484" s="14"/>
      <c r="F484" s="14"/>
      <c r="G484" s="14"/>
      <c r="H484" s="14"/>
    </row>
    <row r="485" ht="15.75" customHeight="1">
      <c r="A485" s="14"/>
      <c r="B485" s="17"/>
      <c r="C485" s="14"/>
      <c r="D485" s="14"/>
      <c r="E485" s="14"/>
      <c r="F485" s="14"/>
      <c r="G485" s="14"/>
      <c r="H485" s="14"/>
    </row>
    <row r="486" ht="15.75" customHeight="1">
      <c r="A486" s="14"/>
      <c r="B486" s="17"/>
      <c r="C486" s="14"/>
      <c r="D486" s="14"/>
      <c r="E486" s="14"/>
      <c r="F486" s="14"/>
      <c r="G486" s="14"/>
      <c r="H486" s="14"/>
    </row>
    <row r="487" ht="15.75" customHeight="1">
      <c r="A487" s="14"/>
      <c r="B487" s="17"/>
      <c r="C487" s="14"/>
      <c r="D487" s="14"/>
      <c r="E487" s="14"/>
      <c r="F487" s="14"/>
      <c r="G487" s="14"/>
      <c r="H487" s="14"/>
    </row>
    <row r="488" ht="15.75" customHeight="1">
      <c r="A488" s="14"/>
      <c r="B488" s="17"/>
      <c r="C488" s="14"/>
      <c r="D488" s="14"/>
      <c r="E488" s="14"/>
      <c r="F488" s="14"/>
      <c r="G488" s="14"/>
      <c r="H488" s="14"/>
    </row>
    <row r="489" ht="15.75" customHeight="1">
      <c r="A489" s="14"/>
      <c r="B489" s="17"/>
      <c r="C489" s="14"/>
      <c r="D489" s="14"/>
      <c r="E489" s="14"/>
      <c r="F489" s="14"/>
      <c r="G489" s="14"/>
      <c r="H489" s="14"/>
    </row>
    <row r="490" ht="15.75" customHeight="1">
      <c r="A490" s="14"/>
      <c r="B490" s="17"/>
      <c r="C490" s="14"/>
      <c r="D490" s="14"/>
      <c r="E490" s="14"/>
      <c r="F490" s="14"/>
      <c r="G490" s="14"/>
      <c r="H490" s="14"/>
    </row>
    <row r="491" ht="15.75" customHeight="1">
      <c r="A491" s="14"/>
      <c r="B491" s="17"/>
      <c r="C491" s="14"/>
      <c r="D491" s="14"/>
      <c r="E491" s="14"/>
      <c r="F491" s="14"/>
      <c r="G491" s="14"/>
      <c r="H491" s="14"/>
    </row>
    <row r="492" ht="15.75" customHeight="1">
      <c r="A492" s="14"/>
      <c r="B492" s="17"/>
      <c r="C492" s="14"/>
      <c r="D492" s="14"/>
      <c r="E492" s="14"/>
      <c r="F492" s="14"/>
      <c r="G492" s="14"/>
      <c r="H492" s="14"/>
    </row>
    <row r="493" ht="15.75" customHeight="1">
      <c r="A493" s="14"/>
      <c r="B493" s="17"/>
      <c r="C493" s="14"/>
      <c r="D493" s="14"/>
      <c r="E493" s="14"/>
      <c r="F493" s="14"/>
      <c r="G493" s="14"/>
      <c r="H493" s="14"/>
    </row>
    <row r="494" ht="15.75" customHeight="1">
      <c r="A494" s="14"/>
      <c r="B494" s="17"/>
      <c r="C494" s="14"/>
      <c r="D494" s="14"/>
      <c r="E494" s="14"/>
      <c r="F494" s="14"/>
      <c r="G494" s="14"/>
      <c r="H494" s="14"/>
    </row>
    <row r="495" ht="15.75" customHeight="1">
      <c r="A495" s="14"/>
      <c r="B495" s="17"/>
      <c r="C495" s="14"/>
      <c r="D495" s="14"/>
      <c r="E495" s="14"/>
      <c r="F495" s="14"/>
      <c r="G495" s="14"/>
      <c r="H495" s="14"/>
    </row>
    <row r="496" ht="15.75" customHeight="1">
      <c r="A496" s="14"/>
      <c r="B496" s="17"/>
      <c r="C496" s="14"/>
      <c r="D496" s="14"/>
      <c r="E496" s="14"/>
      <c r="F496" s="14"/>
      <c r="G496" s="14"/>
      <c r="H496" s="14"/>
    </row>
    <row r="497" ht="15.75" customHeight="1">
      <c r="A497" s="14"/>
      <c r="B497" s="17"/>
      <c r="C497" s="14"/>
      <c r="D497" s="14"/>
      <c r="E497" s="14"/>
      <c r="F497" s="14"/>
      <c r="G497" s="14"/>
      <c r="H497" s="14"/>
    </row>
    <row r="498" ht="15.75" customHeight="1">
      <c r="A498" s="14"/>
      <c r="B498" s="17"/>
      <c r="C498" s="14"/>
      <c r="D498" s="14"/>
      <c r="E498" s="14"/>
      <c r="F498" s="14"/>
      <c r="G498" s="14"/>
      <c r="H498" s="14"/>
    </row>
    <row r="499" ht="15.75" customHeight="1">
      <c r="A499" s="14"/>
      <c r="B499" s="17"/>
      <c r="C499" s="14"/>
      <c r="D499" s="14"/>
      <c r="E499" s="14"/>
      <c r="F499" s="14"/>
      <c r="G499" s="14"/>
      <c r="H499" s="14"/>
    </row>
    <row r="500" ht="15.75" customHeight="1">
      <c r="A500" s="14"/>
      <c r="B500" s="17"/>
      <c r="C500" s="14"/>
      <c r="D500" s="14"/>
      <c r="E500" s="14"/>
      <c r="F500" s="14"/>
      <c r="G500" s="14"/>
      <c r="H500" s="14"/>
    </row>
    <row r="501" ht="15.75" customHeight="1">
      <c r="A501" s="14"/>
      <c r="B501" s="17"/>
      <c r="C501" s="14"/>
      <c r="D501" s="14"/>
      <c r="E501" s="14"/>
      <c r="F501" s="14"/>
      <c r="G501" s="14"/>
      <c r="H501" s="14"/>
    </row>
    <row r="502" ht="15.75" customHeight="1">
      <c r="A502" s="14"/>
      <c r="B502" s="17"/>
      <c r="C502" s="14"/>
      <c r="D502" s="14"/>
      <c r="E502" s="14"/>
      <c r="F502" s="14"/>
      <c r="G502" s="14"/>
      <c r="H502" s="14"/>
    </row>
    <row r="503" ht="15.75" customHeight="1">
      <c r="A503" s="14"/>
      <c r="B503" s="17"/>
      <c r="C503" s="14"/>
      <c r="D503" s="14"/>
      <c r="E503" s="14"/>
      <c r="F503" s="14"/>
      <c r="G503" s="14"/>
      <c r="H503" s="14"/>
    </row>
    <row r="504" ht="15.75" customHeight="1">
      <c r="A504" s="14"/>
      <c r="B504" s="17"/>
      <c r="C504" s="14"/>
      <c r="D504" s="14"/>
      <c r="E504" s="14"/>
      <c r="F504" s="14"/>
      <c r="G504" s="14"/>
      <c r="H504" s="14"/>
    </row>
    <row r="505" ht="15.75" customHeight="1">
      <c r="A505" s="14"/>
      <c r="B505" s="17"/>
      <c r="C505" s="14"/>
      <c r="D505" s="14"/>
      <c r="E505" s="14"/>
      <c r="F505" s="14"/>
      <c r="G505" s="14"/>
      <c r="H505" s="14"/>
    </row>
    <row r="506" ht="15.75" customHeight="1">
      <c r="A506" s="14"/>
      <c r="B506" s="17"/>
      <c r="C506" s="14"/>
      <c r="D506" s="14"/>
      <c r="E506" s="14"/>
      <c r="F506" s="14"/>
      <c r="G506" s="14"/>
      <c r="H506" s="14"/>
    </row>
    <row r="507" ht="15.75" customHeight="1">
      <c r="A507" s="14"/>
      <c r="B507" s="17"/>
      <c r="C507" s="14"/>
      <c r="D507" s="14"/>
      <c r="E507" s="14"/>
      <c r="F507" s="14"/>
      <c r="G507" s="14"/>
      <c r="H507" s="14"/>
    </row>
    <row r="508" ht="15.75" customHeight="1">
      <c r="A508" s="14"/>
      <c r="B508" s="17"/>
      <c r="C508" s="14"/>
      <c r="D508" s="14"/>
      <c r="E508" s="14"/>
      <c r="F508" s="14"/>
      <c r="G508" s="14"/>
      <c r="H508" s="14"/>
    </row>
    <row r="509" ht="15.75" customHeight="1">
      <c r="A509" s="14"/>
      <c r="B509" s="17"/>
      <c r="C509" s="14"/>
      <c r="D509" s="14"/>
      <c r="E509" s="14"/>
      <c r="F509" s="14"/>
      <c r="G509" s="14"/>
      <c r="H509" s="14"/>
    </row>
    <row r="510" ht="15.75" customHeight="1">
      <c r="A510" s="14"/>
      <c r="B510" s="17"/>
      <c r="C510" s="14"/>
      <c r="D510" s="14"/>
      <c r="E510" s="14"/>
      <c r="F510" s="14"/>
      <c r="G510" s="14"/>
      <c r="H510" s="14"/>
    </row>
    <row r="511" ht="15.75" customHeight="1">
      <c r="A511" s="14"/>
      <c r="B511" s="17"/>
      <c r="C511" s="14"/>
      <c r="D511" s="14"/>
      <c r="E511" s="14"/>
      <c r="F511" s="14"/>
      <c r="G511" s="14"/>
      <c r="H511" s="14"/>
    </row>
    <row r="512" ht="15.75" customHeight="1">
      <c r="A512" s="14"/>
      <c r="B512" s="17"/>
      <c r="C512" s="14"/>
      <c r="D512" s="14"/>
      <c r="E512" s="14"/>
      <c r="F512" s="14"/>
      <c r="G512" s="14"/>
      <c r="H512" s="14"/>
    </row>
    <row r="513" ht="15.75" customHeight="1">
      <c r="A513" s="14"/>
      <c r="B513" s="17"/>
      <c r="C513" s="14"/>
      <c r="D513" s="14"/>
      <c r="E513" s="14"/>
      <c r="F513" s="14"/>
      <c r="G513" s="14"/>
      <c r="H513" s="14"/>
    </row>
    <row r="514" ht="15.75" customHeight="1">
      <c r="A514" s="14"/>
      <c r="B514" s="17"/>
      <c r="C514" s="14"/>
      <c r="D514" s="14"/>
      <c r="E514" s="14"/>
      <c r="F514" s="14"/>
      <c r="G514" s="14"/>
      <c r="H514" s="14"/>
    </row>
    <row r="515" ht="15.75" customHeight="1">
      <c r="A515" s="14"/>
      <c r="B515" s="17"/>
      <c r="C515" s="14"/>
      <c r="D515" s="14"/>
      <c r="E515" s="14"/>
      <c r="F515" s="14"/>
      <c r="G515" s="14"/>
      <c r="H515" s="14"/>
    </row>
    <row r="516" ht="15.75" customHeight="1">
      <c r="A516" s="14"/>
      <c r="B516" s="17"/>
      <c r="C516" s="14"/>
      <c r="D516" s="14"/>
      <c r="E516" s="14"/>
      <c r="F516" s="14"/>
      <c r="G516" s="14"/>
      <c r="H516" s="14"/>
    </row>
    <row r="517" ht="15.75" customHeight="1">
      <c r="A517" s="14"/>
      <c r="B517" s="17"/>
      <c r="C517" s="14"/>
      <c r="D517" s="14"/>
      <c r="E517" s="14"/>
      <c r="F517" s="14"/>
      <c r="G517" s="14"/>
      <c r="H517" s="14"/>
    </row>
    <row r="518" ht="15.75" customHeight="1">
      <c r="A518" s="14"/>
      <c r="B518" s="17"/>
      <c r="C518" s="14"/>
      <c r="D518" s="14"/>
      <c r="E518" s="14"/>
      <c r="F518" s="14"/>
      <c r="G518" s="14"/>
      <c r="H518" s="14"/>
    </row>
    <row r="519" ht="15.75" customHeight="1">
      <c r="A519" s="14"/>
      <c r="B519" s="17"/>
      <c r="C519" s="14"/>
      <c r="D519" s="14"/>
      <c r="E519" s="14"/>
      <c r="F519" s="14"/>
      <c r="G519" s="14"/>
      <c r="H519" s="14"/>
    </row>
    <row r="520" ht="15.75" customHeight="1">
      <c r="A520" s="14"/>
      <c r="B520" s="17"/>
      <c r="C520" s="14"/>
      <c r="D520" s="14"/>
      <c r="E520" s="14"/>
      <c r="F520" s="14"/>
      <c r="G520" s="14"/>
      <c r="H520" s="14"/>
    </row>
    <row r="521" ht="15.75" customHeight="1">
      <c r="A521" s="14"/>
      <c r="B521" s="17"/>
      <c r="C521" s="14"/>
      <c r="D521" s="14"/>
      <c r="E521" s="14"/>
      <c r="F521" s="14"/>
      <c r="G521" s="14"/>
      <c r="H521" s="14"/>
    </row>
    <row r="522" ht="15.75" customHeight="1">
      <c r="A522" s="14"/>
      <c r="B522" s="17"/>
      <c r="C522" s="14"/>
      <c r="D522" s="14"/>
      <c r="E522" s="14"/>
      <c r="F522" s="14"/>
      <c r="G522" s="14"/>
      <c r="H522" s="14"/>
    </row>
    <row r="523" ht="15.75" customHeight="1">
      <c r="A523" s="14"/>
      <c r="B523" s="17"/>
      <c r="C523" s="14"/>
      <c r="D523" s="14"/>
      <c r="E523" s="14"/>
      <c r="F523" s="14"/>
      <c r="G523" s="14"/>
      <c r="H523" s="14"/>
    </row>
    <row r="524" ht="15.75" customHeight="1">
      <c r="A524" s="14"/>
      <c r="B524" s="17"/>
      <c r="C524" s="14"/>
      <c r="D524" s="14"/>
      <c r="E524" s="14"/>
      <c r="F524" s="14"/>
      <c r="G524" s="14"/>
      <c r="H524" s="14"/>
    </row>
    <row r="525" ht="15.75" customHeight="1">
      <c r="A525" s="14"/>
      <c r="B525" s="17"/>
      <c r="C525" s="14"/>
      <c r="D525" s="14"/>
      <c r="E525" s="14"/>
      <c r="F525" s="14"/>
      <c r="G525" s="14"/>
      <c r="H525" s="14"/>
    </row>
    <row r="526" ht="15.75" customHeight="1">
      <c r="A526" s="14"/>
      <c r="B526" s="17"/>
      <c r="C526" s="14"/>
      <c r="D526" s="14"/>
      <c r="E526" s="14"/>
      <c r="F526" s="14"/>
      <c r="G526" s="14"/>
      <c r="H526" s="14"/>
    </row>
    <row r="527" ht="15.75" customHeight="1">
      <c r="A527" s="14"/>
      <c r="B527" s="17"/>
      <c r="C527" s="14"/>
      <c r="D527" s="14"/>
      <c r="E527" s="14"/>
      <c r="F527" s="14"/>
      <c r="G527" s="14"/>
      <c r="H527" s="14"/>
    </row>
    <row r="528" ht="15.75" customHeight="1">
      <c r="A528" s="14"/>
      <c r="B528" s="17"/>
      <c r="C528" s="14"/>
      <c r="D528" s="14"/>
      <c r="E528" s="14"/>
      <c r="F528" s="14"/>
      <c r="G528" s="14"/>
      <c r="H528" s="14"/>
    </row>
    <row r="529" ht="15.75" customHeight="1">
      <c r="A529" s="14"/>
      <c r="B529" s="17"/>
      <c r="C529" s="14"/>
      <c r="D529" s="14"/>
      <c r="E529" s="14"/>
      <c r="F529" s="14"/>
      <c r="G529" s="14"/>
      <c r="H529" s="14"/>
    </row>
    <row r="530" ht="15.75" customHeight="1">
      <c r="A530" s="14"/>
      <c r="B530" s="17"/>
      <c r="C530" s="14"/>
      <c r="D530" s="14"/>
      <c r="E530" s="14"/>
      <c r="F530" s="14"/>
      <c r="G530" s="14"/>
      <c r="H530" s="14"/>
    </row>
    <row r="531" ht="15.75" customHeight="1">
      <c r="A531" s="14"/>
      <c r="B531" s="17"/>
      <c r="C531" s="14"/>
      <c r="D531" s="14"/>
      <c r="E531" s="14"/>
      <c r="F531" s="14"/>
      <c r="G531" s="14"/>
      <c r="H531" s="14"/>
    </row>
    <row r="532" ht="15.75" customHeight="1">
      <c r="A532" s="14"/>
      <c r="B532" s="17"/>
      <c r="C532" s="14"/>
      <c r="D532" s="14"/>
      <c r="E532" s="14"/>
      <c r="F532" s="14"/>
      <c r="G532" s="14"/>
      <c r="H532" s="14"/>
    </row>
    <row r="533" ht="15.75" customHeight="1">
      <c r="A533" s="14"/>
      <c r="B533" s="17"/>
      <c r="C533" s="14"/>
      <c r="D533" s="14"/>
      <c r="E533" s="14"/>
      <c r="F533" s="14"/>
      <c r="G533" s="14"/>
      <c r="H533" s="14"/>
    </row>
    <row r="534" ht="15.75" customHeight="1">
      <c r="A534" s="14"/>
      <c r="B534" s="17"/>
      <c r="C534" s="14"/>
      <c r="D534" s="14"/>
      <c r="E534" s="14"/>
      <c r="F534" s="14"/>
      <c r="G534" s="14"/>
      <c r="H534" s="14"/>
    </row>
    <row r="535" ht="15.75" customHeight="1">
      <c r="A535" s="14"/>
      <c r="B535" s="17"/>
      <c r="C535" s="14"/>
      <c r="D535" s="14"/>
      <c r="E535" s="14"/>
      <c r="F535" s="14"/>
      <c r="G535" s="14"/>
      <c r="H535" s="14"/>
    </row>
    <row r="536" ht="15.75" customHeight="1">
      <c r="A536" s="14"/>
      <c r="B536" s="17"/>
      <c r="C536" s="14"/>
      <c r="D536" s="14"/>
      <c r="E536" s="14"/>
      <c r="F536" s="14"/>
      <c r="G536" s="14"/>
      <c r="H536" s="14"/>
    </row>
    <row r="537" ht="15.75" customHeight="1">
      <c r="A537" s="14"/>
      <c r="B537" s="17"/>
      <c r="C537" s="14"/>
      <c r="D537" s="14"/>
      <c r="E537" s="14"/>
      <c r="F537" s="14"/>
      <c r="G537" s="14"/>
      <c r="H537" s="14"/>
    </row>
    <row r="538" ht="15.75" customHeight="1">
      <c r="A538" s="14"/>
      <c r="B538" s="17"/>
      <c r="C538" s="14"/>
      <c r="D538" s="14"/>
      <c r="E538" s="14"/>
      <c r="F538" s="14"/>
      <c r="G538" s="14"/>
      <c r="H538" s="14"/>
    </row>
    <row r="539" ht="15.75" customHeight="1">
      <c r="A539" s="14"/>
      <c r="B539" s="17"/>
      <c r="C539" s="14"/>
      <c r="D539" s="14"/>
      <c r="E539" s="14"/>
      <c r="F539" s="14"/>
      <c r="G539" s="14"/>
      <c r="H539" s="14"/>
    </row>
    <row r="540" ht="15.75" customHeight="1">
      <c r="A540" s="14"/>
      <c r="B540" s="17"/>
      <c r="C540" s="14"/>
      <c r="D540" s="14"/>
      <c r="E540" s="14"/>
      <c r="F540" s="14"/>
      <c r="G540" s="14"/>
      <c r="H540" s="14"/>
    </row>
    <row r="541" ht="15.75" customHeight="1">
      <c r="A541" s="14"/>
      <c r="B541" s="17"/>
      <c r="C541" s="14"/>
      <c r="D541" s="14"/>
      <c r="E541" s="14"/>
      <c r="F541" s="14"/>
      <c r="G541" s="14"/>
      <c r="H541" s="14"/>
    </row>
    <row r="542" ht="15.75" customHeight="1">
      <c r="A542" s="14"/>
      <c r="B542" s="17"/>
      <c r="C542" s="14"/>
      <c r="D542" s="14"/>
      <c r="E542" s="14"/>
      <c r="F542" s="14"/>
      <c r="G542" s="14"/>
      <c r="H542" s="14"/>
    </row>
    <row r="543" ht="15.75" customHeight="1">
      <c r="A543" s="14"/>
      <c r="B543" s="17"/>
      <c r="C543" s="14"/>
      <c r="D543" s="14"/>
      <c r="E543" s="14"/>
      <c r="F543" s="14"/>
      <c r="G543" s="14"/>
      <c r="H543" s="14"/>
    </row>
    <row r="544" ht="15.75" customHeight="1">
      <c r="A544" s="14"/>
      <c r="B544" s="17"/>
      <c r="C544" s="14"/>
      <c r="D544" s="14"/>
      <c r="E544" s="14"/>
      <c r="F544" s="14"/>
      <c r="G544" s="14"/>
      <c r="H544" s="14"/>
    </row>
    <row r="545" ht="15.75" customHeight="1">
      <c r="A545" s="14"/>
      <c r="B545" s="17"/>
      <c r="C545" s="14"/>
      <c r="D545" s="14"/>
      <c r="E545" s="14"/>
      <c r="F545" s="14"/>
      <c r="G545" s="14"/>
      <c r="H545" s="14"/>
    </row>
    <row r="546" ht="15.75" customHeight="1">
      <c r="A546" s="14"/>
      <c r="B546" s="17"/>
      <c r="C546" s="14"/>
      <c r="D546" s="14"/>
      <c r="E546" s="14"/>
      <c r="F546" s="14"/>
      <c r="G546" s="14"/>
      <c r="H546" s="14"/>
    </row>
    <row r="547" ht="15.75" customHeight="1">
      <c r="A547" s="14"/>
      <c r="B547" s="17"/>
      <c r="C547" s="14"/>
      <c r="D547" s="14"/>
      <c r="E547" s="14"/>
      <c r="F547" s="14"/>
      <c r="G547" s="14"/>
      <c r="H547" s="14"/>
    </row>
    <row r="548" ht="15.75" customHeight="1">
      <c r="A548" s="14"/>
      <c r="B548" s="17"/>
      <c r="C548" s="14"/>
      <c r="D548" s="14"/>
      <c r="E548" s="14"/>
      <c r="F548" s="14"/>
      <c r="G548" s="14"/>
      <c r="H548" s="14"/>
    </row>
    <row r="549" ht="15.75" customHeight="1">
      <c r="A549" s="14"/>
      <c r="B549" s="17"/>
      <c r="C549" s="14"/>
      <c r="D549" s="14"/>
      <c r="E549" s="14"/>
      <c r="F549" s="14"/>
      <c r="G549" s="14"/>
      <c r="H549" s="14"/>
    </row>
    <row r="550" ht="15.75" customHeight="1">
      <c r="A550" s="14"/>
      <c r="B550" s="17"/>
      <c r="C550" s="14"/>
      <c r="D550" s="14"/>
      <c r="E550" s="14"/>
      <c r="F550" s="14"/>
      <c r="G550" s="14"/>
      <c r="H550" s="14"/>
    </row>
    <row r="551" ht="15.75" customHeight="1">
      <c r="A551" s="14"/>
      <c r="B551" s="17"/>
      <c r="C551" s="14"/>
      <c r="D551" s="14"/>
      <c r="E551" s="14"/>
      <c r="F551" s="14"/>
      <c r="G551" s="14"/>
      <c r="H551" s="14"/>
    </row>
    <row r="552" ht="15.75" customHeight="1">
      <c r="A552" s="14"/>
      <c r="B552" s="17"/>
      <c r="C552" s="14"/>
      <c r="D552" s="14"/>
      <c r="E552" s="14"/>
      <c r="F552" s="14"/>
      <c r="G552" s="14"/>
      <c r="H552" s="14"/>
    </row>
    <row r="553" ht="15.75" customHeight="1">
      <c r="A553" s="14"/>
      <c r="B553" s="17"/>
      <c r="C553" s="14"/>
      <c r="D553" s="14"/>
      <c r="E553" s="14"/>
      <c r="F553" s="14"/>
      <c r="G553" s="14"/>
      <c r="H553" s="14"/>
    </row>
    <row r="554" ht="15.75" customHeight="1">
      <c r="A554" s="14"/>
      <c r="B554" s="17"/>
      <c r="C554" s="14"/>
      <c r="D554" s="14"/>
      <c r="E554" s="14"/>
      <c r="F554" s="14"/>
      <c r="G554" s="14"/>
      <c r="H554" s="14"/>
    </row>
    <row r="555" ht="15.75" customHeight="1">
      <c r="A555" s="14"/>
      <c r="B555" s="17"/>
      <c r="C555" s="14"/>
      <c r="D555" s="14"/>
      <c r="E555" s="14"/>
      <c r="F555" s="14"/>
      <c r="G555" s="14"/>
      <c r="H555" s="14"/>
    </row>
    <row r="556" ht="15.75" customHeight="1">
      <c r="A556" s="14"/>
      <c r="B556" s="17"/>
      <c r="C556" s="14"/>
      <c r="D556" s="14"/>
      <c r="E556" s="14"/>
      <c r="F556" s="14"/>
      <c r="G556" s="14"/>
      <c r="H556" s="14"/>
    </row>
    <row r="557" ht="15.75" customHeight="1">
      <c r="A557" s="14"/>
      <c r="B557" s="17"/>
      <c r="C557" s="14"/>
      <c r="D557" s="14"/>
      <c r="E557" s="14"/>
      <c r="F557" s="14"/>
      <c r="G557" s="14"/>
      <c r="H557" s="14"/>
    </row>
    <row r="558" ht="15.75" customHeight="1">
      <c r="A558" s="14"/>
      <c r="B558" s="17"/>
      <c r="C558" s="14"/>
      <c r="D558" s="14"/>
      <c r="E558" s="14"/>
      <c r="F558" s="14"/>
      <c r="G558" s="14"/>
      <c r="H558" s="14"/>
    </row>
    <row r="559" ht="15.75" customHeight="1">
      <c r="A559" s="14"/>
      <c r="B559" s="17"/>
      <c r="C559" s="14"/>
      <c r="D559" s="14"/>
      <c r="E559" s="14"/>
      <c r="F559" s="14"/>
      <c r="G559" s="14"/>
      <c r="H559" s="14"/>
    </row>
    <row r="560" ht="15.75" customHeight="1">
      <c r="A560" s="14"/>
      <c r="B560" s="17"/>
      <c r="C560" s="14"/>
      <c r="D560" s="14"/>
      <c r="E560" s="14"/>
      <c r="F560" s="14"/>
      <c r="G560" s="14"/>
      <c r="H560" s="14"/>
    </row>
    <row r="561" ht="15.75" customHeight="1">
      <c r="A561" s="14"/>
      <c r="B561" s="17"/>
      <c r="C561" s="14"/>
      <c r="D561" s="14"/>
      <c r="E561" s="14"/>
      <c r="F561" s="14"/>
      <c r="G561" s="14"/>
      <c r="H561" s="14"/>
    </row>
    <row r="562" ht="15.75" customHeight="1">
      <c r="A562" s="14"/>
      <c r="B562" s="17"/>
      <c r="C562" s="14"/>
      <c r="D562" s="14"/>
      <c r="E562" s="14"/>
      <c r="F562" s="14"/>
      <c r="G562" s="14"/>
      <c r="H562" s="14"/>
    </row>
    <row r="563" ht="15.75" customHeight="1">
      <c r="A563" s="14"/>
      <c r="B563" s="17"/>
      <c r="C563" s="14"/>
      <c r="D563" s="14"/>
      <c r="E563" s="14"/>
      <c r="F563" s="14"/>
      <c r="G563" s="14"/>
      <c r="H563" s="14"/>
    </row>
    <row r="564" ht="15.75" customHeight="1">
      <c r="A564" s="14"/>
      <c r="B564" s="17"/>
      <c r="C564" s="14"/>
      <c r="D564" s="14"/>
      <c r="E564" s="14"/>
      <c r="F564" s="14"/>
      <c r="G564" s="14"/>
      <c r="H564" s="14"/>
    </row>
    <row r="565" ht="15.75" customHeight="1">
      <c r="A565" s="14"/>
      <c r="B565" s="17"/>
      <c r="C565" s="14"/>
      <c r="D565" s="14"/>
      <c r="E565" s="14"/>
      <c r="F565" s="14"/>
      <c r="G565" s="14"/>
      <c r="H565" s="14"/>
    </row>
    <row r="566" ht="15.75" customHeight="1">
      <c r="A566" s="14"/>
      <c r="B566" s="17"/>
      <c r="C566" s="14"/>
      <c r="D566" s="14"/>
      <c r="E566" s="14"/>
      <c r="F566" s="14"/>
      <c r="G566" s="14"/>
      <c r="H566" s="14"/>
    </row>
    <row r="567" ht="15.75" customHeight="1">
      <c r="A567" s="14"/>
      <c r="B567" s="17"/>
      <c r="C567" s="14"/>
      <c r="D567" s="14"/>
      <c r="E567" s="14"/>
      <c r="F567" s="14"/>
      <c r="G567" s="14"/>
      <c r="H567" s="14"/>
    </row>
    <row r="568" ht="15.75" customHeight="1">
      <c r="A568" s="14"/>
      <c r="B568" s="17"/>
      <c r="C568" s="14"/>
      <c r="D568" s="14"/>
      <c r="E568" s="14"/>
      <c r="F568" s="14"/>
      <c r="G568" s="14"/>
      <c r="H568" s="14"/>
    </row>
    <row r="569" ht="15.75" customHeight="1">
      <c r="A569" s="14"/>
      <c r="B569" s="17"/>
      <c r="C569" s="14"/>
      <c r="D569" s="14"/>
      <c r="E569" s="14"/>
      <c r="F569" s="14"/>
      <c r="G569" s="14"/>
      <c r="H569" s="14"/>
    </row>
    <row r="570" ht="15.75" customHeight="1">
      <c r="A570" s="14"/>
      <c r="B570" s="17"/>
      <c r="C570" s="14"/>
      <c r="D570" s="14"/>
      <c r="E570" s="14"/>
      <c r="F570" s="14"/>
      <c r="G570" s="14"/>
      <c r="H570" s="14"/>
    </row>
    <row r="571" ht="15.75" customHeight="1">
      <c r="A571" s="14"/>
      <c r="B571" s="17"/>
      <c r="C571" s="14"/>
      <c r="D571" s="14"/>
      <c r="E571" s="14"/>
      <c r="F571" s="14"/>
      <c r="G571" s="14"/>
      <c r="H571" s="14"/>
    </row>
    <row r="572" ht="15.75" customHeight="1">
      <c r="A572" s="14"/>
      <c r="B572" s="17"/>
      <c r="C572" s="14"/>
      <c r="D572" s="14"/>
      <c r="E572" s="14"/>
      <c r="F572" s="14"/>
      <c r="G572" s="14"/>
      <c r="H572" s="14"/>
    </row>
    <row r="573" ht="15.75" customHeight="1">
      <c r="A573" s="14"/>
      <c r="B573" s="17"/>
      <c r="C573" s="14"/>
      <c r="D573" s="14"/>
      <c r="E573" s="14"/>
      <c r="F573" s="14"/>
      <c r="G573" s="14"/>
      <c r="H573" s="14"/>
    </row>
    <row r="574" ht="15.75" customHeight="1">
      <c r="A574" s="14"/>
      <c r="B574" s="17"/>
      <c r="C574" s="14"/>
      <c r="D574" s="14"/>
      <c r="E574" s="14"/>
      <c r="F574" s="14"/>
      <c r="G574" s="14"/>
      <c r="H574" s="14"/>
    </row>
    <row r="575" ht="15.75" customHeight="1">
      <c r="A575" s="14"/>
      <c r="B575" s="17"/>
      <c r="C575" s="14"/>
      <c r="D575" s="14"/>
      <c r="E575" s="14"/>
      <c r="F575" s="14"/>
      <c r="G575" s="14"/>
      <c r="H575" s="14"/>
    </row>
    <row r="576" ht="15.75" customHeight="1">
      <c r="A576" s="14"/>
      <c r="B576" s="17"/>
      <c r="C576" s="14"/>
      <c r="D576" s="14"/>
      <c r="E576" s="14"/>
      <c r="F576" s="14"/>
      <c r="G576" s="14"/>
      <c r="H576" s="14"/>
    </row>
    <row r="577" ht="15.75" customHeight="1">
      <c r="A577" s="14"/>
      <c r="B577" s="17"/>
      <c r="C577" s="14"/>
      <c r="D577" s="14"/>
      <c r="E577" s="14"/>
      <c r="F577" s="14"/>
      <c r="G577" s="14"/>
      <c r="H577" s="14"/>
    </row>
    <row r="578" ht="15.75" customHeight="1">
      <c r="A578" s="14"/>
      <c r="B578" s="17"/>
      <c r="C578" s="14"/>
      <c r="D578" s="14"/>
      <c r="E578" s="14"/>
      <c r="F578" s="14"/>
      <c r="G578" s="14"/>
      <c r="H578" s="14"/>
    </row>
    <row r="579" ht="15.75" customHeight="1">
      <c r="A579" s="14"/>
      <c r="B579" s="17"/>
      <c r="C579" s="14"/>
      <c r="D579" s="14"/>
      <c r="E579" s="14"/>
      <c r="F579" s="14"/>
      <c r="G579" s="14"/>
      <c r="H579" s="14"/>
    </row>
    <row r="580" ht="15.75" customHeight="1">
      <c r="A580" s="14"/>
      <c r="B580" s="17"/>
      <c r="C580" s="14"/>
      <c r="D580" s="14"/>
      <c r="E580" s="14"/>
      <c r="F580" s="14"/>
      <c r="G580" s="14"/>
      <c r="H580" s="14"/>
    </row>
    <row r="581" ht="15.75" customHeight="1">
      <c r="A581" s="14"/>
      <c r="B581" s="17"/>
      <c r="C581" s="14"/>
      <c r="D581" s="14"/>
      <c r="E581" s="14"/>
      <c r="F581" s="14"/>
      <c r="G581" s="14"/>
      <c r="H581" s="14"/>
    </row>
    <row r="582" ht="15.75" customHeight="1">
      <c r="A582" s="14"/>
      <c r="B582" s="17"/>
      <c r="C582" s="14"/>
      <c r="D582" s="14"/>
      <c r="E582" s="14"/>
      <c r="F582" s="14"/>
      <c r="G582" s="14"/>
      <c r="H582" s="14"/>
    </row>
    <row r="583" ht="15.75" customHeight="1">
      <c r="A583" s="14"/>
      <c r="B583" s="17"/>
      <c r="C583" s="14"/>
      <c r="D583" s="14"/>
      <c r="E583" s="14"/>
      <c r="F583" s="14"/>
      <c r="G583" s="14"/>
      <c r="H583" s="14"/>
    </row>
    <row r="584" ht="15.75" customHeight="1">
      <c r="A584" s="14"/>
      <c r="B584" s="17"/>
      <c r="C584" s="14"/>
      <c r="D584" s="14"/>
      <c r="E584" s="14"/>
      <c r="F584" s="14"/>
      <c r="G584" s="14"/>
      <c r="H584" s="14"/>
    </row>
    <row r="585" ht="15.75" customHeight="1">
      <c r="A585" s="14"/>
      <c r="B585" s="17"/>
      <c r="C585" s="14"/>
      <c r="D585" s="14"/>
      <c r="E585" s="14"/>
      <c r="F585" s="14"/>
      <c r="G585" s="14"/>
      <c r="H585" s="14"/>
    </row>
    <row r="586" ht="15.75" customHeight="1">
      <c r="A586" s="14"/>
      <c r="B586" s="17"/>
      <c r="C586" s="14"/>
      <c r="D586" s="14"/>
      <c r="E586" s="14"/>
      <c r="F586" s="14"/>
      <c r="G586" s="14"/>
      <c r="H586" s="14"/>
    </row>
    <row r="587" ht="15.75" customHeight="1">
      <c r="A587" s="14"/>
      <c r="B587" s="17"/>
      <c r="C587" s="14"/>
      <c r="D587" s="14"/>
      <c r="E587" s="14"/>
      <c r="F587" s="14"/>
      <c r="G587" s="14"/>
      <c r="H587" s="14"/>
    </row>
    <row r="588" ht="15.75" customHeight="1">
      <c r="A588" s="14"/>
      <c r="B588" s="17"/>
      <c r="C588" s="14"/>
      <c r="D588" s="14"/>
      <c r="E588" s="14"/>
      <c r="F588" s="14"/>
      <c r="G588" s="14"/>
      <c r="H588" s="14"/>
    </row>
    <row r="589" ht="15.75" customHeight="1">
      <c r="A589" s="14"/>
      <c r="B589" s="17"/>
      <c r="C589" s="14"/>
      <c r="D589" s="14"/>
      <c r="E589" s="14"/>
      <c r="F589" s="14"/>
      <c r="G589" s="14"/>
      <c r="H589" s="14"/>
    </row>
    <row r="590" ht="15.75" customHeight="1">
      <c r="A590" s="14"/>
      <c r="B590" s="17"/>
      <c r="C590" s="14"/>
      <c r="D590" s="14"/>
      <c r="E590" s="14"/>
      <c r="F590" s="14"/>
      <c r="G590" s="14"/>
      <c r="H590" s="14"/>
    </row>
    <row r="591" ht="15.75" customHeight="1">
      <c r="A591" s="14"/>
      <c r="B591" s="17"/>
      <c r="C591" s="14"/>
      <c r="D591" s="14"/>
      <c r="E591" s="14"/>
      <c r="F591" s="14"/>
      <c r="G591" s="14"/>
      <c r="H591" s="14"/>
    </row>
    <row r="592" ht="15.75" customHeight="1">
      <c r="A592" s="14"/>
      <c r="B592" s="17"/>
      <c r="C592" s="14"/>
      <c r="D592" s="14"/>
      <c r="E592" s="14"/>
      <c r="F592" s="14"/>
      <c r="G592" s="14"/>
      <c r="H592" s="14"/>
    </row>
    <row r="593" ht="15.75" customHeight="1">
      <c r="A593" s="14"/>
      <c r="B593" s="17"/>
      <c r="C593" s="14"/>
      <c r="D593" s="14"/>
      <c r="E593" s="14"/>
      <c r="F593" s="14"/>
      <c r="G593" s="14"/>
      <c r="H593" s="14"/>
    </row>
    <row r="594" ht="15.75" customHeight="1">
      <c r="A594" s="14"/>
      <c r="B594" s="17"/>
      <c r="C594" s="14"/>
      <c r="D594" s="14"/>
      <c r="E594" s="14"/>
      <c r="F594" s="14"/>
      <c r="G594" s="14"/>
      <c r="H594" s="14"/>
    </row>
    <row r="595" ht="15.75" customHeight="1">
      <c r="A595" s="14"/>
      <c r="B595" s="17"/>
      <c r="C595" s="14"/>
      <c r="D595" s="14"/>
      <c r="E595" s="14"/>
      <c r="F595" s="14"/>
      <c r="G595" s="14"/>
      <c r="H595" s="14"/>
    </row>
    <row r="596" ht="15.75" customHeight="1">
      <c r="A596" s="14"/>
      <c r="B596" s="17"/>
      <c r="C596" s="14"/>
      <c r="D596" s="14"/>
      <c r="E596" s="14"/>
      <c r="F596" s="14"/>
      <c r="G596" s="14"/>
      <c r="H596" s="14"/>
    </row>
    <row r="597" ht="15.75" customHeight="1">
      <c r="A597" s="14"/>
      <c r="B597" s="17"/>
      <c r="C597" s="14"/>
      <c r="D597" s="14"/>
      <c r="E597" s="14"/>
      <c r="F597" s="14"/>
      <c r="G597" s="14"/>
      <c r="H597" s="14"/>
    </row>
    <row r="598" ht="15.75" customHeight="1">
      <c r="A598" s="14"/>
      <c r="B598" s="17"/>
      <c r="C598" s="14"/>
      <c r="D598" s="14"/>
      <c r="E598" s="14"/>
      <c r="F598" s="14"/>
      <c r="G598" s="14"/>
      <c r="H598" s="14"/>
    </row>
    <row r="599" ht="15.75" customHeight="1">
      <c r="A599" s="14"/>
      <c r="B599" s="17"/>
      <c r="C599" s="14"/>
      <c r="D599" s="14"/>
      <c r="E599" s="14"/>
      <c r="F599" s="14"/>
      <c r="G599" s="14"/>
      <c r="H599" s="14"/>
    </row>
    <row r="600" ht="15.75" customHeight="1">
      <c r="A600" s="14"/>
      <c r="B600" s="17"/>
      <c r="C600" s="14"/>
      <c r="D600" s="14"/>
      <c r="E600" s="14"/>
      <c r="F600" s="14"/>
      <c r="G600" s="14"/>
      <c r="H600" s="14"/>
    </row>
    <row r="601" ht="15.75" customHeight="1">
      <c r="A601" s="14"/>
      <c r="B601" s="17"/>
      <c r="C601" s="14"/>
      <c r="D601" s="14"/>
      <c r="E601" s="14"/>
      <c r="F601" s="14"/>
      <c r="G601" s="14"/>
      <c r="H601" s="14"/>
    </row>
    <row r="602" ht="15.75" customHeight="1">
      <c r="A602" s="14"/>
      <c r="B602" s="17"/>
      <c r="C602" s="14"/>
      <c r="D602" s="14"/>
      <c r="E602" s="14"/>
      <c r="F602" s="14"/>
      <c r="G602" s="14"/>
      <c r="H602" s="14"/>
    </row>
    <row r="603" ht="15.75" customHeight="1">
      <c r="A603" s="14"/>
      <c r="B603" s="17"/>
      <c r="C603" s="14"/>
      <c r="D603" s="14"/>
      <c r="E603" s="14"/>
      <c r="F603" s="14"/>
      <c r="G603" s="14"/>
      <c r="H603" s="14"/>
    </row>
    <row r="604" ht="15.75" customHeight="1">
      <c r="A604" s="14"/>
      <c r="B604" s="17"/>
      <c r="C604" s="14"/>
      <c r="D604" s="14"/>
      <c r="E604" s="14"/>
      <c r="F604" s="14"/>
      <c r="G604" s="14"/>
      <c r="H604" s="14"/>
    </row>
    <row r="605" ht="15.75" customHeight="1">
      <c r="A605" s="14"/>
      <c r="B605" s="17"/>
      <c r="C605" s="14"/>
      <c r="D605" s="14"/>
      <c r="E605" s="14"/>
      <c r="F605" s="14"/>
      <c r="G605" s="14"/>
      <c r="H605" s="14"/>
    </row>
    <row r="606" ht="15.75" customHeight="1">
      <c r="A606" s="14"/>
      <c r="B606" s="17"/>
      <c r="C606" s="14"/>
      <c r="D606" s="14"/>
      <c r="E606" s="14"/>
      <c r="F606" s="14"/>
      <c r="G606" s="14"/>
      <c r="H606" s="14"/>
    </row>
    <row r="607" ht="15.75" customHeight="1">
      <c r="A607" s="14"/>
      <c r="B607" s="17"/>
      <c r="C607" s="14"/>
      <c r="D607" s="14"/>
      <c r="E607" s="14"/>
      <c r="F607" s="14"/>
      <c r="G607" s="14"/>
      <c r="H607" s="14"/>
    </row>
    <row r="608" ht="15.75" customHeight="1">
      <c r="A608" s="14"/>
      <c r="B608" s="17"/>
      <c r="C608" s="14"/>
      <c r="D608" s="14"/>
      <c r="E608" s="14"/>
      <c r="F608" s="14"/>
      <c r="G608" s="14"/>
      <c r="H608" s="14"/>
    </row>
    <row r="609" ht="15.75" customHeight="1">
      <c r="A609" s="14"/>
      <c r="B609" s="17"/>
      <c r="C609" s="14"/>
      <c r="D609" s="14"/>
      <c r="E609" s="14"/>
      <c r="F609" s="14"/>
      <c r="G609" s="14"/>
      <c r="H609" s="14"/>
    </row>
    <row r="610" ht="15.75" customHeight="1">
      <c r="A610" s="14"/>
      <c r="B610" s="17"/>
      <c r="C610" s="14"/>
      <c r="D610" s="14"/>
      <c r="E610" s="14"/>
      <c r="F610" s="14"/>
      <c r="G610" s="14"/>
      <c r="H610" s="14"/>
    </row>
    <row r="611" ht="15.75" customHeight="1">
      <c r="A611" s="14"/>
      <c r="B611" s="17"/>
      <c r="C611" s="14"/>
      <c r="D611" s="14"/>
      <c r="E611" s="14"/>
      <c r="F611" s="14"/>
      <c r="G611" s="14"/>
      <c r="H611" s="14"/>
    </row>
    <row r="612" ht="15.75" customHeight="1">
      <c r="A612" s="14"/>
      <c r="B612" s="17"/>
      <c r="C612" s="14"/>
      <c r="D612" s="14"/>
      <c r="E612" s="14"/>
      <c r="F612" s="14"/>
      <c r="G612" s="14"/>
      <c r="H612" s="14"/>
    </row>
    <row r="613" ht="15.75" customHeight="1">
      <c r="A613" s="14"/>
      <c r="B613" s="17"/>
      <c r="C613" s="14"/>
      <c r="D613" s="14"/>
      <c r="E613" s="14"/>
      <c r="F613" s="14"/>
      <c r="G613" s="14"/>
      <c r="H613" s="14"/>
    </row>
    <row r="614" ht="15.75" customHeight="1">
      <c r="A614" s="14"/>
      <c r="B614" s="17"/>
      <c r="C614" s="14"/>
      <c r="D614" s="14"/>
      <c r="E614" s="14"/>
      <c r="F614" s="14"/>
      <c r="G614" s="14"/>
      <c r="H614" s="14"/>
    </row>
    <row r="615" ht="15.75" customHeight="1">
      <c r="A615" s="14"/>
      <c r="B615" s="17"/>
      <c r="C615" s="14"/>
      <c r="D615" s="14"/>
      <c r="E615" s="14"/>
      <c r="F615" s="14"/>
      <c r="G615" s="14"/>
      <c r="H615" s="14"/>
    </row>
    <row r="616" ht="15.75" customHeight="1">
      <c r="A616" s="14"/>
      <c r="B616" s="17"/>
      <c r="C616" s="14"/>
      <c r="D616" s="14"/>
      <c r="E616" s="14"/>
      <c r="F616" s="14"/>
      <c r="G616" s="14"/>
      <c r="H616" s="14"/>
    </row>
    <row r="617" ht="15.75" customHeight="1">
      <c r="A617" s="14"/>
      <c r="B617" s="17"/>
      <c r="C617" s="14"/>
      <c r="D617" s="14"/>
      <c r="E617" s="14"/>
      <c r="F617" s="14"/>
      <c r="G617" s="14"/>
      <c r="H617" s="14"/>
    </row>
    <row r="618" ht="15.75" customHeight="1">
      <c r="A618" s="14"/>
      <c r="B618" s="17"/>
      <c r="C618" s="14"/>
      <c r="D618" s="14"/>
      <c r="E618" s="14"/>
      <c r="F618" s="14"/>
      <c r="G618" s="14"/>
      <c r="H618" s="14"/>
    </row>
    <row r="619" ht="15.75" customHeight="1">
      <c r="A619" s="14"/>
      <c r="B619" s="17"/>
      <c r="C619" s="14"/>
      <c r="D619" s="14"/>
      <c r="E619" s="14"/>
      <c r="F619" s="14"/>
      <c r="G619" s="14"/>
      <c r="H619" s="14"/>
    </row>
    <row r="620" ht="15.75" customHeight="1">
      <c r="A620" s="14"/>
      <c r="B620" s="17"/>
      <c r="C620" s="14"/>
      <c r="D620" s="14"/>
      <c r="E620" s="14"/>
      <c r="F620" s="14"/>
      <c r="G620" s="14"/>
      <c r="H620" s="14"/>
    </row>
    <row r="621" ht="15.75" customHeight="1">
      <c r="A621" s="14"/>
      <c r="B621" s="17"/>
      <c r="C621" s="14"/>
      <c r="D621" s="14"/>
      <c r="E621" s="14"/>
      <c r="F621" s="14"/>
      <c r="G621" s="14"/>
      <c r="H621" s="14"/>
    </row>
    <row r="622" ht="15.75" customHeight="1">
      <c r="A622" s="14"/>
      <c r="B622" s="17"/>
      <c r="C622" s="14"/>
      <c r="D622" s="14"/>
      <c r="E622" s="14"/>
      <c r="F622" s="14"/>
      <c r="G622" s="14"/>
      <c r="H622" s="14"/>
    </row>
    <row r="623" ht="15.75" customHeight="1">
      <c r="A623" s="14"/>
      <c r="B623" s="17"/>
      <c r="C623" s="14"/>
      <c r="D623" s="14"/>
      <c r="E623" s="14"/>
      <c r="F623" s="14"/>
      <c r="G623" s="14"/>
      <c r="H623" s="14"/>
    </row>
    <row r="624" ht="15.75" customHeight="1">
      <c r="A624" s="14"/>
      <c r="B624" s="17"/>
      <c r="C624" s="14"/>
      <c r="D624" s="14"/>
      <c r="E624" s="14"/>
      <c r="F624" s="14"/>
      <c r="G624" s="14"/>
      <c r="H624" s="14"/>
    </row>
    <row r="625" ht="15.75" customHeight="1">
      <c r="A625" s="14"/>
      <c r="B625" s="17"/>
      <c r="C625" s="14"/>
      <c r="D625" s="14"/>
      <c r="E625" s="14"/>
      <c r="F625" s="14"/>
      <c r="G625" s="14"/>
      <c r="H625" s="14"/>
    </row>
    <row r="626" ht="15.75" customHeight="1">
      <c r="A626" s="14"/>
      <c r="B626" s="17"/>
      <c r="C626" s="14"/>
      <c r="D626" s="14"/>
      <c r="E626" s="14"/>
      <c r="F626" s="14"/>
      <c r="G626" s="14"/>
      <c r="H626" s="14"/>
    </row>
    <row r="627" ht="15.75" customHeight="1">
      <c r="A627" s="14"/>
      <c r="B627" s="17"/>
      <c r="C627" s="14"/>
      <c r="D627" s="14"/>
      <c r="E627" s="14"/>
      <c r="F627" s="14"/>
      <c r="G627" s="14"/>
      <c r="H627" s="14"/>
    </row>
    <row r="628" ht="15.75" customHeight="1">
      <c r="A628" s="14"/>
      <c r="B628" s="17"/>
      <c r="C628" s="14"/>
      <c r="D628" s="14"/>
      <c r="E628" s="14"/>
      <c r="F628" s="14"/>
      <c r="G628" s="14"/>
      <c r="H628" s="14"/>
    </row>
    <row r="629" ht="15.75" customHeight="1">
      <c r="A629" s="14"/>
      <c r="B629" s="17"/>
      <c r="C629" s="14"/>
      <c r="D629" s="14"/>
      <c r="E629" s="14"/>
      <c r="F629" s="14"/>
      <c r="G629" s="14"/>
      <c r="H629" s="14"/>
    </row>
    <row r="630" ht="15.75" customHeight="1">
      <c r="A630" s="14"/>
      <c r="B630" s="17"/>
      <c r="C630" s="14"/>
      <c r="D630" s="14"/>
      <c r="E630" s="14"/>
      <c r="F630" s="14"/>
      <c r="G630" s="14"/>
      <c r="H630" s="14"/>
    </row>
    <row r="631" ht="15.75" customHeight="1">
      <c r="A631" s="14"/>
      <c r="B631" s="17"/>
      <c r="C631" s="14"/>
      <c r="D631" s="14"/>
      <c r="E631" s="14"/>
      <c r="F631" s="14"/>
      <c r="G631" s="14"/>
      <c r="H631" s="14"/>
    </row>
    <row r="632" ht="15.75" customHeight="1">
      <c r="A632" s="14"/>
      <c r="B632" s="17"/>
      <c r="C632" s="14"/>
      <c r="D632" s="14"/>
      <c r="E632" s="14"/>
      <c r="F632" s="14"/>
      <c r="G632" s="14"/>
      <c r="H632" s="14"/>
    </row>
    <row r="633" ht="15.75" customHeight="1">
      <c r="A633" s="14"/>
      <c r="B633" s="17"/>
      <c r="C633" s="14"/>
      <c r="D633" s="14"/>
      <c r="E633" s="14"/>
      <c r="F633" s="14"/>
      <c r="G633" s="14"/>
      <c r="H633" s="14"/>
    </row>
    <row r="634" ht="15.75" customHeight="1">
      <c r="A634" s="14"/>
      <c r="B634" s="17"/>
      <c r="C634" s="14"/>
      <c r="D634" s="14"/>
      <c r="E634" s="14"/>
      <c r="F634" s="14"/>
      <c r="G634" s="14"/>
      <c r="H634" s="14"/>
    </row>
    <row r="635" ht="15.75" customHeight="1">
      <c r="A635" s="14"/>
      <c r="B635" s="17"/>
      <c r="C635" s="14"/>
      <c r="D635" s="14"/>
      <c r="E635" s="14"/>
      <c r="F635" s="14"/>
      <c r="G635" s="14"/>
      <c r="H635" s="14"/>
    </row>
    <row r="636" ht="15.75" customHeight="1">
      <c r="A636" s="14"/>
      <c r="B636" s="17"/>
      <c r="C636" s="14"/>
      <c r="D636" s="14"/>
      <c r="E636" s="14"/>
      <c r="F636" s="14"/>
      <c r="G636" s="14"/>
      <c r="H636" s="14"/>
    </row>
    <row r="637" ht="15.75" customHeight="1">
      <c r="A637" s="14"/>
      <c r="B637" s="17"/>
      <c r="C637" s="14"/>
      <c r="D637" s="14"/>
      <c r="E637" s="14"/>
      <c r="F637" s="14"/>
      <c r="G637" s="14"/>
      <c r="H637" s="14"/>
    </row>
    <row r="638" ht="15.75" customHeight="1">
      <c r="A638" s="14"/>
      <c r="B638" s="17"/>
      <c r="C638" s="14"/>
      <c r="D638" s="14"/>
      <c r="E638" s="14"/>
      <c r="F638" s="14"/>
      <c r="G638" s="14"/>
      <c r="H638" s="14"/>
    </row>
    <row r="639" ht="15.75" customHeight="1">
      <c r="A639" s="14"/>
      <c r="B639" s="17"/>
      <c r="C639" s="14"/>
      <c r="D639" s="14"/>
      <c r="E639" s="14"/>
      <c r="F639" s="14"/>
      <c r="G639" s="14"/>
      <c r="H639" s="14"/>
    </row>
    <row r="640" ht="15.75" customHeight="1">
      <c r="A640" s="14"/>
      <c r="B640" s="17"/>
      <c r="C640" s="14"/>
      <c r="D640" s="14"/>
      <c r="E640" s="14"/>
      <c r="F640" s="14"/>
      <c r="G640" s="14"/>
      <c r="H640" s="14"/>
    </row>
    <row r="641" ht="15.75" customHeight="1">
      <c r="A641" s="14"/>
      <c r="B641" s="17"/>
      <c r="C641" s="14"/>
      <c r="D641" s="14"/>
      <c r="E641" s="14"/>
      <c r="F641" s="14"/>
      <c r="G641" s="14"/>
      <c r="H641" s="14"/>
    </row>
    <row r="642" ht="15.75" customHeight="1">
      <c r="A642" s="14"/>
      <c r="B642" s="17"/>
      <c r="C642" s="14"/>
      <c r="D642" s="14"/>
      <c r="E642" s="14"/>
      <c r="F642" s="14"/>
      <c r="G642" s="14"/>
      <c r="H642" s="14"/>
    </row>
    <row r="643" ht="15.75" customHeight="1">
      <c r="A643" s="14"/>
      <c r="B643" s="17"/>
      <c r="C643" s="14"/>
      <c r="D643" s="14"/>
      <c r="E643" s="14"/>
      <c r="F643" s="14"/>
      <c r="G643" s="14"/>
      <c r="H643" s="14"/>
    </row>
    <row r="644" ht="15.75" customHeight="1">
      <c r="A644" s="14"/>
      <c r="B644" s="17"/>
      <c r="C644" s="14"/>
      <c r="D644" s="14"/>
      <c r="E644" s="14"/>
      <c r="F644" s="14"/>
      <c r="G644" s="14"/>
      <c r="H644" s="14"/>
    </row>
    <row r="645" ht="15.75" customHeight="1">
      <c r="A645" s="14"/>
      <c r="B645" s="17"/>
      <c r="C645" s="14"/>
      <c r="D645" s="14"/>
      <c r="E645" s="14"/>
      <c r="F645" s="14"/>
      <c r="G645" s="14"/>
      <c r="H645" s="14"/>
    </row>
    <row r="646" ht="15.75" customHeight="1">
      <c r="A646" s="14"/>
      <c r="B646" s="17"/>
      <c r="C646" s="14"/>
      <c r="D646" s="14"/>
      <c r="E646" s="14"/>
      <c r="F646" s="14"/>
      <c r="G646" s="14"/>
      <c r="H646" s="14"/>
    </row>
    <row r="647" ht="15.75" customHeight="1">
      <c r="A647" s="14"/>
      <c r="B647" s="17"/>
      <c r="C647" s="14"/>
      <c r="D647" s="14"/>
      <c r="E647" s="14"/>
      <c r="F647" s="14"/>
      <c r="G647" s="14"/>
      <c r="H647" s="14"/>
    </row>
    <row r="648" ht="15.75" customHeight="1">
      <c r="A648" s="14"/>
      <c r="B648" s="17"/>
      <c r="C648" s="14"/>
      <c r="D648" s="14"/>
      <c r="E648" s="14"/>
      <c r="F648" s="14"/>
      <c r="G648" s="14"/>
      <c r="H648" s="14"/>
    </row>
    <row r="649" ht="15.75" customHeight="1">
      <c r="A649" s="14"/>
      <c r="B649" s="17"/>
      <c r="C649" s="14"/>
      <c r="D649" s="14"/>
      <c r="E649" s="14"/>
      <c r="F649" s="14"/>
      <c r="G649" s="14"/>
      <c r="H649" s="14"/>
    </row>
    <row r="650" ht="15.75" customHeight="1">
      <c r="A650" s="14"/>
      <c r="B650" s="17"/>
      <c r="C650" s="14"/>
      <c r="D650" s="14"/>
      <c r="E650" s="14"/>
      <c r="F650" s="14"/>
      <c r="G650" s="14"/>
      <c r="H650" s="14"/>
    </row>
    <row r="651" ht="15.75" customHeight="1">
      <c r="A651" s="14"/>
      <c r="B651" s="17"/>
      <c r="C651" s="14"/>
      <c r="D651" s="14"/>
      <c r="E651" s="14"/>
      <c r="F651" s="14"/>
      <c r="G651" s="14"/>
      <c r="H651" s="14"/>
    </row>
    <row r="652" ht="15.75" customHeight="1">
      <c r="A652" s="14"/>
      <c r="B652" s="17"/>
      <c r="C652" s="14"/>
      <c r="D652" s="14"/>
      <c r="E652" s="14"/>
      <c r="F652" s="14"/>
      <c r="G652" s="14"/>
      <c r="H652" s="14"/>
    </row>
    <row r="653" ht="15.75" customHeight="1">
      <c r="A653" s="14"/>
      <c r="B653" s="17"/>
      <c r="C653" s="14"/>
      <c r="D653" s="14"/>
      <c r="E653" s="14"/>
      <c r="F653" s="14"/>
      <c r="G653" s="14"/>
      <c r="H653" s="14"/>
    </row>
    <row r="654" ht="15.75" customHeight="1">
      <c r="A654" s="14"/>
      <c r="B654" s="17"/>
      <c r="C654" s="14"/>
      <c r="D654" s="14"/>
      <c r="E654" s="14"/>
      <c r="F654" s="14"/>
      <c r="G654" s="14"/>
      <c r="H654" s="14"/>
    </row>
    <row r="655" ht="15.75" customHeight="1">
      <c r="A655" s="14"/>
      <c r="B655" s="17"/>
      <c r="C655" s="14"/>
      <c r="D655" s="14"/>
      <c r="E655" s="14"/>
      <c r="F655" s="14"/>
      <c r="G655" s="14"/>
      <c r="H655" s="14"/>
    </row>
    <row r="656" ht="15.75" customHeight="1">
      <c r="A656" s="14"/>
      <c r="B656" s="17"/>
      <c r="C656" s="14"/>
      <c r="D656" s="14"/>
      <c r="E656" s="14"/>
      <c r="F656" s="14"/>
      <c r="G656" s="14"/>
      <c r="H656" s="14"/>
    </row>
    <row r="657" ht="15.75" customHeight="1">
      <c r="A657" s="14"/>
      <c r="B657" s="17"/>
      <c r="C657" s="14"/>
      <c r="D657" s="14"/>
      <c r="E657" s="14"/>
      <c r="F657" s="14"/>
      <c r="G657" s="14"/>
      <c r="H657" s="14"/>
    </row>
    <row r="658" ht="15.75" customHeight="1">
      <c r="A658" s="14"/>
      <c r="B658" s="17"/>
      <c r="C658" s="14"/>
      <c r="D658" s="14"/>
      <c r="E658" s="14"/>
      <c r="F658" s="14"/>
      <c r="G658" s="14"/>
      <c r="H658" s="14"/>
    </row>
    <row r="659" ht="15.75" customHeight="1">
      <c r="A659" s="14"/>
      <c r="B659" s="17"/>
      <c r="C659" s="14"/>
      <c r="D659" s="14"/>
      <c r="E659" s="14"/>
      <c r="F659" s="14"/>
      <c r="G659" s="14"/>
      <c r="H659" s="14"/>
    </row>
    <row r="660" ht="15.75" customHeight="1">
      <c r="A660" s="14"/>
      <c r="B660" s="17"/>
      <c r="C660" s="14"/>
      <c r="D660" s="14"/>
      <c r="E660" s="14"/>
      <c r="F660" s="14"/>
      <c r="G660" s="14"/>
      <c r="H660" s="14"/>
    </row>
    <row r="661" ht="15.75" customHeight="1">
      <c r="A661" s="14"/>
      <c r="B661" s="17"/>
      <c r="C661" s="14"/>
      <c r="D661" s="14"/>
      <c r="E661" s="14"/>
      <c r="F661" s="14"/>
      <c r="G661" s="14"/>
      <c r="H661" s="14"/>
    </row>
    <row r="662" ht="15.75" customHeight="1">
      <c r="A662" s="14"/>
      <c r="B662" s="17"/>
      <c r="C662" s="14"/>
      <c r="D662" s="14"/>
      <c r="E662" s="14"/>
      <c r="F662" s="14"/>
      <c r="G662" s="14"/>
      <c r="H662" s="14"/>
    </row>
    <row r="663" ht="15.75" customHeight="1">
      <c r="A663" s="14"/>
      <c r="B663" s="17"/>
      <c r="C663" s="14"/>
      <c r="D663" s="14"/>
      <c r="E663" s="14"/>
      <c r="F663" s="14"/>
      <c r="G663" s="14"/>
      <c r="H663" s="14"/>
    </row>
    <row r="664" ht="15.75" customHeight="1">
      <c r="A664" s="14"/>
      <c r="B664" s="17"/>
      <c r="C664" s="14"/>
      <c r="D664" s="14"/>
      <c r="E664" s="14"/>
      <c r="F664" s="14"/>
      <c r="G664" s="14"/>
      <c r="H664" s="14"/>
    </row>
    <row r="665" ht="15.75" customHeight="1">
      <c r="A665" s="14"/>
      <c r="B665" s="17"/>
      <c r="C665" s="14"/>
      <c r="D665" s="14"/>
      <c r="E665" s="14"/>
      <c r="F665" s="14"/>
      <c r="G665" s="14"/>
      <c r="H665" s="14"/>
    </row>
    <row r="666" ht="15.75" customHeight="1">
      <c r="A666" s="14"/>
      <c r="B666" s="17"/>
      <c r="C666" s="14"/>
      <c r="D666" s="14"/>
      <c r="E666" s="14"/>
      <c r="F666" s="14"/>
      <c r="G666" s="14"/>
      <c r="H666" s="14"/>
    </row>
    <row r="667" ht="15.75" customHeight="1">
      <c r="A667" s="14"/>
      <c r="B667" s="17"/>
      <c r="C667" s="14"/>
      <c r="D667" s="14"/>
      <c r="E667" s="14"/>
      <c r="F667" s="14"/>
      <c r="G667" s="14"/>
      <c r="H667" s="14"/>
    </row>
    <row r="668" ht="15.75" customHeight="1">
      <c r="A668" s="14"/>
      <c r="B668" s="17"/>
      <c r="C668" s="14"/>
      <c r="D668" s="14"/>
      <c r="E668" s="14"/>
      <c r="F668" s="14"/>
      <c r="G668" s="14"/>
      <c r="H668" s="14"/>
    </row>
    <row r="669" ht="15.75" customHeight="1">
      <c r="A669" s="14"/>
      <c r="B669" s="17"/>
      <c r="C669" s="14"/>
      <c r="D669" s="14"/>
      <c r="E669" s="14"/>
      <c r="F669" s="14"/>
      <c r="G669" s="14"/>
      <c r="H669" s="14"/>
    </row>
    <row r="670" ht="15.75" customHeight="1">
      <c r="A670" s="14"/>
      <c r="B670" s="17"/>
      <c r="C670" s="14"/>
      <c r="D670" s="14"/>
      <c r="E670" s="14"/>
      <c r="F670" s="14"/>
      <c r="G670" s="14"/>
      <c r="H670" s="14"/>
    </row>
    <row r="671" ht="15.75" customHeight="1">
      <c r="A671" s="14"/>
      <c r="B671" s="17"/>
      <c r="C671" s="14"/>
      <c r="D671" s="14"/>
      <c r="E671" s="14"/>
      <c r="F671" s="14"/>
      <c r="G671" s="14"/>
      <c r="H671" s="14"/>
    </row>
    <row r="672" ht="15.75" customHeight="1">
      <c r="A672" s="14"/>
      <c r="B672" s="17"/>
      <c r="C672" s="14"/>
      <c r="D672" s="14"/>
      <c r="E672" s="14"/>
      <c r="F672" s="14"/>
      <c r="G672" s="14"/>
      <c r="H672" s="14"/>
    </row>
    <row r="673" ht="15.75" customHeight="1">
      <c r="A673" s="14"/>
      <c r="B673" s="17"/>
      <c r="C673" s="14"/>
      <c r="D673" s="14"/>
      <c r="E673" s="14"/>
      <c r="F673" s="14"/>
      <c r="G673" s="14"/>
      <c r="H673" s="14"/>
    </row>
    <row r="674" ht="15.75" customHeight="1">
      <c r="A674" s="14"/>
      <c r="B674" s="17"/>
      <c r="C674" s="14"/>
      <c r="D674" s="14"/>
      <c r="E674" s="14"/>
      <c r="F674" s="14"/>
      <c r="G674" s="14"/>
      <c r="H674" s="14"/>
    </row>
    <row r="675" ht="15.75" customHeight="1">
      <c r="A675" s="14"/>
      <c r="B675" s="17"/>
      <c r="C675" s="14"/>
      <c r="D675" s="14"/>
      <c r="E675" s="14"/>
      <c r="F675" s="14"/>
      <c r="G675" s="14"/>
      <c r="H675" s="14"/>
    </row>
    <row r="676" ht="15.75" customHeight="1">
      <c r="A676" s="14"/>
      <c r="B676" s="17"/>
      <c r="C676" s="14"/>
      <c r="D676" s="14"/>
      <c r="E676" s="14"/>
      <c r="F676" s="14"/>
      <c r="G676" s="14"/>
      <c r="H676" s="14"/>
    </row>
    <row r="677" ht="15.75" customHeight="1">
      <c r="A677" s="14"/>
      <c r="B677" s="17"/>
      <c r="C677" s="14"/>
      <c r="D677" s="14"/>
      <c r="E677" s="14"/>
      <c r="F677" s="14"/>
      <c r="G677" s="14"/>
      <c r="H677" s="14"/>
    </row>
    <row r="678" ht="15.75" customHeight="1">
      <c r="A678" s="14"/>
      <c r="B678" s="17"/>
      <c r="C678" s="14"/>
      <c r="D678" s="14"/>
      <c r="E678" s="14"/>
      <c r="F678" s="14"/>
      <c r="G678" s="14"/>
      <c r="H678" s="14"/>
    </row>
    <row r="679" ht="15.75" customHeight="1">
      <c r="A679" s="14"/>
      <c r="B679" s="17"/>
      <c r="C679" s="14"/>
      <c r="D679" s="14"/>
      <c r="E679" s="14"/>
      <c r="F679" s="14"/>
      <c r="G679" s="14"/>
      <c r="H679" s="14"/>
    </row>
    <row r="680" ht="15.75" customHeight="1">
      <c r="A680" s="14"/>
      <c r="B680" s="17"/>
      <c r="C680" s="14"/>
      <c r="D680" s="14"/>
      <c r="E680" s="14"/>
      <c r="F680" s="14"/>
      <c r="G680" s="14"/>
      <c r="H680" s="14"/>
    </row>
    <row r="681" ht="15.75" customHeight="1">
      <c r="A681" s="14"/>
      <c r="B681" s="17"/>
      <c r="C681" s="14"/>
      <c r="D681" s="14"/>
      <c r="E681" s="14"/>
      <c r="F681" s="14"/>
      <c r="G681" s="14"/>
      <c r="H681" s="14"/>
    </row>
    <row r="682" ht="15.75" customHeight="1">
      <c r="A682" s="14"/>
      <c r="B682" s="17"/>
      <c r="C682" s="14"/>
      <c r="D682" s="14"/>
      <c r="E682" s="14"/>
      <c r="F682" s="14"/>
      <c r="G682" s="14"/>
      <c r="H682" s="14"/>
    </row>
    <row r="683" ht="15.75" customHeight="1">
      <c r="A683" s="14"/>
      <c r="B683" s="17"/>
      <c r="C683" s="14"/>
      <c r="D683" s="14"/>
      <c r="E683" s="14"/>
      <c r="F683" s="14"/>
      <c r="G683" s="14"/>
      <c r="H683" s="14"/>
    </row>
    <row r="684" ht="15.75" customHeight="1">
      <c r="A684" s="14"/>
      <c r="B684" s="17"/>
      <c r="C684" s="14"/>
      <c r="D684" s="14"/>
      <c r="E684" s="14"/>
      <c r="F684" s="14"/>
      <c r="G684" s="14"/>
      <c r="H684" s="14"/>
    </row>
    <row r="685" ht="15.75" customHeight="1">
      <c r="A685" s="14"/>
      <c r="B685" s="17"/>
      <c r="C685" s="14"/>
      <c r="D685" s="14"/>
      <c r="E685" s="14"/>
      <c r="F685" s="14"/>
      <c r="G685" s="14"/>
      <c r="H685" s="14"/>
    </row>
    <row r="686" ht="15.75" customHeight="1">
      <c r="A686" s="14"/>
      <c r="B686" s="17"/>
      <c r="C686" s="14"/>
      <c r="D686" s="14"/>
      <c r="E686" s="14"/>
      <c r="F686" s="14"/>
      <c r="G686" s="14"/>
      <c r="H686" s="14"/>
    </row>
    <row r="687" ht="15.75" customHeight="1">
      <c r="A687" s="14"/>
      <c r="B687" s="17"/>
      <c r="C687" s="14"/>
      <c r="D687" s="14"/>
      <c r="E687" s="14"/>
      <c r="F687" s="14"/>
      <c r="G687" s="14"/>
      <c r="H687" s="14"/>
    </row>
    <row r="688" ht="15.75" customHeight="1">
      <c r="A688" s="14"/>
      <c r="B688" s="17"/>
      <c r="C688" s="14"/>
      <c r="D688" s="14"/>
      <c r="E688" s="14"/>
      <c r="F688" s="14"/>
      <c r="G688" s="14"/>
      <c r="H688" s="14"/>
    </row>
    <row r="689" ht="15.75" customHeight="1">
      <c r="A689" s="14"/>
      <c r="B689" s="17"/>
      <c r="C689" s="14"/>
      <c r="D689" s="14"/>
      <c r="E689" s="14"/>
      <c r="F689" s="14"/>
      <c r="G689" s="14"/>
      <c r="H689" s="14"/>
    </row>
    <row r="690" ht="15.75" customHeight="1">
      <c r="A690" s="14"/>
      <c r="B690" s="17"/>
      <c r="C690" s="14"/>
      <c r="D690" s="14"/>
      <c r="E690" s="14"/>
      <c r="F690" s="14"/>
      <c r="G690" s="14"/>
      <c r="H690" s="14"/>
    </row>
    <row r="691" ht="15.75" customHeight="1">
      <c r="A691" s="14"/>
      <c r="B691" s="17"/>
      <c r="C691" s="14"/>
      <c r="D691" s="14"/>
      <c r="E691" s="14"/>
      <c r="F691" s="14"/>
      <c r="G691" s="14"/>
      <c r="H691" s="14"/>
    </row>
    <row r="692" ht="15.75" customHeight="1">
      <c r="A692" s="14"/>
      <c r="B692" s="17"/>
      <c r="C692" s="14"/>
      <c r="D692" s="14"/>
      <c r="E692" s="14"/>
      <c r="F692" s="14"/>
      <c r="G692" s="14"/>
      <c r="H692" s="14"/>
    </row>
    <row r="693" ht="15.75" customHeight="1">
      <c r="A693" s="14"/>
      <c r="B693" s="17"/>
      <c r="C693" s="14"/>
      <c r="D693" s="14"/>
      <c r="E693" s="14"/>
      <c r="F693" s="14"/>
      <c r="G693" s="14"/>
      <c r="H693" s="14"/>
    </row>
    <row r="694" ht="15.75" customHeight="1">
      <c r="A694" s="14"/>
      <c r="B694" s="17"/>
      <c r="C694" s="14"/>
      <c r="D694" s="14"/>
      <c r="E694" s="14"/>
      <c r="F694" s="14"/>
      <c r="G694" s="14"/>
      <c r="H694" s="14"/>
    </row>
    <row r="695" ht="15.75" customHeight="1">
      <c r="A695" s="14"/>
      <c r="B695" s="17"/>
      <c r="C695" s="14"/>
      <c r="D695" s="14"/>
      <c r="E695" s="14"/>
      <c r="F695" s="14"/>
      <c r="G695" s="14"/>
      <c r="H695" s="14"/>
    </row>
    <row r="696" ht="15.75" customHeight="1">
      <c r="A696" s="14"/>
      <c r="B696" s="17"/>
      <c r="C696" s="14"/>
      <c r="D696" s="14"/>
      <c r="E696" s="14"/>
      <c r="F696" s="14"/>
      <c r="G696" s="14"/>
      <c r="H696" s="14"/>
    </row>
    <row r="697" ht="15.75" customHeight="1">
      <c r="A697" s="14"/>
      <c r="B697" s="17"/>
      <c r="C697" s="14"/>
      <c r="D697" s="14"/>
      <c r="E697" s="14"/>
      <c r="F697" s="14"/>
      <c r="G697" s="14"/>
      <c r="H697" s="14"/>
    </row>
    <row r="698" ht="15.75" customHeight="1">
      <c r="A698" s="14"/>
      <c r="B698" s="17"/>
      <c r="C698" s="14"/>
      <c r="D698" s="14"/>
      <c r="E698" s="14"/>
      <c r="F698" s="14"/>
      <c r="G698" s="14"/>
      <c r="H698" s="14"/>
    </row>
    <row r="699" ht="15.75" customHeight="1">
      <c r="A699" s="14"/>
      <c r="B699" s="17"/>
      <c r="C699" s="14"/>
      <c r="D699" s="14"/>
      <c r="E699" s="14"/>
      <c r="F699" s="14"/>
      <c r="G699" s="14"/>
      <c r="H699" s="14"/>
    </row>
    <row r="700" ht="15.75" customHeight="1">
      <c r="A700" s="14"/>
      <c r="B700" s="17"/>
      <c r="C700" s="14"/>
      <c r="D700" s="14"/>
      <c r="E700" s="14"/>
      <c r="F700" s="14"/>
      <c r="G700" s="14"/>
      <c r="H700" s="14"/>
    </row>
    <row r="701" ht="15.75" customHeight="1">
      <c r="A701" s="14"/>
      <c r="B701" s="17"/>
      <c r="C701" s="14"/>
      <c r="D701" s="14"/>
      <c r="E701" s="14"/>
      <c r="F701" s="14"/>
      <c r="G701" s="14"/>
      <c r="H701" s="14"/>
    </row>
    <row r="702" ht="15.75" customHeight="1">
      <c r="A702" s="14"/>
      <c r="B702" s="17"/>
      <c r="C702" s="14"/>
      <c r="D702" s="14"/>
      <c r="E702" s="14"/>
      <c r="F702" s="14"/>
      <c r="G702" s="14"/>
      <c r="H702" s="14"/>
    </row>
    <row r="703" ht="15.75" customHeight="1">
      <c r="A703" s="14"/>
      <c r="B703" s="17"/>
      <c r="C703" s="14"/>
      <c r="D703" s="14"/>
      <c r="E703" s="14"/>
      <c r="F703" s="14"/>
      <c r="G703" s="14"/>
      <c r="H703" s="14"/>
    </row>
    <row r="704" ht="15.75" customHeight="1">
      <c r="A704" s="14"/>
      <c r="B704" s="17"/>
      <c r="C704" s="14"/>
      <c r="D704" s="14"/>
      <c r="E704" s="14"/>
      <c r="F704" s="14"/>
      <c r="G704" s="14"/>
      <c r="H704" s="14"/>
    </row>
    <row r="705" ht="15.75" customHeight="1">
      <c r="A705" s="14"/>
      <c r="B705" s="17"/>
      <c r="C705" s="14"/>
      <c r="D705" s="14"/>
      <c r="E705" s="14"/>
      <c r="F705" s="14"/>
      <c r="G705" s="14"/>
      <c r="H705" s="14"/>
    </row>
    <row r="706" ht="15.75" customHeight="1">
      <c r="A706" s="14"/>
      <c r="B706" s="17"/>
      <c r="C706" s="14"/>
      <c r="D706" s="14"/>
      <c r="E706" s="14"/>
      <c r="F706" s="14"/>
      <c r="G706" s="14"/>
      <c r="H706" s="14"/>
    </row>
    <row r="707" ht="15.75" customHeight="1">
      <c r="A707" s="14"/>
      <c r="B707" s="17"/>
      <c r="C707" s="14"/>
      <c r="D707" s="14"/>
      <c r="E707" s="14"/>
      <c r="F707" s="14"/>
      <c r="G707" s="14"/>
      <c r="H707" s="14"/>
    </row>
    <row r="708" ht="15.75" customHeight="1">
      <c r="A708" s="14"/>
      <c r="B708" s="17"/>
      <c r="C708" s="14"/>
      <c r="D708" s="14"/>
      <c r="E708" s="14"/>
      <c r="F708" s="14"/>
      <c r="G708" s="14"/>
      <c r="H708" s="14"/>
    </row>
    <row r="709" ht="15.75" customHeight="1">
      <c r="A709" s="14"/>
      <c r="B709" s="17"/>
      <c r="C709" s="14"/>
      <c r="D709" s="14"/>
      <c r="E709" s="14"/>
      <c r="F709" s="14"/>
      <c r="G709" s="14"/>
      <c r="H709" s="14"/>
    </row>
    <row r="710" ht="15.75" customHeight="1">
      <c r="A710" s="14"/>
      <c r="B710" s="17"/>
      <c r="C710" s="14"/>
      <c r="D710" s="14"/>
      <c r="E710" s="14"/>
      <c r="F710" s="14"/>
      <c r="G710" s="14"/>
      <c r="H710" s="14"/>
    </row>
    <row r="711" ht="15.75" customHeight="1">
      <c r="A711" s="14"/>
      <c r="B711" s="17"/>
      <c r="C711" s="14"/>
      <c r="D711" s="14"/>
      <c r="E711" s="14"/>
      <c r="F711" s="14"/>
      <c r="G711" s="14"/>
      <c r="H711" s="14"/>
    </row>
    <row r="712" ht="15.75" customHeight="1">
      <c r="A712" s="14"/>
      <c r="B712" s="17"/>
      <c r="C712" s="14"/>
      <c r="D712" s="14"/>
      <c r="E712" s="14"/>
      <c r="F712" s="14"/>
      <c r="G712" s="14"/>
      <c r="H712" s="14"/>
    </row>
    <row r="713" ht="15.75" customHeight="1">
      <c r="A713" s="14"/>
      <c r="B713" s="17"/>
      <c r="C713" s="14"/>
      <c r="D713" s="14"/>
      <c r="E713" s="14"/>
      <c r="F713" s="14"/>
      <c r="G713" s="14"/>
      <c r="H713" s="14"/>
    </row>
    <row r="714" ht="15.75" customHeight="1">
      <c r="A714" s="14"/>
      <c r="B714" s="17"/>
      <c r="C714" s="14"/>
      <c r="D714" s="14"/>
      <c r="E714" s="14"/>
      <c r="F714" s="14"/>
      <c r="G714" s="14"/>
      <c r="H714" s="14"/>
    </row>
    <row r="715" ht="15.75" customHeight="1">
      <c r="A715" s="14"/>
      <c r="B715" s="17"/>
      <c r="C715" s="14"/>
      <c r="D715" s="14"/>
      <c r="E715" s="14"/>
      <c r="F715" s="14"/>
      <c r="G715" s="14"/>
      <c r="H715" s="14"/>
    </row>
    <row r="716" ht="15.75" customHeight="1">
      <c r="A716" s="14"/>
      <c r="B716" s="17"/>
      <c r="C716" s="14"/>
      <c r="D716" s="14"/>
      <c r="E716" s="14"/>
      <c r="F716" s="14"/>
      <c r="G716" s="14"/>
      <c r="H716" s="14"/>
    </row>
    <row r="717" ht="15.75" customHeight="1">
      <c r="A717" s="14"/>
      <c r="B717" s="17"/>
      <c r="C717" s="14"/>
      <c r="D717" s="14"/>
      <c r="E717" s="14"/>
      <c r="F717" s="14"/>
      <c r="G717" s="14"/>
      <c r="H717" s="14"/>
    </row>
    <row r="718" ht="15.75" customHeight="1">
      <c r="A718" s="14"/>
      <c r="B718" s="17"/>
      <c r="C718" s="14"/>
      <c r="D718" s="14"/>
      <c r="E718" s="14"/>
      <c r="F718" s="14"/>
      <c r="G718" s="14"/>
      <c r="H718" s="14"/>
    </row>
    <row r="719" ht="15.75" customHeight="1">
      <c r="A719" s="14"/>
      <c r="B719" s="17"/>
      <c r="C719" s="14"/>
      <c r="D719" s="14"/>
      <c r="E719" s="14"/>
      <c r="F719" s="14"/>
      <c r="G719" s="14"/>
      <c r="H719" s="14"/>
    </row>
    <row r="720" ht="15.75" customHeight="1">
      <c r="A720" s="14"/>
      <c r="B720" s="17"/>
      <c r="C720" s="14"/>
      <c r="D720" s="14"/>
      <c r="E720" s="14"/>
      <c r="F720" s="14"/>
      <c r="G720" s="14"/>
      <c r="H720" s="14"/>
    </row>
    <row r="721" ht="15.75" customHeight="1">
      <c r="A721" s="14"/>
      <c r="B721" s="17"/>
      <c r="C721" s="14"/>
      <c r="D721" s="14"/>
      <c r="E721" s="14"/>
      <c r="F721" s="14"/>
      <c r="G721" s="14"/>
      <c r="H721" s="14"/>
    </row>
    <row r="722" ht="15.75" customHeight="1">
      <c r="A722" s="14"/>
      <c r="B722" s="17"/>
      <c r="C722" s="14"/>
      <c r="D722" s="14"/>
      <c r="E722" s="14"/>
      <c r="F722" s="14"/>
      <c r="G722" s="14"/>
      <c r="H722" s="14"/>
    </row>
    <row r="723" ht="15.75" customHeight="1">
      <c r="A723" s="14"/>
      <c r="B723" s="17"/>
      <c r="C723" s="14"/>
      <c r="D723" s="14"/>
      <c r="E723" s="14"/>
      <c r="F723" s="14"/>
      <c r="G723" s="14"/>
      <c r="H723" s="14"/>
    </row>
    <row r="724" ht="15.75" customHeight="1">
      <c r="A724" s="14"/>
      <c r="B724" s="17"/>
      <c r="C724" s="14"/>
      <c r="D724" s="14"/>
      <c r="E724" s="14"/>
      <c r="F724" s="14"/>
      <c r="G724" s="14"/>
      <c r="H724" s="14"/>
    </row>
    <row r="725" ht="15.75" customHeight="1">
      <c r="A725" s="14"/>
      <c r="B725" s="17"/>
      <c r="C725" s="14"/>
      <c r="D725" s="14"/>
      <c r="E725" s="14"/>
      <c r="F725" s="14"/>
      <c r="G725" s="14"/>
      <c r="H725" s="14"/>
    </row>
    <row r="726" ht="15.75" customHeight="1">
      <c r="A726" s="14"/>
      <c r="B726" s="17"/>
      <c r="C726" s="14"/>
      <c r="D726" s="14"/>
      <c r="E726" s="14"/>
      <c r="F726" s="14"/>
      <c r="G726" s="14"/>
      <c r="H726" s="14"/>
    </row>
    <row r="727" ht="15.75" customHeight="1">
      <c r="A727" s="14"/>
      <c r="B727" s="17"/>
      <c r="C727" s="14"/>
      <c r="D727" s="14"/>
      <c r="E727" s="14"/>
      <c r="F727" s="14"/>
      <c r="G727" s="14"/>
      <c r="H727" s="14"/>
    </row>
    <row r="728" ht="15.75" customHeight="1">
      <c r="A728" s="14"/>
      <c r="B728" s="17"/>
      <c r="C728" s="14"/>
      <c r="D728" s="14"/>
      <c r="E728" s="14"/>
      <c r="F728" s="14"/>
      <c r="G728" s="14"/>
      <c r="H728" s="14"/>
    </row>
    <row r="729" ht="15.75" customHeight="1">
      <c r="A729" s="14"/>
      <c r="B729" s="17"/>
      <c r="C729" s="14"/>
      <c r="D729" s="14"/>
      <c r="E729" s="14"/>
      <c r="F729" s="14"/>
      <c r="G729" s="14"/>
      <c r="H729" s="14"/>
    </row>
    <row r="730" ht="15.75" customHeight="1">
      <c r="A730" s="14"/>
      <c r="B730" s="17"/>
      <c r="C730" s="14"/>
      <c r="D730" s="14"/>
      <c r="E730" s="14"/>
      <c r="F730" s="14"/>
      <c r="G730" s="14"/>
      <c r="H730" s="14"/>
    </row>
    <row r="731" ht="15.75" customHeight="1">
      <c r="A731" s="14"/>
      <c r="B731" s="17"/>
      <c r="C731" s="14"/>
      <c r="D731" s="14"/>
      <c r="E731" s="14"/>
      <c r="F731" s="14"/>
      <c r="G731" s="14"/>
      <c r="H731" s="14"/>
    </row>
    <row r="732" ht="15.75" customHeight="1">
      <c r="A732" s="14"/>
      <c r="B732" s="17"/>
      <c r="C732" s="14"/>
      <c r="D732" s="14"/>
      <c r="E732" s="14"/>
      <c r="F732" s="14"/>
      <c r="G732" s="14"/>
      <c r="H732" s="14"/>
    </row>
    <row r="733" ht="15.75" customHeight="1">
      <c r="A733" s="14"/>
      <c r="B733" s="17"/>
      <c r="C733" s="14"/>
      <c r="D733" s="14"/>
      <c r="E733" s="14"/>
      <c r="F733" s="14"/>
      <c r="G733" s="14"/>
      <c r="H733" s="14"/>
    </row>
    <row r="734" ht="15.75" customHeight="1">
      <c r="A734" s="14"/>
      <c r="B734" s="17"/>
      <c r="C734" s="14"/>
      <c r="D734" s="14"/>
      <c r="E734" s="14"/>
      <c r="F734" s="14"/>
      <c r="G734" s="14"/>
      <c r="H734" s="14"/>
    </row>
    <row r="735" ht="15.75" customHeight="1">
      <c r="A735" s="14"/>
      <c r="B735" s="17"/>
      <c r="C735" s="14"/>
      <c r="D735" s="14"/>
      <c r="E735" s="14"/>
      <c r="F735" s="14"/>
      <c r="G735" s="14"/>
      <c r="H735" s="14"/>
    </row>
    <row r="736" ht="15.75" customHeight="1">
      <c r="A736" s="14"/>
      <c r="B736" s="17"/>
      <c r="C736" s="14"/>
      <c r="D736" s="14"/>
      <c r="E736" s="14"/>
      <c r="F736" s="14"/>
      <c r="G736" s="14"/>
      <c r="H736" s="14"/>
    </row>
    <row r="737" ht="15.75" customHeight="1">
      <c r="A737" s="14"/>
      <c r="B737" s="17"/>
      <c r="C737" s="14"/>
      <c r="D737" s="14"/>
      <c r="E737" s="14"/>
      <c r="F737" s="14"/>
      <c r="G737" s="14"/>
      <c r="H737" s="14"/>
    </row>
    <row r="738" ht="15.75" customHeight="1">
      <c r="A738" s="14"/>
      <c r="B738" s="17"/>
      <c r="C738" s="14"/>
      <c r="D738" s="14"/>
      <c r="E738" s="14"/>
      <c r="F738" s="14"/>
      <c r="G738" s="14"/>
      <c r="H738" s="14"/>
    </row>
    <row r="739" ht="15.75" customHeight="1">
      <c r="A739" s="14"/>
      <c r="B739" s="17"/>
      <c r="C739" s="14"/>
      <c r="D739" s="14"/>
      <c r="E739" s="14"/>
      <c r="F739" s="14"/>
      <c r="G739" s="14"/>
      <c r="H739" s="14"/>
    </row>
    <row r="740" ht="15.75" customHeight="1">
      <c r="A740" s="14"/>
      <c r="B740" s="17"/>
      <c r="C740" s="14"/>
      <c r="D740" s="14"/>
      <c r="E740" s="14"/>
      <c r="F740" s="14"/>
      <c r="G740" s="14"/>
      <c r="H740" s="14"/>
    </row>
    <row r="741" ht="15.75" customHeight="1">
      <c r="A741" s="14"/>
      <c r="B741" s="17"/>
      <c r="C741" s="14"/>
      <c r="D741" s="14"/>
      <c r="E741" s="14"/>
      <c r="F741" s="14"/>
      <c r="G741" s="14"/>
      <c r="H741" s="14"/>
    </row>
    <row r="742" ht="15.75" customHeight="1">
      <c r="A742" s="14"/>
      <c r="B742" s="17"/>
      <c r="C742" s="14"/>
      <c r="D742" s="14"/>
      <c r="E742" s="14"/>
      <c r="F742" s="14"/>
      <c r="G742" s="14"/>
      <c r="H742" s="14"/>
    </row>
    <row r="743" ht="15.75" customHeight="1">
      <c r="A743" s="14"/>
      <c r="B743" s="17"/>
      <c r="C743" s="14"/>
      <c r="D743" s="14"/>
      <c r="E743" s="14"/>
      <c r="F743" s="14"/>
      <c r="G743" s="14"/>
      <c r="H743" s="14"/>
    </row>
    <row r="744" ht="15.75" customHeight="1">
      <c r="A744" s="14"/>
      <c r="B744" s="17"/>
      <c r="C744" s="14"/>
      <c r="D744" s="14"/>
      <c r="E744" s="14"/>
      <c r="F744" s="14"/>
      <c r="G744" s="14"/>
      <c r="H744" s="14"/>
    </row>
    <row r="745" ht="15.75" customHeight="1">
      <c r="A745" s="14"/>
      <c r="B745" s="17"/>
      <c r="C745" s="14"/>
      <c r="D745" s="14"/>
      <c r="E745" s="14"/>
      <c r="F745" s="14"/>
      <c r="G745" s="14"/>
      <c r="H745" s="14"/>
    </row>
    <row r="746" ht="15.75" customHeight="1">
      <c r="A746" s="14"/>
      <c r="B746" s="17"/>
      <c r="C746" s="14"/>
      <c r="D746" s="14"/>
      <c r="E746" s="14"/>
      <c r="F746" s="14"/>
      <c r="G746" s="14"/>
      <c r="H746" s="14"/>
    </row>
    <row r="747" ht="15.75" customHeight="1">
      <c r="A747" s="14"/>
      <c r="B747" s="17"/>
      <c r="C747" s="14"/>
      <c r="D747" s="14"/>
      <c r="E747" s="14"/>
      <c r="F747" s="14"/>
      <c r="G747" s="14"/>
      <c r="H747" s="14"/>
    </row>
    <row r="748" ht="15.75" customHeight="1">
      <c r="A748" s="14"/>
      <c r="B748" s="17"/>
      <c r="C748" s="14"/>
      <c r="D748" s="14"/>
      <c r="E748" s="14"/>
      <c r="F748" s="14"/>
      <c r="G748" s="14"/>
      <c r="H748" s="14"/>
    </row>
    <row r="749" ht="15.75" customHeight="1">
      <c r="A749" s="14"/>
      <c r="B749" s="17"/>
      <c r="C749" s="14"/>
      <c r="D749" s="14"/>
      <c r="E749" s="14"/>
      <c r="F749" s="14"/>
      <c r="G749" s="14"/>
      <c r="H749" s="14"/>
    </row>
    <row r="750" ht="15.75" customHeight="1">
      <c r="A750" s="14"/>
      <c r="B750" s="17"/>
      <c r="C750" s="14"/>
      <c r="D750" s="14"/>
      <c r="E750" s="14"/>
      <c r="F750" s="14"/>
      <c r="G750" s="14"/>
      <c r="H750" s="14"/>
    </row>
    <row r="751" ht="15.75" customHeight="1">
      <c r="A751" s="14"/>
      <c r="B751" s="17"/>
      <c r="C751" s="14"/>
      <c r="D751" s="14"/>
      <c r="E751" s="14"/>
      <c r="F751" s="14"/>
      <c r="G751" s="14"/>
      <c r="H751" s="14"/>
    </row>
    <row r="752" ht="15.75" customHeight="1">
      <c r="A752" s="14"/>
      <c r="B752" s="17"/>
      <c r="C752" s="14"/>
      <c r="D752" s="14"/>
      <c r="E752" s="14"/>
      <c r="F752" s="14"/>
      <c r="G752" s="14"/>
      <c r="H752" s="14"/>
    </row>
    <row r="753" ht="15.75" customHeight="1">
      <c r="A753" s="14"/>
      <c r="B753" s="17"/>
      <c r="C753" s="14"/>
      <c r="D753" s="14"/>
      <c r="E753" s="14"/>
      <c r="F753" s="14"/>
      <c r="G753" s="14"/>
      <c r="H753" s="14"/>
    </row>
    <row r="754" ht="15.75" customHeight="1">
      <c r="A754" s="14"/>
      <c r="B754" s="17"/>
      <c r="C754" s="14"/>
      <c r="D754" s="14"/>
      <c r="E754" s="14"/>
      <c r="F754" s="14"/>
      <c r="G754" s="14"/>
      <c r="H754" s="14"/>
    </row>
    <row r="755" ht="15.75" customHeight="1">
      <c r="A755" s="14"/>
      <c r="B755" s="17"/>
      <c r="C755" s="14"/>
      <c r="D755" s="14"/>
      <c r="E755" s="14"/>
      <c r="F755" s="14"/>
      <c r="G755" s="14"/>
      <c r="H755" s="14"/>
    </row>
    <row r="756" ht="15.75" customHeight="1">
      <c r="A756" s="14"/>
      <c r="B756" s="17"/>
      <c r="C756" s="14"/>
      <c r="D756" s="14"/>
      <c r="E756" s="14"/>
      <c r="F756" s="14"/>
      <c r="G756" s="14"/>
      <c r="H756" s="14"/>
    </row>
    <row r="757" ht="15.75" customHeight="1">
      <c r="A757" s="14"/>
      <c r="B757" s="17"/>
      <c r="C757" s="14"/>
      <c r="D757" s="14"/>
      <c r="E757" s="14"/>
      <c r="F757" s="14"/>
      <c r="G757" s="14"/>
      <c r="H757" s="14"/>
    </row>
    <row r="758" ht="15.75" customHeight="1">
      <c r="A758" s="14"/>
      <c r="B758" s="17"/>
      <c r="C758" s="14"/>
      <c r="D758" s="14"/>
      <c r="E758" s="14"/>
      <c r="F758" s="14"/>
      <c r="G758" s="14"/>
      <c r="H758" s="14"/>
    </row>
    <row r="759" ht="15.75" customHeight="1">
      <c r="A759" s="14"/>
      <c r="B759" s="17"/>
      <c r="C759" s="14"/>
      <c r="D759" s="14"/>
      <c r="E759" s="14"/>
      <c r="F759" s="14"/>
      <c r="G759" s="14"/>
      <c r="H759" s="14"/>
    </row>
    <row r="760" ht="15.75" customHeight="1">
      <c r="A760" s="14"/>
      <c r="B760" s="17"/>
      <c r="C760" s="14"/>
      <c r="D760" s="14"/>
      <c r="E760" s="14"/>
      <c r="F760" s="14"/>
      <c r="G760" s="14"/>
      <c r="H760" s="14"/>
    </row>
    <row r="761" ht="15.75" customHeight="1">
      <c r="A761" s="14"/>
      <c r="B761" s="17"/>
      <c r="C761" s="14"/>
      <c r="D761" s="14"/>
      <c r="E761" s="14"/>
      <c r="F761" s="14"/>
      <c r="G761" s="14"/>
      <c r="H761" s="14"/>
    </row>
    <row r="762" ht="15.75" customHeight="1">
      <c r="A762" s="14"/>
      <c r="B762" s="17"/>
      <c r="C762" s="14"/>
      <c r="D762" s="14"/>
      <c r="E762" s="14"/>
      <c r="F762" s="14"/>
      <c r="G762" s="14"/>
      <c r="H762" s="14"/>
    </row>
    <row r="763" ht="15.75" customHeight="1">
      <c r="A763" s="14"/>
      <c r="B763" s="17"/>
      <c r="C763" s="14"/>
      <c r="D763" s="14"/>
      <c r="E763" s="14"/>
      <c r="F763" s="14"/>
      <c r="G763" s="14"/>
      <c r="H763" s="14"/>
    </row>
    <row r="764" ht="15.75" customHeight="1">
      <c r="A764" s="14"/>
      <c r="B764" s="17"/>
      <c r="C764" s="14"/>
      <c r="D764" s="14"/>
      <c r="E764" s="14"/>
      <c r="F764" s="14"/>
      <c r="G764" s="14"/>
      <c r="H764" s="14"/>
    </row>
    <row r="765" ht="15.75" customHeight="1">
      <c r="A765" s="14"/>
      <c r="B765" s="17"/>
      <c r="C765" s="14"/>
      <c r="D765" s="14"/>
      <c r="E765" s="14"/>
      <c r="F765" s="14"/>
      <c r="G765" s="14"/>
      <c r="H765" s="14"/>
    </row>
    <row r="766" ht="15.75" customHeight="1">
      <c r="A766" s="14"/>
      <c r="B766" s="17"/>
      <c r="C766" s="14"/>
      <c r="D766" s="14"/>
      <c r="E766" s="14"/>
      <c r="F766" s="14"/>
      <c r="G766" s="14"/>
      <c r="H766" s="14"/>
    </row>
    <row r="767" ht="15.75" customHeight="1">
      <c r="A767" s="14"/>
      <c r="B767" s="17"/>
      <c r="C767" s="14"/>
      <c r="D767" s="14"/>
      <c r="E767" s="14"/>
      <c r="F767" s="14"/>
      <c r="G767" s="14"/>
      <c r="H767" s="14"/>
    </row>
    <row r="768" ht="15.75" customHeight="1">
      <c r="A768" s="14"/>
      <c r="B768" s="17"/>
      <c r="C768" s="14"/>
      <c r="D768" s="14"/>
      <c r="E768" s="14"/>
      <c r="F768" s="14"/>
      <c r="G768" s="14"/>
      <c r="H768" s="14"/>
    </row>
    <row r="769" ht="15.75" customHeight="1">
      <c r="A769" s="14"/>
      <c r="B769" s="17"/>
      <c r="C769" s="14"/>
      <c r="D769" s="14"/>
      <c r="E769" s="14"/>
      <c r="F769" s="14"/>
      <c r="G769" s="14"/>
      <c r="H769" s="14"/>
    </row>
    <row r="770" ht="15.75" customHeight="1">
      <c r="A770" s="14"/>
      <c r="B770" s="17"/>
      <c r="C770" s="14"/>
      <c r="D770" s="14"/>
      <c r="E770" s="14"/>
      <c r="F770" s="14"/>
      <c r="G770" s="14"/>
      <c r="H770" s="14"/>
    </row>
    <row r="771" ht="15.75" customHeight="1">
      <c r="A771" s="14"/>
      <c r="B771" s="17"/>
      <c r="C771" s="14"/>
      <c r="D771" s="14"/>
      <c r="E771" s="14"/>
      <c r="F771" s="14"/>
      <c r="G771" s="14"/>
      <c r="H771" s="14"/>
    </row>
    <row r="772" ht="15.75" customHeight="1">
      <c r="A772" s="14"/>
      <c r="B772" s="17"/>
      <c r="C772" s="14"/>
      <c r="D772" s="14"/>
      <c r="E772" s="14"/>
      <c r="F772" s="14"/>
      <c r="G772" s="14"/>
      <c r="H772" s="14"/>
    </row>
    <row r="773" ht="15.75" customHeight="1">
      <c r="A773" s="14"/>
      <c r="B773" s="17"/>
      <c r="C773" s="14"/>
      <c r="D773" s="14"/>
      <c r="E773" s="14"/>
      <c r="F773" s="14"/>
      <c r="G773" s="14"/>
      <c r="H773" s="14"/>
    </row>
    <row r="774" ht="15.75" customHeight="1">
      <c r="A774" s="14"/>
      <c r="B774" s="17"/>
      <c r="C774" s="14"/>
      <c r="D774" s="14"/>
      <c r="E774" s="14"/>
      <c r="F774" s="14"/>
      <c r="G774" s="14"/>
      <c r="H774" s="14"/>
    </row>
    <row r="775" ht="15.75" customHeight="1">
      <c r="A775" s="14"/>
      <c r="B775" s="17"/>
      <c r="C775" s="14"/>
      <c r="D775" s="14"/>
      <c r="E775" s="14"/>
      <c r="F775" s="14"/>
      <c r="G775" s="14"/>
      <c r="H775" s="14"/>
    </row>
    <row r="776" ht="15.75" customHeight="1">
      <c r="A776" s="14"/>
      <c r="B776" s="17"/>
      <c r="C776" s="14"/>
      <c r="D776" s="14"/>
      <c r="E776" s="14"/>
      <c r="F776" s="14"/>
      <c r="G776" s="14"/>
      <c r="H776" s="14"/>
    </row>
    <row r="777" ht="15.75" customHeight="1">
      <c r="A777" s="14"/>
      <c r="B777" s="17"/>
      <c r="C777" s="14"/>
      <c r="D777" s="14"/>
      <c r="E777" s="14"/>
      <c r="F777" s="14"/>
      <c r="G777" s="14"/>
      <c r="H777" s="14"/>
    </row>
    <row r="778" ht="15.75" customHeight="1">
      <c r="A778" s="14"/>
      <c r="B778" s="17"/>
      <c r="C778" s="14"/>
      <c r="D778" s="14"/>
      <c r="E778" s="14"/>
      <c r="F778" s="14"/>
      <c r="G778" s="14"/>
      <c r="H778" s="14"/>
    </row>
    <row r="779" ht="15.75" customHeight="1">
      <c r="A779" s="14"/>
      <c r="B779" s="17"/>
      <c r="C779" s="14"/>
      <c r="D779" s="14"/>
      <c r="E779" s="14"/>
      <c r="F779" s="14"/>
      <c r="G779" s="14"/>
      <c r="H779" s="14"/>
    </row>
    <row r="780" ht="15.75" customHeight="1">
      <c r="A780" s="14"/>
      <c r="B780" s="17"/>
      <c r="C780" s="14"/>
      <c r="D780" s="14"/>
      <c r="E780" s="14"/>
      <c r="F780" s="14"/>
      <c r="G780" s="14"/>
      <c r="H780" s="14"/>
    </row>
    <row r="781" ht="15.75" customHeight="1">
      <c r="A781" s="14"/>
      <c r="B781" s="17"/>
      <c r="C781" s="14"/>
      <c r="D781" s="14"/>
      <c r="E781" s="14"/>
      <c r="F781" s="14"/>
      <c r="G781" s="14"/>
      <c r="H781" s="14"/>
    </row>
    <row r="782" ht="15.75" customHeight="1">
      <c r="A782" s="14"/>
      <c r="B782" s="17"/>
      <c r="C782" s="14"/>
      <c r="D782" s="14"/>
      <c r="E782" s="14"/>
      <c r="F782" s="14"/>
      <c r="G782" s="14"/>
      <c r="H782" s="14"/>
    </row>
    <row r="783" ht="15.75" customHeight="1">
      <c r="A783" s="14"/>
      <c r="B783" s="17"/>
      <c r="C783" s="14"/>
      <c r="D783" s="14"/>
      <c r="E783" s="14"/>
      <c r="F783" s="14"/>
      <c r="G783" s="14"/>
      <c r="H783" s="14"/>
    </row>
    <row r="784" ht="15.75" customHeight="1">
      <c r="A784" s="14"/>
      <c r="B784" s="17"/>
      <c r="C784" s="14"/>
      <c r="D784" s="14"/>
      <c r="E784" s="14"/>
      <c r="F784" s="14"/>
      <c r="G784" s="14"/>
      <c r="H784" s="14"/>
    </row>
    <row r="785" ht="15.75" customHeight="1">
      <c r="A785" s="14"/>
      <c r="B785" s="17"/>
      <c r="C785" s="14"/>
      <c r="D785" s="14"/>
      <c r="E785" s="14"/>
      <c r="F785" s="14"/>
      <c r="G785" s="14"/>
      <c r="H785" s="14"/>
    </row>
    <row r="786" ht="15.75" customHeight="1">
      <c r="A786" s="14"/>
      <c r="B786" s="17"/>
      <c r="C786" s="14"/>
      <c r="D786" s="14"/>
      <c r="E786" s="14"/>
      <c r="F786" s="14"/>
      <c r="G786" s="14"/>
      <c r="H786" s="14"/>
    </row>
    <row r="787" ht="15.75" customHeight="1">
      <c r="A787" s="14"/>
      <c r="B787" s="17"/>
      <c r="C787" s="14"/>
      <c r="D787" s="14"/>
      <c r="E787" s="14"/>
      <c r="F787" s="14"/>
      <c r="G787" s="14"/>
      <c r="H787" s="14"/>
    </row>
    <row r="788" ht="15.75" customHeight="1">
      <c r="A788" s="14"/>
      <c r="B788" s="17"/>
      <c r="C788" s="14"/>
      <c r="D788" s="14"/>
      <c r="E788" s="14"/>
      <c r="F788" s="14"/>
      <c r="G788" s="14"/>
      <c r="H788" s="14"/>
    </row>
    <row r="789" ht="15.75" customHeight="1">
      <c r="A789" s="14"/>
      <c r="B789" s="17"/>
      <c r="C789" s="14"/>
      <c r="D789" s="14"/>
      <c r="E789" s="14"/>
      <c r="F789" s="14"/>
      <c r="G789" s="14"/>
      <c r="H789" s="14"/>
    </row>
    <row r="790" ht="15.75" customHeight="1">
      <c r="A790" s="14"/>
      <c r="B790" s="17"/>
      <c r="C790" s="14"/>
      <c r="D790" s="14"/>
      <c r="E790" s="14"/>
      <c r="F790" s="14"/>
      <c r="G790" s="14"/>
      <c r="H790" s="14"/>
    </row>
    <row r="791" ht="15.75" customHeight="1">
      <c r="A791" s="14"/>
      <c r="B791" s="17"/>
      <c r="C791" s="14"/>
      <c r="D791" s="14"/>
      <c r="E791" s="14"/>
      <c r="F791" s="14"/>
      <c r="G791" s="14"/>
      <c r="H791" s="14"/>
    </row>
    <row r="792" ht="15.75" customHeight="1">
      <c r="A792" s="14"/>
      <c r="B792" s="17"/>
      <c r="C792" s="14"/>
      <c r="D792" s="14"/>
      <c r="E792" s="14"/>
      <c r="F792" s="14"/>
      <c r="G792" s="14"/>
      <c r="H792" s="14"/>
    </row>
    <row r="793" ht="15.75" customHeight="1">
      <c r="A793" s="14"/>
      <c r="B793" s="17"/>
      <c r="C793" s="14"/>
      <c r="D793" s="14"/>
      <c r="E793" s="14"/>
      <c r="F793" s="14"/>
      <c r="G793" s="14"/>
      <c r="H793" s="14"/>
    </row>
    <row r="794" ht="15.75" customHeight="1">
      <c r="A794" s="14"/>
      <c r="B794" s="17"/>
      <c r="C794" s="14"/>
      <c r="D794" s="14"/>
      <c r="E794" s="14"/>
      <c r="F794" s="14"/>
      <c r="G794" s="14"/>
      <c r="H794" s="14"/>
    </row>
    <row r="795" ht="15.75" customHeight="1">
      <c r="A795" s="14"/>
      <c r="B795" s="17"/>
      <c r="C795" s="14"/>
      <c r="D795" s="14"/>
      <c r="E795" s="14"/>
      <c r="F795" s="14"/>
      <c r="G795" s="14"/>
      <c r="H795" s="14"/>
    </row>
    <row r="796" ht="15.75" customHeight="1">
      <c r="A796" s="14"/>
      <c r="B796" s="17"/>
      <c r="C796" s="14"/>
      <c r="D796" s="14"/>
      <c r="E796" s="14"/>
      <c r="F796" s="14"/>
      <c r="G796" s="14"/>
      <c r="H796" s="14"/>
    </row>
    <row r="797" ht="15.75" customHeight="1">
      <c r="A797" s="14"/>
      <c r="B797" s="17"/>
      <c r="C797" s="14"/>
      <c r="D797" s="14"/>
      <c r="E797" s="14"/>
      <c r="F797" s="14"/>
      <c r="G797" s="14"/>
      <c r="H797" s="14"/>
    </row>
    <row r="798" ht="15.75" customHeight="1">
      <c r="A798" s="14"/>
      <c r="B798" s="17"/>
      <c r="C798" s="14"/>
      <c r="D798" s="14"/>
      <c r="E798" s="14"/>
      <c r="F798" s="14"/>
      <c r="G798" s="14"/>
      <c r="H798" s="14"/>
    </row>
    <row r="799" ht="15.75" customHeight="1">
      <c r="A799" s="14"/>
      <c r="B799" s="17"/>
      <c r="C799" s="14"/>
      <c r="D799" s="14"/>
      <c r="E799" s="14"/>
      <c r="F799" s="14"/>
      <c r="G799" s="14"/>
      <c r="H799" s="14"/>
    </row>
    <row r="800" ht="15.75" customHeight="1">
      <c r="A800" s="14"/>
      <c r="B800" s="17"/>
      <c r="C800" s="14"/>
      <c r="D800" s="14"/>
      <c r="E800" s="14"/>
      <c r="F800" s="14"/>
      <c r="G800" s="14"/>
      <c r="H800" s="14"/>
    </row>
    <row r="801" ht="15.75" customHeight="1">
      <c r="A801" s="14"/>
      <c r="B801" s="17"/>
      <c r="C801" s="14"/>
      <c r="D801" s="14"/>
      <c r="E801" s="14"/>
      <c r="F801" s="14"/>
      <c r="G801" s="14"/>
      <c r="H801" s="14"/>
    </row>
    <row r="802" ht="15.75" customHeight="1">
      <c r="A802" s="14"/>
      <c r="B802" s="17"/>
      <c r="C802" s="14"/>
      <c r="D802" s="14"/>
      <c r="E802" s="14"/>
      <c r="F802" s="14"/>
      <c r="G802" s="14"/>
      <c r="H802" s="14"/>
    </row>
    <row r="803" ht="15.75" customHeight="1">
      <c r="A803" s="14"/>
      <c r="B803" s="17"/>
      <c r="C803" s="14"/>
      <c r="D803" s="14"/>
      <c r="E803" s="14"/>
      <c r="F803" s="14"/>
      <c r="G803" s="14"/>
      <c r="H803" s="14"/>
    </row>
    <row r="804" ht="15.75" customHeight="1">
      <c r="A804" s="14"/>
      <c r="B804" s="17"/>
      <c r="C804" s="14"/>
      <c r="D804" s="14"/>
      <c r="E804" s="14"/>
      <c r="F804" s="14"/>
      <c r="G804" s="14"/>
      <c r="H804" s="14"/>
    </row>
    <row r="805" ht="15.75" customHeight="1">
      <c r="A805" s="14"/>
      <c r="B805" s="17"/>
      <c r="C805" s="14"/>
      <c r="D805" s="14"/>
      <c r="E805" s="14"/>
      <c r="F805" s="14"/>
      <c r="G805" s="14"/>
      <c r="H805" s="14"/>
    </row>
    <row r="806" ht="15.75" customHeight="1">
      <c r="A806" s="14"/>
      <c r="B806" s="17"/>
      <c r="C806" s="14"/>
      <c r="D806" s="14"/>
      <c r="E806" s="14"/>
      <c r="F806" s="14"/>
      <c r="G806" s="14"/>
      <c r="H806" s="14"/>
    </row>
    <row r="807" ht="15.75" customHeight="1">
      <c r="A807" s="14"/>
      <c r="B807" s="17"/>
      <c r="C807" s="14"/>
      <c r="D807" s="14"/>
      <c r="E807" s="14"/>
      <c r="F807" s="14"/>
      <c r="G807" s="14"/>
      <c r="H807" s="14"/>
    </row>
    <row r="808" ht="15.75" customHeight="1">
      <c r="A808" s="14"/>
      <c r="B808" s="17"/>
      <c r="C808" s="14"/>
      <c r="D808" s="14"/>
      <c r="E808" s="14"/>
      <c r="F808" s="14"/>
      <c r="G808" s="14"/>
      <c r="H808" s="14"/>
    </row>
    <row r="809" ht="15.75" customHeight="1">
      <c r="A809" s="14"/>
      <c r="B809" s="17"/>
      <c r="C809" s="14"/>
      <c r="D809" s="14"/>
      <c r="E809" s="14"/>
      <c r="F809" s="14"/>
      <c r="G809" s="14"/>
      <c r="H809" s="14"/>
    </row>
    <row r="810" ht="15.75" customHeight="1">
      <c r="A810" s="14"/>
      <c r="B810" s="17"/>
      <c r="C810" s="14"/>
      <c r="D810" s="14"/>
      <c r="E810" s="14"/>
      <c r="F810" s="14"/>
      <c r="G810" s="14"/>
      <c r="H810" s="14"/>
    </row>
    <row r="811" ht="15.75" customHeight="1">
      <c r="A811" s="14"/>
      <c r="B811" s="17"/>
      <c r="C811" s="14"/>
      <c r="D811" s="14"/>
      <c r="E811" s="14"/>
      <c r="F811" s="14"/>
      <c r="G811" s="14"/>
      <c r="H811" s="14"/>
    </row>
    <row r="812" ht="15.75" customHeight="1">
      <c r="A812" s="14"/>
      <c r="B812" s="17"/>
      <c r="C812" s="14"/>
      <c r="D812" s="14"/>
      <c r="E812" s="14"/>
      <c r="F812" s="14"/>
      <c r="G812" s="14"/>
      <c r="H812" s="14"/>
    </row>
    <row r="813" ht="15.75" customHeight="1">
      <c r="A813" s="14"/>
      <c r="B813" s="17"/>
      <c r="C813" s="14"/>
      <c r="D813" s="14"/>
      <c r="E813" s="14"/>
      <c r="F813" s="14"/>
      <c r="G813" s="14"/>
      <c r="H813" s="14"/>
    </row>
    <row r="814" ht="15.75" customHeight="1">
      <c r="A814" s="14"/>
      <c r="B814" s="17"/>
      <c r="C814" s="14"/>
      <c r="D814" s="14"/>
      <c r="E814" s="14"/>
      <c r="F814" s="14"/>
      <c r="G814" s="14"/>
      <c r="H814" s="14"/>
    </row>
    <row r="815" ht="15.75" customHeight="1">
      <c r="A815" s="14"/>
      <c r="B815" s="17"/>
      <c r="C815" s="14"/>
      <c r="D815" s="14"/>
      <c r="E815" s="14"/>
      <c r="F815" s="14"/>
      <c r="G815" s="14"/>
      <c r="H815" s="14"/>
    </row>
    <row r="816" ht="15.75" customHeight="1">
      <c r="A816" s="14"/>
      <c r="B816" s="17"/>
      <c r="C816" s="14"/>
      <c r="D816" s="14"/>
      <c r="E816" s="14"/>
      <c r="F816" s="14"/>
      <c r="G816" s="14"/>
      <c r="H816" s="14"/>
    </row>
    <row r="817" ht="15.75" customHeight="1">
      <c r="A817" s="14"/>
      <c r="B817" s="17"/>
      <c r="C817" s="14"/>
      <c r="D817" s="14"/>
      <c r="E817" s="14"/>
      <c r="F817" s="14"/>
      <c r="G817" s="14"/>
      <c r="H817" s="14"/>
    </row>
    <row r="818" ht="15.75" customHeight="1">
      <c r="A818" s="14"/>
      <c r="B818" s="17"/>
      <c r="C818" s="14"/>
      <c r="D818" s="14"/>
      <c r="E818" s="14"/>
      <c r="F818" s="14"/>
      <c r="G818" s="14"/>
      <c r="H818" s="14"/>
    </row>
    <row r="819" ht="15.75" customHeight="1">
      <c r="A819" s="14"/>
      <c r="B819" s="17"/>
      <c r="C819" s="14"/>
      <c r="D819" s="14"/>
      <c r="E819" s="14"/>
      <c r="F819" s="14"/>
      <c r="G819" s="14"/>
      <c r="H819" s="14"/>
    </row>
    <row r="820" ht="15.75" customHeight="1">
      <c r="A820" s="14"/>
      <c r="B820" s="17"/>
      <c r="C820" s="14"/>
      <c r="D820" s="14"/>
      <c r="E820" s="14"/>
      <c r="F820" s="14"/>
      <c r="G820" s="14"/>
      <c r="H820" s="14"/>
    </row>
    <row r="821" ht="15.75" customHeight="1">
      <c r="A821" s="14"/>
      <c r="B821" s="17"/>
      <c r="C821" s="14"/>
      <c r="D821" s="14"/>
      <c r="E821" s="14"/>
      <c r="F821" s="14"/>
      <c r="G821" s="14"/>
      <c r="H821" s="14"/>
    </row>
    <row r="822" ht="15.75" customHeight="1">
      <c r="A822" s="14"/>
      <c r="B822" s="17"/>
      <c r="C822" s="14"/>
      <c r="D822" s="14"/>
      <c r="E822" s="14"/>
      <c r="F822" s="14"/>
      <c r="G822" s="14"/>
      <c r="H822" s="14"/>
    </row>
    <row r="823" ht="15.75" customHeight="1">
      <c r="A823" s="14"/>
      <c r="B823" s="17"/>
      <c r="C823" s="14"/>
      <c r="D823" s="14"/>
      <c r="E823" s="14"/>
      <c r="F823" s="14"/>
      <c r="G823" s="14"/>
      <c r="H823" s="14"/>
    </row>
    <row r="824" ht="15.75" customHeight="1">
      <c r="A824" s="14"/>
      <c r="B824" s="17"/>
      <c r="C824" s="14"/>
      <c r="D824" s="14"/>
      <c r="E824" s="14"/>
      <c r="F824" s="14"/>
      <c r="G824" s="14"/>
      <c r="H824" s="14"/>
    </row>
    <row r="825" ht="15.75" customHeight="1">
      <c r="A825" s="14"/>
      <c r="B825" s="17"/>
      <c r="C825" s="14"/>
      <c r="D825" s="14"/>
      <c r="E825" s="14"/>
      <c r="F825" s="14"/>
      <c r="G825" s="14"/>
      <c r="H825" s="14"/>
    </row>
    <row r="826" ht="15.75" customHeight="1">
      <c r="A826" s="14"/>
      <c r="B826" s="17"/>
      <c r="C826" s="14"/>
      <c r="D826" s="14"/>
      <c r="E826" s="14"/>
      <c r="F826" s="14"/>
      <c r="G826" s="14"/>
      <c r="H826" s="14"/>
    </row>
    <row r="827" ht="15.75" customHeight="1">
      <c r="A827" s="14"/>
      <c r="B827" s="17"/>
      <c r="C827" s="14"/>
      <c r="D827" s="14"/>
      <c r="E827" s="14"/>
      <c r="F827" s="14"/>
      <c r="G827" s="14"/>
      <c r="H827" s="14"/>
    </row>
    <row r="828" ht="15.75" customHeight="1">
      <c r="A828" s="14"/>
      <c r="B828" s="17"/>
      <c r="C828" s="14"/>
      <c r="D828" s="14"/>
      <c r="E828" s="14"/>
      <c r="F828" s="14"/>
      <c r="G828" s="14"/>
      <c r="H828" s="14"/>
    </row>
    <row r="829" ht="15.75" customHeight="1">
      <c r="A829" s="14"/>
      <c r="B829" s="17"/>
      <c r="C829" s="14"/>
      <c r="D829" s="14"/>
      <c r="E829" s="14"/>
      <c r="F829" s="14"/>
      <c r="G829" s="14"/>
      <c r="H829" s="14"/>
    </row>
    <row r="830" ht="15.75" customHeight="1">
      <c r="A830" s="14"/>
      <c r="B830" s="17"/>
      <c r="C830" s="14"/>
      <c r="D830" s="14"/>
      <c r="E830" s="14"/>
      <c r="F830" s="14"/>
      <c r="G830" s="14"/>
      <c r="H830" s="14"/>
    </row>
    <row r="831" ht="15.75" customHeight="1">
      <c r="A831" s="14"/>
      <c r="B831" s="17"/>
      <c r="C831" s="14"/>
      <c r="D831" s="14"/>
      <c r="E831" s="14"/>
      <c r="F831" s="14"/>
      <c r="G831" s="14"/>
      <c r="H831" s="14"/>
    </row>
    <row r="832" ht="15.75" customHeight="1">
      <c r="A832" s="14"/>
      <c r="B832" s="17"/>
      <c r="C832" s="14"/>
      <c r="D832" s="14"/>
      <c r="E832" s="14"/>
      <c r="F832" s="14"/>
      <c r="G832" s="14"/>
      <c r="H832" s="14"/>
    </row>
    <row r="833" ht="15.75" customHeight="1">
      <c r="A833" s="14"/>
      <c r="B833" s="17"/>
      <c r="C833" s="14"/>
      <c r="D833" s="14"/>
      <c r="E833" s="14"/>
      <c r="F833" s="14"/>
      <c r="G833" s="14"/>
      <c r="H833" s="14"/>
    </row>
    <row r="834" ht="15.75" customHeight="1">
      <c r="A834" s="14"/>
      <c r="B834" s="17"/>
      <c r="C834" s="14"/>
      <c r="D834" s="14"/>
      <c r="E834" s="14"/>
      <c r="F834" s="14"/>
      <c r="G834" s="14"/>
      <c r="H834" s="14"/>
    </row>
    <row r="835" ht="15.75" customHeight="1">
      <c r="A835" s="14"/>
      <c r="B835" s="17"/>
      <c r="C835" s="14"/>
      <c r="D835" s="14"/>
      <c r="E835" s="14"/>
      <c r="F835" s="14"/>
      <c r="G835" s="14"/>
      <c r="H835" s="14"/>
    </row>
    <row r="836" ht="15.75" customHeight="1">
      <c r="A836" s="14"/>
      <c r="B836" s="17"/>
      <c r="C836" s="14"/>
      <c r="D836" s="14"/>
      <c r="E836" s="14"/>
      <c r="F836" s="14"/>
      <c r="G836" s="14"/>
      <c r="H836" s="14"/>
    </row>
    <row r="837" ht="15.75" customHeight="1">
      <c r="A837" s="14"/>
      <c r="B837" s="17"/>
      <c r="C837" s="14"/>
      <c r="D837" s="14"/>
      <c r="E837" s="14"/>
      <c r="F837" s="14"/>
      <c r="G837" s="14"/>
      <c r="H837" s="14"/>
    </row>
    <row r="838" ht="15.75" customHeight="1">
      <c r="A838" s="14"/>
      <c r="B838" s="17"/>
      <c r="C838" s="14"/>
      <c r="D838" s="14"/>
      <c r="E838" s="14"/>
      <c r="F838" s="14"/>
      <c r="G838" s="14"/>
      <c r="H838" s="14"/>
    </row>
    <row r="839" ht="15.75" customHeight="1">
      <c r="A839" s="14"/>
      <c r="B839" s="17"/>
      <c r="C839" s="14"/>
      <c r="D839" s="14"/>
      <c r="E839" s="14"/>
      <c r="F839" s="14"/>
      <c r="G839" s="14"/>
      <c r="H839" s="14"/>
    </row>
    <row r="840" ht="15.75" customHeight="1">
      <c r="A840" s="14"/>
      <c r="B840" s="17"/>
      <c r="C840" s="14"/>
      <c r="D840" s="14"/>
      <c r="E840" s="14"/>
      <c r="F840" s="14"/>
      <c r="G840" s="14"/>
      <c r="H840" s="14"/>
    </row>
    <row r="841" ht="15.75" customHeight="1">
      <c r="A841" s="14"/>
      <c r="B841" s="17"/>
      <c r="C841" s="14"/>
      <c r="D841" s="14"/>
      <c r="E841" s="14"/>
      <c r="F841" s="14"/>
      <c r="G841" s="14"/>
      <c r="H841" s="14"/>
    </row>
    <row r="842" ht="15.75" customHeight="1">
      <c r="A842" s="14"/>
      <c r="B842" s="17"/>
      <c r="C842" s="14"/>
      <c r="D842" s="14"/>
      <c r="E842" s="14"/>
      <c r="F842" s="14"/>
      <c r="G842" s="14"/>
      <c r="H842" s="14"/>
    </row>
    <row r="843" ht="15.75" customHeight="1">
      <c r="A843" s="14"/>
      <c r="B843" s="17"/>
      <c r="C843" s="14"/>
      <c r="D843" s="14"/>
      <c r="E843" s="14"/>
      <c r="F843" s="14"/>
      <c r="G843" s="14"/>
      <c r="H843" s="14"/>
    </row>
    <row r="844" ht="15.75" customHeight="1">
      <c r="A844" s="14"/>
      <c r="B844" s="17"/>
      <c r="C844" s="14"/>
      <c r="D844" s="14"/>
      <c r="E844" s="14"/>
      <c r="F844" s="14"/>
      <c r="G844" s="14"/>
      <c r="H844" s="14"/>
    </row>
    <row r="845" ht="15.75" customHeight="1">
      <c r="A845" s="14"/>
      <c r="B845" s="17"/>
      <c r="C845" s="14"/>
      <c r="D845" s="14"/>
      <c r="E845" s="14"/>
      <c r="F845" s="14"/>
      <c r="G845" s="14"/>
      <c r="H845" s="14"/>
    </row>
    <row r="846" ht="15.75" customHeight="1">
      <c r="A846" s="14"/>
      <c r="B846" s="17"/>
      <c r="C846" s="14"/>
      <c r="D846" s="14"/>
      <c r="E846" s="14"/>
      <c r="F846" s="14"/>
      <c r="G846" s="14"/>
      <c r="H846" s="14"/>
    </row>
    <row r="847" ht="15.75" customHeight="1">
      <c r="A847" s="14"/>
      <c r="B847" s="17"/>
      <c r="C847" s="14"/>
      <c r="D847" s="14"/>
      <c r="E847" s="14"/>
      <c r="F847" s="14"/>
      <c r="G847" s="14"/>
      <c r="H847" s="14"/>
    </row>
    <row r="848" ht="15.75" customHeight="1">
      <c r="A848" s="14"/>
      <c r="B848" s="17"/>
      <c r="C848" s="14"/>
      <c r="D848" s="14"/>
      <c r="E848" s="14"/>
      <c r="F848" s="14"/>
      <c r="G848" s="14"/>
      <c r="H848" s="14"/>
    </row>
    <row r="849" ht="15.75" customHeight="1">
      <c r="A849" s="14"/>
      <c r="B849" s="17"/>
      <c r="C849" s="14"/>
      <c r="D849" s="14"/>
      <c r="E849" s="14"/>
      <c r="F849" s="14"/>
      <c r="G849" s="14"/>
      <c r="H849" s="14"/>
    </row>
    <row r="850" ht="15.75" customHeight="1">
      <c r="A850" s="14"/>
      <c r="B850" s="17"/>
      <c r="C850" s="14"/>
      <c r="D850" s="14"/>
      <c r="E850" s="14"/>
      <c r="F850" s="14"/>
      <c r="G850" s="14"/>
      <c r="H850" s="14"/>
    </row>
    <row r="851" ht="15.75" customHeight="1">
      <c r="A851" s="14"/>
      <c r="B851" s="17"/>
      <c r="C851" s="14"/>
      <c r="D851" s="14"/>
      <c r="E851" s="14"/>
      <c r="F851" s="14"/>
      <c r="G851" s="14"/>
      <c r="H851" s="14"/>
    </row>
    <row r="852" ht="15.75" customHeight="1">
      <c r="A852" s="14"/>
      <c r="B852" s="17"/>
      <c r="C852" s="14"/>
      <c r="D852" s="14"/>
      <c r="E852" s="14"/>
      <c r="F852" s="14"/>
      <c r="G852" s="14"/>
      <c r="H852" s="14"/>
    </row>
    <row r="853" ht="15.75" customHeight="1">
      <c r="A853" s="14"/>
      <c r="B853" s="17"/>
      <c r="C853" s="14"/>
      <c r="D853" s="14"/>
      <c r="E853" s="14"/>
      <c r="F853" s="14"/>
      <c r="G853" s="14"/>
      <c r="H853" s="14"/>
    </row>
    <row r="854" ht="15.75" customHeight="1">
      <c r="A854" s="14"/>
      <c r="B854" s="17"/>
      <c r="C854" s="14"/>
      <c r="D854" s="14"/>
      <c r="E854" s="14"/>
      <c r="F854" s="14"/>
      <c r="G854" s="14"/>
      <c r="H854" s="14"/>
    </row>
    <row r="855" ht="15.75" customHeight="1">
      <c r="A855" s="14"/>
      <c r="B855" s="17"/>
      <c r="C855" s="14"/>
      <c r="D855" s="14"/>
      <c r="E855" s="14"/>
      <c r="F855" s="14"/>
      <c r="G855" s="14"/>
      <c r="H855" s="14"/>
    </row>
    <row r="856" ht="15.75" customHeight="1">
      <c r="A856" s="14"/>
      <c r="B856" s="17"/>
      <c r="C856" s="14"/>
      <c r="D856" s="14"/>
      <c r="E856" s="14"/>
      <c r="F856" s="14"/>
      <c r="G856" s="14"/>
      <c r="H856" s="14"/>
    </row>
    <row r="857" ht="15.75" customHeight="1">
      <c r="A857" s="14"/>
      <c r="B857" s="17"/>
      <c r="C857" s="14"/>
      <c r="D857" s="14"/>
      <c r="E857" s="14"/>
      <c r="F857" s="14"/>
      <c r="G857" s="14"/>
      <c r="H857" s="14"/>
    </row>
    <row r="858" ht="15.75" customHeight="1">
      <c r="A858" s="14"/>
      <c r="B858" s="17"/>
      <c r="C858" s="14"/>
      <c r="D858" s="14"/>
      <c r="E858" s="14"/>
      <c r="F858" s="14"/>
      <c r="G858" s="14"/>
      <c r="H858" s="14"/>
    </row>
    <row r="859" ht="15.75" customHeight="1">
      <c r="A859" s="14"/>
      <c r="B859" s="17"/>
      <c r="C859" s="14"/>
      <c r="D859" s="14"/>
      <c r="E859" s="14"/>
      <c r="F859" s="14"/>
      <c r="G859" s="14"/>
      <c r="H859" s="14"/>
    </row>
    <row r="860" ht="15.75" customHeight="1">
      <c r="A860" s="14"/>
      <c r="B860" s="17"/>
      <c r="C860" s="14"/>
      <c r="D860" s="14"/>
      <c r="E860" s="14"/>
      <c r="F860" s="14"/>
      <c r="G860" s="14"/>
      <c r="H860" s="14"/>
    </row>
    <row r="861" ht="15.75" customHeight="1">
      <c r="A861" s="14"/>
      <c r="B861" s="17"/>
      <c r="C861" s="14"/>
      <c r="D861" s="14"/>
      <c r="E861" s="14"/>
      <c r="F861" s="14"/>
      <c r="G861" s="14"/>
      <c r="H861" s="14"/>
    </row>
    <row r="862" ht="15.75" customHeight="1">
      <c r="A862" s="14"/>
      <c r="B862" s="17"/>
      <c r="C862" s="14"/>
      <c r="D862" s="14"/>
      <c r="E862" s="14"/>
      <c r="F862" s="14"/>
      <c r="G862" s="14"/>
      <c r="H862" s="14"/>
    </row>
    <row r="863" ht="15.75" customHeight="1">
      <c r="A863" s="14"/>
      <c r="B863" s="17"/>
      <c r="C863" s="14"/>
      <c r="D863" s="14"/>
      <c r="E863" s="14"/>
      <c r="F863" s="14"/>
      <c r="G863" s="14"/>
      <c r="H863" s="14"/>
    </row>
    <row r="864" ht="15.75" customHeight="1">
      <c r="A864" s="14"/>
      <c r="B864" s="17"/>
      <c r="C864" s="14"/>
      <c r="D864" s="14"/>
      <c r="E864" s="14"/>
      <c r="F864" s="14"/>
      <c r="G864" s="14"/>
      <c r="H864" s="14"/>
    </row>
    <row r="865" ht="15.75" customHeight="1">
      <c r="A865" s="14"/>
      <c r="B865" s="17"/>
      <c r="C865" s="14"/>
      <c r="D865" s="14"/>
      <c r="E865" s="14"/>
      <c r="F865" s="14"/>
      <c r="G865" s="14"/>
      <c r="H865" s="14"/>
    </row>
    <row r="866" ht="15.75" customHeight="1">
      <c r="A866" s="14"/>
      <c r="B866" s="17"/>
      <c r="C866" s="14"/>
      <c r="D866" s="14"/>
      <c r="E866" s="14"/>
      <c r="F866" s="14"/>
      <c r="G866" s="14"/>
      <c r="H866" s="14"/>
    </row>
    <row r="867" ht="15.75" customHeight="1">
      <c r="A867" s="14"/>
      <c r="B867" s="17"/>
      <c r="C867" s="14"/>
      <c r="D867" s="14"/>
      <c r="E867" s="14"/>
      <c r="F867" s="14"/>
      <c r="G867" s="14"/>
      <c r="H867" s="14"/>
    </row>
    <row r="868" ht="15.75" customHeight="1">
      <c r="A868" s="14"/>
      <c r="B868" s="17"/>
      <c r="C868" s="14"/>
      <c r="D868" s="14"/>
      <c r="E868" s="14"/>
      <c r="F868" s="14"/>
      <c r="G868" s="14"/>
      <c r="H868" s="14"/>
    </row>
    <row r="869" ht="15.75" customHeight="1">
      <c r="A869" s="14"/>
      <c r="B869" s="17"/>
      <c r="C869" s="14"/>
      <c r="D869" s="14"/>
      <c r="E869" s="14"/>
      <c r="F869" s="14"/>
      <c r="G869" s="14"/>
      <c r="H869" s="14"/>
    </row>
    <row r="870" ht="15.75" customHeight="1">
      <c r="A870" s="14"/>
      <c r="B870" s="17"/>
      <c r="C870" s="14"/>
      <c r="D870" s="14"/>
      <c r="E870" s="14"/>
      <c r="F870" s="14"/>
      <c r="G870" s="14"/>
      <c r="H870" s="14"/>
    </row>
    <row r="871" ht="15.75" customHeight="1">
      <c r="A871" s="14"/>
      <c r="B871" s="17"/>
      <c r="C871" s="14"/>
      <c r="D871" s="14"/>
      <c r="E871" s="14"/>
      <c r="F871" s="14"/>
      <c r="G871" s="14"/>
      <c r="H871" s="14"/>
    </row>
    <row r="872" ht="15.75" customHeight="1">
      <c r="A872" s="14"/>
      <c r="B872" s="17"/>
      <c r="C872" s="14"/>
      <c r="D872" s="14"/>
      <c r="E872" s="14"/>
      <c r="F872" s="14"/>
      <c r="G872" s="14"/>
      <c r="H872" s="14"/>
    </row>
    <row r="873" ht="15.75" customHeight="1">
      <c r="A873" s="14"/>
      <c r="B873" s="17"/>
      <c r="C873" s="14"/>
      <c r="D873" s="14"/>
      <c r="E873" s="14"/>
      <c r="F873" s="14"/>
      <c r="G873" s="14"/>
      <c r="H873" s="14"/>
    </row>
    <row r="874" ht="15.75" customHeight="1">
      <c r="A874" s="14"/>
      <c r="B874" s="17"/>
      <c r="C874" s="14"/>
      <c r="D874" s="14"/>
      <c r="E874" s="14"/>
      <c r="F874" s="14"/>
      <c r="G874" s="14"/>
      <c r="H874" s="14"/>
    </row>
    <row r="875" ht="15.75" customHeight="1">
      <c r="A875" s="14"/>
      <c r="B875" s="17"/>
      <c r="C875" s="14"/>
      <c r="D875" s="14"/>
      <c r="E875" s="14"/>
      <c r="F875" s="14"/>
      <c r="G875" s="14"/>
      <c r="H875" s="14"/>
    </row>
    <row r="876" ht="15.75" customHeight="1">
      <c r="A876" s="14"/>
      <c r="B876" s="17"/>
      <c r="C876" s="14"/>
      <c r="D876" s="14"/>
      <c r="E876" s="14"/>
      <c r="F876" s="14"/>
      <c r="G876" s="14"/>
      <c r="H876" s="14"/>
    </row>
    <row r="877" ht="15.75" customHeight="1">
      <c r="A877" s="14"/>
      <c r="B877" s="17"/>
      <c r="C877" s="14"/>
      <c r="D877" s="14"/>
      <c r="E877" s="14"/>
      <c r="F877" s="14"/>
      <c r="G877" s="14"/>
      <c r="H877" s="14"/>
    </row>
    <row r="878" ht="15.75" customHeight="1">
      <c r="A878" s="14"/>
      <c r="B878" s="17"/>
      <c r="C878" s="14"/>
      <c r="D878" s="14"/>
      <c r="E878" s="14"/>
      <c r="F878" s="14"/>
      <c r="G878" s="14"/>
      <c r="H878" s="14"/>
    </row>
    <row r="879" ht="15.75" customHeight="1">
      <c r="A879" s="14"/>
      <c r="B879" s="17"/>
      <c r="C879" s="14"/>
      <c r="D879" s="14"/>
      <c r="E879" s="14"/>
      <c r="F879" s="14"/>
      <c r="G879" s="14"/>
      <c r="H879" s="14"/>
    </row>
    <row r="880" ht="15.75" customHeight="1">
      <c r="A880" s="14"/>
      <c r="B880" s="17"/>
      <c r="C880" s="14"/>
      <c r="D880" s="14"/>
      <c r="E880" s="14"/>
      <c r="F880" s="14"/>
      <c r="G880" s="14"/>
      <c r="H880" s="14"/>
    </row>
    <row r="881" ht="15.75" customHeight="1">
      <c r="A881" s="14"/>
      <c r="B881" s="17"/>
      <c r="C881" s="14"/>
      <c r="D881" s="14"/>
      <c r="E881" s="14"/>
      <c r="F881" s="14"/>
      <c r="G881" s="14"/>
      <c r="H881" s="14"/>
    </row>
    <row r="882" ht="15.75" customHeight="1">
      <c r="A882" s="14"/>
      <c r="B882" s="17"/>
      <c r="C882" s="14"/>
      <c r="D882" s="14"/>
      <c r="E882" s="14"/>
      <c r="F882" s="14"/>
      <c r="G882" s="14"/>
      <c r="H882" s="14"/>
    </row>
    <row r="883" ht="15.75" customHeight="1">
      <c r="A883" s="14"/>
      <c r="B883" s="17"/>
      <c r="C883" s="14"/>
      <c r="D883" s="14"/>
      <c r="E883" s="14"/>
      <c r="F883" s="14"/>
      <c r="G883" s="14"/>
      <c r="H883" s="14"/>
    </row>
    <row r="884" ht="15.75" customHeight="1">
      <c r="A884" s="14"/>
      <c r="B884" s="17"/>
      <c r="C884" s="14"/>
      <c r="D884" s="14"/>
      <c r="E884" s="14"/>
      <c r="F884" s="14"/>
      <c r="G884" s="14"/>
      <c r="H884" s="14"/>
    </row>
    <row r="885" ht="15.75" customHeight="1">
      <c r="A885" s="14"/>
      <c r="B885" s="17"/>
      <c r="C885" s="14"/>
      <c r="D885" s="14"/>
      <c r="E885" s="14"/>
      <c r="F885" s="14"/>
      <c r="G885" s="14"/>
      <c r="H885" s="14"/>
    </row>
    <row r="886" ht="15.75" customHeight="1">
      <c r="A886" s="14"/>
      <c r="B886" s="17"/>
      <c r="C886" s="14"/>
      <c r="D886" s="14"/>
      <c r="E886" s="14"/>
      <c r="F886" s="14"/>
      <c r="G886" s="14"/>
      <c r="H886" s="14"/>
    </row>
    <row r="887" ht="15.75" customHeight="1">
      <c r="A887" s="14"/>
      <c r="B887" s="17"/>
      <c r="C887" s="14"/>
      <c r="D887" s="14"/>
      <c r="E887" s="14"/>
      <c r="F887" s="14"/>
      <c r="G887" s="14"/>
      <c r="H887" s="14"/>
    </row>
    <row r="888" ht="15.75" customHeight="1">
      <c r="A888" s="14"/>
      <c r="B888" s="17"/>
      <c r="C888" s="14"/>
      <c r="D888" s="14"/>
      <c r="E888" s="14"/>
      <c r="F888" s="14"/>
      <c r="G888" s="14"/>
      <c r="H888" s="14"/>
    </row>
    <row r="889" ht="15.75" customHeight="1">
      <c r="A889" s="14"/>
      <c r="B889" s="17"/>
      <c r="C889" s="14"/>
      <c r="D889" s="14"/>
      <c r="E889" s="14"/>
      <c r="F889" s="14"/>
      <c r="G889" s="14"/>
      <c r="H889" s="14"/>
    </row>
    <row r="890" ht="15.75" customHeight="1">
      <c r="A890" s="14"/>
      <c r="B890" s="17"/>
      <c r="C890" s="14"/>
      <c r="D890" s="14"/>
      <c r="E890" s="14"/>
      <c r="F890" s="14"/>
      <c r="G890" s="14"/>
      <c r="H890" s="14"/>
    </row>
    <row r="891" ht="15.75" customHeight="1">
      <c r="A891" s="14"/>
      <c r="B891" s="17"/>
      <c r="C891" s="14"/>
      <c r="D891" s="14"/>
      <c r="E891" s="14"/>
      <c r="F891" s="14"/>
      <c r="G891" s="14"/>
      <c r="H891" s="14"/>
    </row>
    <row r="892" ht="15.75" customHeight="1">
      <c r="A892" s="14"/>
      <c r="B892" s="17"/>
      <c r="C892" s="14"/>
      <c r="D892" s="14"/>
      <c r="E892" s="14"/>
      <c r="F892" s="14"/>
      <c r="G892" s="14"/>
      <c r="H892" s="14"/>
    </row>
    <row r="893" ht="15.75" customHeight="1">
      <c r="A893" s="14"/>
      <c r="B893" s="17"/>
      <c r="C893" s="14"/>
      <c r="D893" s="14"/>
      <c r="E893" s="14"/>
      <c r="F893" s="14"/>
      <c r="G893" s="14"/>
      <c r="H893" s="14"/>
    </row>
    <row r="894" ht="15.75" customHeight="1">
      <c r="A894" s="14"/>
      <c r="B894" s="17"/>
      <c r="C894" s="14"/>
      <c r="D894" s="14"/>
      <c r="E894" s="14"/>
      <c r="F894" s="14"/>
      <c r="G894" s="14"/>
      <c r="H894" s="14"/>
    </row>
    <row r="895" ht="15.75" customHeight="1">
      <c r="A895" s="14"/>
      <c r="B895" s="17"/>
      <c r="C895" s="14"/>
      <c r="D895" s="14"/>
      <c r="E895" s="14"/>
      <c r="F895" s="14"/>
      <c r="G895" s="14"/>
      <c r="H895" s="14"/>
    </row>
    <row r="896" ht="15.75" customHeight="1">
      <c r="A896" s="14"/>
      <c r="B896" s="17"/>
      <c r="C896" s="14"/>
      <c r="D896" s="14"/>
      <c r="E896" s="14"/>
      <c r="F896" s="14"/>
      <c r="G896" s="14"/>
      <c r="H896" s="14"/>
    </row>
    <row r="897" ht="15.75" customHeight="1">
      <c r="A897" s="14"/>
      <c r="B897" s="17"/>
      <c r="C897" s="14"/>
      <c r="D897" s="14"/>
      <c r="E897" s="14"/>
      <c r="F897" s="14"/>
      <c r="G897" s="14"/>
      <c r="H897" s="14"/>
    </row>
    <row r="898" ht="15.75" customHeight="1">
      <c r="A898" s="14"/>
      <c r="B898" s="17"/>
      <c r="C898" s="14"/>
      <c r="D898" s="14"/>
      <c r="E898" s="14"/>
      <c r="F898" s="14"/>
      <c r="G898" s="14"/>
      <c r="H898" s="14"/>
    </row>
    <row r="899" ht="15.75" customHeight="1">
      <c r="A899" s="14"/>
      <c r="B899" s="17"/>
      <c r="C899" s="14"/>
      <c r="D899" s="14"/>
      <c r="E899" s="14"/>
      <c r="F899" s="14"/>
      <c r="G899" s="14"/>
      <c r="H899" s="14"/>
    </row>
    <row r="900" ht="15.75" customHeight="1">
      <c r="A900" s="14"/>
      <c r="B900" s="17"/>
      <c r="C900" s="14"/>
      <c r="D900" s="14"/>
      <c r="E900" s="14"/>
      <c r="F900" s="14"/>
      <c r="G900" s="14"/>
      <c r="H900" s="14"/>
    </row>
    <row r="901" ht="15.75" customHeight="1">
      <c r="A901" s="14"/>
      <c r="B901" s="17"/>
      <c r="C901" s="14"/>
      <c r="D901" s="14"/>
      <c r="E901" s="14"/>
      <c r="F901" s="14"/>
      <c r="G901" s="14"/>
      <c r="H901" s="14"/>
    </row>
    <row r="902" ht="15.75" customHeight="1">
      <c r="A902" s="14"/>
      <c r="B902" s="17"/>
      <c r="C902" s="14"/>
      <c r="D902" s="14"/>
      <c r="E902" s="14"/>
      <c r="F902" s="14"/>
      <c r="G902" s="14"/>
      <c r="H902" s="14"/>
    </row>
    <row r="903" ht="15.75" customHeight="1">
      <c r="A903" s="14"/>
      <c r="B903" s="17"/>
      <c r="C903" s="14"/>
      <c r="D903" s="14"/>
      <c r="E903" s="14"/>
      <c r="F903" s="14"/>
      <c r="G903" s="14"/>
      <c r="H903" s="14"/>
    </row>
    <row r="904" ht="15.75" customHeight="1">
      <c r="A904" s="14"/>
      <c r="B904" s="17"/>
      <c r="C904" s="14"/>
      <c r="D904" s="14"/>
      <c r="E904" s="14"/>
      <c r="F904" s="14"/>
      <c r="G904" s="14"/>
      <c r="H904" s="14"/>
    </row>
    <row r="905" ht="15.75" customHeight="1">
      <c r="A905" s="14"/>
      <c r="B905" s="17"/>
      <c r="C905" s="14"/>
      <c r="D905" s="14"/>
      <c r="E905" s="14"/>
      <c r="F905" s="14"/>
      <c r="G905" s="14"/>
      <c r="H905" s="14"/>
    </row>
    <row r="906" ht="15.75" customHeight="1">
      <c r="A906" s="14"/>
      <c r="B906" s="17"/>
      <c r="C906" s="14"/>
      <c r="D906" s="14"/>
      <c r="E906" s="14"/>
      <c r="F906" s="14"/>
      <c r="G906" s="14"/>
      <c r="H906" s="14"/>
    </row>
    <row r="907" ht="15.75" customHeight="1">
      <c r="A907" s="14"/>
      <c r="B907" s="17"/>
      <c r="C907" s="14"/>
      <c r="D907" s="14"/>
      <c r="E907" s="14"/>
      <c r="F907" s="14"/>
      <c r="G907" s="14"/>
      <c r="H907" s="14"/>
    </row>
    <row r="908" ht="15.75" customHeight="1">
      <c r="A908" s="14"/>
      <c r="B908" s="17"/>
      <c r="C908" s="14"/>
      <c r="D908" s="14"/>
      <c r="E908" s="14"/>
      <c r="F908" s="14"/>
      <c r="G908" s="14"/>
      <c r="H908" s="14"/>
    </row>
    <row r="909" ht="15.75" customHeight="1">
      <c r="A909" s="14"/>
      <c r="B909" s="17"/>
      <c r="C909" s="14"/>
      <c r="D909" s="14"/>
      <c r="E909" s="14"/>
      <c r="F909" s="14"/>
      <c r="G909" s="14"/>
      <c r="H909" s="14"/>
    </row>
    <row r="910" ht="15.75" customHeight="1">
      <c r="A910" s="14"/>
      <c r="B910" s="17"/>
      <c r="C910" s="14"/>
      <c r="D910" s="14"/>
      <c r="E910" s="14"/>
      <c r="F910" s="14"/>
      <c r="G910" s="14"/>
      <c r="H910" s="14"/>
    </row>
    <row r="911" ht="15.75" customHeight="1">
      <c r="A911" s="14"/>
      <c r="B911" s="17"/>
      <c r="C911" s="14"/>
      <c r="D911" s="14"/>
      <c r="E911" s="14"/>
      <c r="F911" s="14"/>
      <c r="G911" s="14"/>
      <c r="H911" s="14"/>
    </row>
    <row r="912" ht="15.75" customHeight="1">
      <c r="A912" s="14"/>
      <c r="B912" s="17"/>
      <c r="C912" s="14"/>
      <c r="D912" s="14"/>
      <c r="E912" s="14"/>
      <c r="F912" s="14"/>
      <c r="G912" s="14"/>
      <c r="H912" s="14"/>
    </row>
    <row r="913" ht="15.75" customHeight="1">
      <c r="A913" s="14"/>
      <c r="B913" s="17"/>
      <c r="C913" s="14"/>
      <c r="D913" s="14"/>
      <c r="E913" s="14"/>
      <c r="F913" s="14"/>
      <c r="G913" s="14"/>
      <c r="H913" s="14"/>
    </row>
    <row r="914" ht="15.75" customHeight="1">
      <c r="A914" s="14"/>
      <c r="B914" s="17"/>
      <c r="C914" s="14"/>
      <c r="D914" s="14"/>
      <c r="E914" s="14"/>
      <c r="F914" s="14"/>
      <c r="G914" s="14"/>
      <c r="H914" s="14"/>
    </row>
    <row r="915" ht="15.75" customHeight="1">
      <c r="A915" s="14"/>
      <c r="B915" s="17"/>
      <c r="C915" s="14"/>
      <c r="D915" s="14"/>
      <c r="E915" s="14"/>
      <c r="F915" s="14"/>
      <c r="G915" s="14"/>
      <c r="H915" s="14"/>
    </row>
    <row r="916" ht="15.75" customHeight="1">
      <c r="A916" s="14"/>
      <c r="B916" s="17"/>
      <c r="C916" s="14"/>
      <c r="D916" s="14"/>
      <c r="E916" s="14"/>
      <c r="F916" s="14"/>
      <c r="G916" s="14"/>
      <c r="H916" s="14"/>
    </row>
    <row r="917" ht="15.75" customHeight="1">
      <c r="A917" s="14"/>
      <c r="B917" s="17"/>
      <c r="C917" s="14"/>
      <c r="D917" s="14"/>
      <c r="E917" s="14"/>
      <c r="F917" s="14"/>
      <c r="G917" s="14"/>
      <c r="H917" s="14"/>
    </row>
    <row r="918" ht="15.75" customHeight="1">
      <c r="A918" s="14"/>
      <c r="B918" s="17"/>
      <c r="C918" s="14"/>
      <c r="D918" s="14"/>
      <c r="E918" s="14"/>
      <c r="F918" s="14"/>
      <c r="G918" s="14"/>
      <c r="H918" s="14"/>
    </row>
    <row r="919" ht="15.75" customHeight="1">
      <c r="A919" s="14"/>
      <c r="B919" s="17"/>
      <c r="C919" s="14"/>
      <c r="D919" s="14"/>
      <c r="E919" s="14"/>
      <c r="F919" s="14"/>
      <c r="G919" s="14"/>
      <c r="H919" s="14"/>
    </row>
    <row r="920" ht="15.75" customHeight="1">
      <c r="A920" s="14"/>
      <c r="B920" s="17"/>
      <c r="C920" s="14"/>
      <c r="D920" s="14"/>
      <c r="E920" s="14"/>
      <c r="F920" s="14"/>
      <c r="G920" s="14"/>
      <c r="H920" s="14"/>
    </row>
    <row r="921" ht="15.75" customHeight="1">
      <c r="A921" s="14"/>
      <c r="B921" s="17"/>
      <c r="C921" s="14"/>
      <c r="D921" s="14"/>
      <c r="E921" s="14"/>
      <c r="F921" s="14"/>
      <c r="G921" s="14"/>
      <c r="H921" s="14"/>
    </row>
    <row r="922" ht="15.75" customHeight="1">
      <c r="A922" s="14"/>
      <c r="B922" s="17"/>
      <c r="C922" s="14"/>
      <c r="D922" s="14"/>
      <c r="E922" s="14"/>
      <c r="F922" s="14"/>
      <c r="G922" s="14"/>
      <c r="H922" s="14"/>
    </row>
    <row r="923" ht="15.75" customHeight="1">
      <c r="A923" s="14"/>
      <c r="B923" s="17"/>
      <c r="C923" s="14"/>
      <c r="D923" s="14"/>
      <c r="E923" s="14"/>
      <c r="F923" s="14"/>
      <c r="G923" s="14"/>
      <c r="H923" s="14"/>
    </row>
    <row r="924" ht="15.75" customHeight="1">
      <c r="A924" s="14"/>
      <c r="B924" s="17"/>
      <c r="C924" s="14"/>
      <c r="D924" s="14"/>
      <c r="E924" s="14"/>
      <c r="F924" s="14"/>
      <c r="G924" s="14"/>
      <c r="H924" s="14"/>
    </row>
    <row r="925" ht="15.75" customHeight="1">
      <c r="A925" s="14"/>
      <c r="B925" s="17"/>
      <c r="C925" s="14"/>
      <c r="D925" s="14"/>
      <c r="E925" s="14"/>
      <c r="F925" s="14"/>
      <c r="G925" s="14"/>
      <c r="H925" s="14"/>
    </row>
    <row r="926" ht="15.75" customHeight="1">
      <c r="A926" s="14"/>
      <c r="B926" s="17"/>
      <c r="C926" s="14"/>
      <c r="D926" s="14"/>
      <c r="E926" s="14"/>
      <c r="F926" s="14"/>
      <c r="G926" s="14"/>
      <c r="H926" s="14"/>
    </row>
    <row r="927" ht="15.75" customHeight="1">
      <c r="A927" s="14"/>
      <c r="B927" s="17"/>
      <c r="C927" s="14"/>
      <c r="D927" s="14"/>
      <c r="E927" s="14"/>
      <c r="F927" s="14"/>
      <c r="G927" s="14"/>
      <c r="H927" s="14"/>
    </row>
    <row r="928" ht="15.75" customHeight="1">
      <c r="A928" s="14"/>
      <c r="B928" s="17"/>
      <c r="C928" s="14"/>
      <c r="D928" s="14"/>
      <c r="E928" s="14"/>
      <c r="F928" s="14"/>
      <c r="G928" s="14"/>
      <c r="H928" s="14"/>
    </row>
    <row r="929" ht="15.75" customHeight="1">
      <c r="A929" s="14"/>
      <c r="B929" s="17"/>
      <c r="C929" s="14"/>
      <c r="D929" s="14"/>
      <c r="E929" s="14"/>
      <c r="F929" s="14"/>
      <c r="G929" s="14"/>
      <c r="H929" s="14"/>
    </row>
    <row r="930" ht="15.75" customHeight="1">
      <c r="A930" s="14"/>
      <c r="B930" s="17"/>
      <c r="C930" s="14"/>
      <c r="D930" s="14"/>
      <c r="E930" s="14"/>
      <c r="F930" s="14"/>
      <c r="G930" s="14"/>
      <c r="H930" s="14"/>
    </row>
    <row r="931" ht="15.75" customHeight="1">
      <c r="A931" s="14"/>
      <c r="B931" s="17"/>
      <c r="C931" s="14"/>
      <c r="D931" s="14"/>
      <c r="E931" s="14"/>
      <c r="F931" s="14"/>
      <c r="G931" s="14"/>
      <c r="H931" s="14"/>
    </row>
    <row r="932" ht="15.75" customHeight="1">
      <c r="A932" s="14"/>
      <c r="B932" s="17"/>
      <c r="C932" s="14"/>
      <c r="D932" s="14"/>
      <c r="E932" s="14"/>
      <c r="F932" s="14"/>
      <c r="G932" s="14"/>
      <c r="H932" s="14"/>
    </row>
    <row r="933" ht="15.75" customHeight="1">
      <c r="A933" s="14"/>
      <c r="B933" s="17"/>
      <c r="C933" s="14"/>
      <c r="D933" s="14"/>
      <c r="E933" s="14"/>
      <c r="F933" s="14"/>
      <c r="G933" s="14"/>
      <c r="H933" s="14"/>
    </row>
    <row r="934" ht="15.75" customHeight="1">
      <c r="A934" s="14"/>
      <c r="B934" s="17"/>
      <c r="C934" s="14"/>
      <c r="D934" s="14"/>
      <c r="E934" s="14"/>
      <c r="F934" s="14"/>
      <c r="G934" s="14"/>
      <c r="H934" s="14"/>
    </row>
    <row r="935" ht="15.75" customHeight="1">
      <c r="A935" s="14"/>
      <c r="B935" s="17"/>
      <c r="C935" s="14"/>
      <c r="D935" s="14"/>
      <c r="E935" s="14"/>
      <c r="F935" s="14"/>
      <c r="G935" s="14"/>
      <c r="H935" s="14"/>
    </row>
    <row r="936" ht="15.75" customHeight="1">
      <c r="A936" s="14"/>
      <c r="B936" s="17"/>
      <c r="C936" s="14"/>
      <c r="D936" s="14"/>
      <c r="E936" s="14"/>
      <c r="F936" s="14"/>
      <c r="G936" s="14"/>
      <c r="H936" s="14"/>
    </row>
    <row r="937" ht="15.75" customHeight="1">
      <c r="A937" s="14"/>
      <c r="B937" s="17"/>
      <c r="C937" s="14"/>
      <c r="D937" s="14"/>
      <c r="E937" s="14"/>
      <c r="F937" s="14"/>
      <c r="G937" s="14"/>
      <c r="H937" s="14"/>
    </row>
    <row r="938" ht="15.75" customHeight="1">
      <c r="A938" s="14"/>
      <c r="B938" s="17"/>
      <c r="C938" s="14"/>
      <c r="D938" s="14"/>
      <c r="E938" s="14"/>
      <c r="F938" s="14"/>
      <c r="G938" s="14"/>
      <c r="H938" s="14"/>
    </row>
    <row r="939" ht="15.75" customHeight="1">
      <c r="A939" s="14"/>
      <c r="B939" s="17"/>
      <c r="C939" s="14"/>
      <c r="D939" s="14"/>
      <c r="E939" s="14"/>
      <c r="F939" s="14"/>
      <c r="G939" s="14"/>
      <c r="H939" s="14"/>
    </row>
    <row r="940" ht="15.75" customHeight="1">
      <c r="A940" s="14"/>
      <c r="B940" s="17"/>
      <c r="C940" s="14"/>
      <c r="D940" s="14"/>
      <c r="E940" s="14"/>
      <c r="F940" s="14"/>
      <c r="G940" s="14"/>
      <c r="H940" s="14"/>
    </row>
    <row r="941" ht="15.75" customHeight="1">
      <c r="A941" s="14"/>
      <c r="B941" s="17"/>
      <c r="C941" s="14"/>
      <c r="D941" s="14"/>
      <c r="E941" s="14"/>
      <c r="F941" s="14"/>
      <c r="G941" s="14"/>
      <c r="H941" s="14"/>
    </row>
    <row r="942" ht="15.75" customHeight="1">
      <c r="A942" s="14"/>
      <c r="B942" s="17"/>
      <c r="C942" s="14"/>
      <c r="D942" s="14"/>
      <c r="E942" s="14"/>
      <c r="F942" s="14"/>
      <c r="G942" s="14"/>
      <c r="H942" s="14"/>
    </row>
    <row r="943" ht="15.75" customHeight="1">
      <c r="A943" s="14"/>
      <c r="B943" s="17"/>
      <c r="C943" s="14"/>
      <c r="D943" s="14"/>
      <c r="E943" s="14"/>
      <c r="F943" s="14"/>
      <c r="G943" s="14"/>
      <c r="H943" s="14"/>
    </row>
    <row r="944" ht="15.75" customHeight="1">
      <c r="A944" s="14"/>
      <c r="B944" s="17"/>
      <c r="C944" s="14"/>
      <c r="D944" s="14"/>
      <c r="E944" s="14"/>
      <c r="F944" s="14"/>
      <c r="G944" s="14"/>
      <c r="H944" s="14"/>
    </row>
    <row r="945" ht="15.75" customHeight="1">
      <c r="A945" s="14"/>
      <c r="B945" s="17"/>
      <c r="C945" s="14"/>
      <c r="D945" s="14"/>
      <c r="E945" s="14"/>
      <c r="F945" s="14"/>
      <c r="G945" s="14"/>
      <c r="H945" s="14"/>
    </row>
    <row r="946" ht="15.75" customHeight="1">
      <c r="A946" s="14"/>
      <c r="B946" s="17"/>
      <c r="C946" s="14"/>
      <c r="D946" s="14"/>
      <c r="E946" s="14"/>
      <c r="F946" s="14"/>
      <c r="G946" s="14"/>
      <c r="H946" s="14"/>
    </row>
    <row r="947" ht="15.75" customHeight="1">
      <c r="A947" s="14"/>
      <c r="B947" s="17"/>
      <c r="C947" s="14"/>
      <c r="D947" s="14"/>
      <c r="E947" s="14"/>
      <c r="F947" s="14"/>
      <c r="G947" s="14"/>
      <c r="H947" s="14"/>
    </row>
    <row r="948" ht="15.75" customHeight="1">
      <c r="A948" s="14"/>
      <c r="B948" s="17"/>
      <c r="C948" s="14"/>
      <c r="D948" s="14"/>
      <c r="E948" s="14"/>
      <c r="F948" s="14"/>
      <c r="G948" s="14"/>
      <c r="H948" s="14"/>
    </row>
    <row r="949" ht="15.75" customHeight="1">
      <c r="A949" s="14"/>
      <c r="B949" s="17"/>
      <c r="C949" s="14"/>
      <c r="D949" s="14"/>
      <c r="E949" s="14"/>
      <c r="F949" s="14"/>
      <c r="G949" s="14"/>
      <c r="H949" s="14"/>
    </row>
    <row r="950" ht="15.75" customHeight="1">
      <c r="A950" s="14"/>
      <c r="B950" s="17"/>
      <c r="C950" s="14"/>
      <c r="D950" s="14"/>
      <c r="E950" s="14"/>
      <c r="F950" s="14"/>
      <c r="G950" s="14"/>
      <c r="H950" s="14"/>
    </row>
    <row r="951" ht="15.75" customHeight="1">
      <c r="A951" s="14"/>
      <c r="B951" s="17"/>
      <c r="C951" s="14"/>
      <c r="D951" s="14"/>
      <c r="E951" s="14"/>
      <c r="F951" s="14"/>
      <c r="G951" s="14"/>
      <c r="H951" s="14"/>
    </row>
    <row r="952" ht="15.75" customHeight="1">
      <c r="A952" s="14"/>
      <c r="B952" s="17"/>
      <c r="C952" s="14"/>
      <c r="D952" s="14"/>
      <c r="E952" s="14"/>
      <c r="F952" s="14"/>
      <c r="G952" s="14"/>
      <c r="H952" s="14"/>
    </row>
    <row r="953" ht="15.75" customHeight="1">
      <c r="A953" s="14"/>
      <c r="B953" s="17"/>
      <c r="C953" s="14"/>
      <c r="D953" s="14"/>
      <c r="E953" s="14"/>
      <c r="F953" s="14"/>
      <c r="G953" s="14"/>
      <c r="H953" s="14"/>
    </row>
    <row r="954" ht="15.75" customHeight="1">
      <c r="A954" s="14"/>
      <c r="B954" s="17"/>
      <c r="C954" s="14"/>
      <c r="D954" s="14"/>
      <c r="E954" s="14"/>
      <c r="F954" s="14"/>
      <c r="G954" s="14"/>
      <c r="H954" s="14"/>
    </row>
    <row r="955" ht="15.75" customHeight="1">
      <c r="A955" s="14"/>
      <c r="B955" s="17"/>
      <c r="C955" s="14"/>
      <c r="D955" s="14"/>
      <c r="E955" s="14"/>
      <c r="F955" s="14"/>
      <c r="G955" s="14"/>
      <c r="H955" s="14"/>
    </row>
    <row r="956" ht="15.75" customHeight="1">
      <c r="A956" s="14"/>
      <c r="B956" s="17"/>
      <c r="C956" s="14"/>
      <c r="D956" s="14"/>
      <c r="E956" s="14"/>
      <c r="F956" s="14"/>
      <c r="G956" s="14"/>
      <c r="H956" s="14"/>
    </row>
    <row r="957" ht="15.75" customHeight="1">
      <c r="A957" s="14"/>
      <c r="B957" s="17"/>
      <c r="C957" s="14"/>
      <c r="D957" s="14"/>
      <c r="E957" s="14"/>
      <c r="F957" s="14"/>
      <c r="G957" s="14"/>
      <c r="H957" s="14"/>
    </row>
    <row r="958" ht="15.75" customHeight="1">
      <c r="A958" s="14"/>
      <c r="B958" s="17"/>
      <c r="C958" s="14"/>
      <c r="D958" s="14"/>
      <c r="E958" s="14"/>
      <c r="F958" s="14"/>
      <c r="G958" s="14"/>
      <c r="H958" s="14"/>
    </row>
    <row r="959" ht="15.75" customHeight="1">
      <c r="A959" s="14"/>
      <c r="B959" s="17"/>
      <c r="C959" s="14"/>
      <c r="D959" s="14"/>
      <c r="E959" s="14"/>
      <c r="F959" s="14"/>
      <c r="G959" s="14"/>
      <c r="H959" s="14"/>
    </row>
    <row r="960" ht="15.75" customHeight="1">
      <c r="A960" s="14"/>
      <c r="B960" s="17"/>
      <c r="C960" s="14"/>
      <c r="D960" s="14"/>
      <c r="E960" s="14"/>
      <c r="F960" s="14"/>
      <c r="G960" s="14"/>
      <c r="H960" s="14"/>
    </row>
    <row r="961" ht="15.75" customHeight="1">
      <c r="A961" s="14"/>
      <c r="B961" s="17"/>
      <c r="C961" s="14"/>
      <c r="D961" s="14"/>
      <c r="E961" s="14"/>
      <c r="F961" s="14"/>
      <c r="G961" s="14"/>
      <c r="H961" s="14"/>
    </row>
    <row r="962" ht="15.75" customHeight="1">
      <c r="A962" s="14"/>
      <c r="B962" s="17"/>
      <c r="C962" s="14"/>
      <c r="D962" s="14"/>
      <c r="E962" s="14"/>
      <c r="F962" s="14"/>
      <c r="G962" s="14"/>
      <c r="H962" s="14"/>
    </row>
    <row r="963" ht="15.75" customHeight="1">
      <c r="A963" s="14"/>
      <c r="B963" s="17"/>
      <c r="C963" s="14"/>
      <c r="D963" s="14"/>
      <c r="E963" s="14"/>
      <c r="F963" s="14"/>
      <c r="G963" s="14"/>
      <c r="H963" s="14"/>
    </row>
    <row r="964" ht="15.75" customHeight="1">
      <c r="A964" s="14"/>
      <c r="B964" s="17"/>
      <c r="C964" s="14"/>
      <c r="D964" s="14"/>
      <c r="E964" s="14"/>
      <c r="F964" s="14"/>
      <c r="G964" s="14"/>
      <c r="H964" s="14"/>
    </row>
    <row r="965" ht="15.75" customHeight="1">
      <c r="A965" s="14"/>
      <c r="B965" s="17"/>
      <c r="C965" s="14"/>
      <c r="D965" s="14"/>
      <c r="E965" s="14"/>
      <c r="F965" s="14"/>
      <c r="G965" s="14"/>
      <c r="H965" s="14"/>
    </row>
    <row r="966" ht="15.75" customHeight="1">
      <c r="A966" s="14"/>
      <c r="B966" s="17"/>
      <c r="C966" s="14"/>
      <c r="D966" s="14"/>
      <c r="E966" s="14"/>
      <c r="F966" s="14"/>
      <c r="G966" s="14"/>
      <c r="H966" s="14"/>
    </row>
    <row r="967" ht="15.75" customHeight="1">
      <c r="A967" s="14"/>
      <c r="B967" s="17"/>
      <c r="C967" s="14"/>
      <c r="D967" s="14"/>
      <c r="E967" s="14"/>
      <c r="F967" s="14"/>
      <c r="G967" s="14"/>
      <c r="H967" s="14"/>
    </row>
    <row r="968" ht="15.75" customHeight="1">
      <c r="A968" s="14"/>
      <c r="B968" s="17"/>
      <c r="C968" s="14"/>
      <c r="D968" s="14"/>
      <c r="E968" s="14"/>
      <c r="F968" s="14"/>
      <c r="G968" s="14"/>
      <c r="H968" s="14"/>
    </row>
    <row r="969" ht="15.75" customHeight="1">
      <c r="A969" s="14"/>
      <c r="B969" s="17"/>
      <c r="C969" s="14"/>
      <c r="D969" s="14"/>
      <c r="E969" s="14"/>
      <c r="F969" s="14"/>
      <c r="G969" s="14"/>
      <c r="H969" s="14"/>
    </row>
    <row r="970" ht="15.75" customHeight="1">
      <c r="A970" s="14"/>
      <c r="B970" s="17"/>
      <c r="C970" s="14"/>
      <c r="D970" s="14"/>
      <c r="E970" s="14"/>
      <c r="F970" s="14"/>
      <c r="G970" s="14"/>
      <c r="H970" s="14"/>
    </row>
    <row r="971" ht="15.75" customHeight="1">
      <c r="A971" s="14"/>
      <c r="B971" s="17"/>
      <c r="C971" s="14"/>
      <c r="D971" s="14"/>
      <c r="E971" s="14"/>
      <c r="F971" s="14"/>
      <c r="G971" s="14"/>
      <c r="H971" s="14"/>
    </row>
    <row r="972" ht="15.75" customHeight="1">
      <c r="A972" s="14"/>
      <c r="B972" s="17"/>
      <c r="C972" s="14"/>
      <c r="D972" s="14"/>
      <c r="E972" s="14"/>
      <c r="F972" s="14"/>
      <c r="G972" s="14"/>
      <c r="H972" s="14"/>
    </row>
    <row r="973" ht="15.75" customHeight="1">
      <c r="A973" s="14"/>
      <c r="B973" s="17"/>
      <c r="C973" s="14"/>
      <c r="D973" s="14"/>
      <c r="E973" s="14"/>
      <c r="F973" s="14"/>
      <c r="G973" s="14"/>
      <c r="H973" s="14"/>
    </row>
    <row r="974" ht="15.75" customHeight="1">
      <c r="A974" s="14"/>
      <c r="B974" s="17"/>
      <c r="C974" s="14"/>
      <c r="D974" s="14"/>
      <c r="E974" s="14"/>
      <c r="F974" s="14"/>
      <c r="G974" s="14"/>
      <c r="H974" s="14"/>
    </row>
    <row r="975" ht="15.75" customHeight="1">
      <c r="A975" s="14"/>
      <c r="B975" s="17"/>
      <c r="C975" s="14"/>
      <c r="D975" s="14"/>
      <c r="E975" s="14"/>
      <c r="F975" s="14"/>
      <c r="G975" s="14"/>
      <c r="H975" s="14"/>
    </row>
    <row r="976" ht="15.75" customHeight="1">
      <c r="A976" s="14"/>
      <c r="B976" s="17"/>
      <c r="C976" s="14"/>
      <c r="D976" s="14"/>
      <c r="E976" s="14"/>
      <c r="F976" s="14"/>
      <c r="G976" s="14"/>
      <c r="H976" s="14"/>
    </row>
    <row r="977" ht="15.75" customHeight="1">
      <c r="A977" s="14"/>
      <c r="B977" s="17"/>
      <c r="C977" s="14"/>
      <c r="D977" s="14"/>
      <c r="E977" s="14"/>
      <c r="F977" s="14"/>
      <c r="G977" s="14"/>
      <c r="H977" s="14"/>
    </row>
    <row r="978" ht="15.75" customHeight="1">
      <c r="A978" s="14"/>
      <c r="B978" s="17"/>
      <c r="C978" s="14"/>
      <c r="D978" s="14"/>
      <c r="E978" s="14"/>
      <c r="F978" s="14"/>
      <c r="G978" s="14"/>
      <c r="H978" s="14"/>
    </row>
    <row r="979" ht="15.75" customHeight="1">
      <c r="A979" s="14"/>
      <c r="B979" s="17"/>
      <c r="C979" s="14"/>
      <c r="D979" s="14"/>
      <c r="E979" s="14"/>
      <c r="F979" s="14"/>
      <c r="G979" s="14"/>
      <c r="H979" s="14"/>
    </row>
    <row r="980" ht="15.75" customHeight="1">
      <c r="A980" s="14"/>
      <c r="B980" s="17"/>
      <c r="C980" s="14"/>
      <c r="D980" s="14"/>
      <c r="E980" s="14"/>
      <c r="F980" s="14"/>
      <c r="G980" s="14"/>
      <c r="H980" s="14"/>
    </row>
    <row r="981" ht="15.75" customHeight="1">
      <c r="A981" s="14"/>
      <c r="B981" s="17"/>
      <c r="C981" s="14"/>
      <c r="D981" s="14"/>
      <c r="E981" s="14"/>
      <c r="F981" s="14"/>
      <c r="G981" s="14"/>
      <c r="H981" s="14"/>
    </row>
    <row r="982" ht="15.75" customHeight="1">
      <c r="A982" s="14"/>
      <c r="B982" s="17"/>
      <c r="C982" s="14"/>
      <c r="D982" s="14"/>
      <c r="E982" s="14"/>
      <c r="F982" s="14"/>
      <c r="G982" s="14"/>
      <c r="H982" s="14"/>
    </row>
    <row r="983" ht="15.75" customHeight="1">
      <c r="A983" s="14"/>
      <c r="B983" s="17"/>
      <c r="C983" s="14"/>
      <c r="D983" s="14"/>
      <c r="E983" s="14"/>
      <c r="F983" s="14"/>
      <c r="G983" s="14"/>
      <c r="H983" s="14"/>
    </row>
    <row r="984" ht="15.75" customHeight="1">
      <c r="A984" s="14"/>
      <c r="B984" s="17"/>
      <c r="C984" s="14"/>
      <c r="D984" s="14"/>
      <c r="E984" s="14"/>
      <c r="F984" s="14"/>
      <c r="G984" s="14"/>
      <c r="H984" s="14"/>
    </row>
    <row r="985" ht="15.75" customHeight="1">
      <c r="A985" s="14"/>
      <c r="B985" s="17"/>
      <c r="C985" s="14"/>
      <c r="D985" s="14"/>
      <c r="E985" s="14"/>
      <c r="F985" s="14"/>
      <c r="G985" s="14"/>
      <c r="H985" s="14"/>
    </row>
    <row r="986" ht="15.75" customHeight="1">
      <c r="A986" s="14"/>
      <c r="B986" s="17"/>
      <c r="C986" s="14"/>
      <c r="D986" s="14"/>
      <c r="E986" s="14"/>
      <c r="F986" s="14"/>
      <c r="G986" s="14"/>
      <c r="H986" s="14"/>
    </row>
    <row r="987" ht="15.75" customHeight="1">
      <c r="A987" s="14"/>
      <c r="B987" s="17"/>
      <c r="C987" s="14"/>
      <c r="D987" s="14"/>
      <c r="E987" s="14"/>
      <c r="F987" s="14"/>
      <c r="G987" s="14"/>
      <c r="H987" s="14"/>
    </row>
    <row r="988" ht="15.75" customHeight="1">
      <c r="A988" s="14"/>
      <c r="B988" s="17"/>
      <c r="C988" s="14"/>
      <c r="D988" s="14"/>
      <c r="E988" s="14"/>
      <c r="F988" s="14"/>
      <c r="G988" s="14"/>
      <c r="H988" s="14"/>
    </row>
    <row r="989" ht="15.75" customHeight="1">
      <c r="A989" s="14"/>
      <c r="B989" s="17"/>
      <c r="C989" s="14"/>
      <c r="D989" s="14"/>
      <c r="E989" s="14"/>
      <c r="F989" s="14"/>
      <c r="G989" s="14"/>
      <c r="H989" s="14"/>
    </row>
    <row r="990" ht="15.75" customHeight="1">
      <c r="A990" s="14"/>
      <c r="B990" s="17"/>
      <c r="C990" s="14"/>
      <c r="D990" s="14"/>
      <c r="E990" s="14"/>
      <c r="F990" s="14"/>
      <c r="G990" s="14"/>
      <c r="H990" s="14"/>
    </row>
    <row r="991" ht="15.75" customHeight="1">
      <c r="A991" s="14"/>
      <c r="B991" s="17"/>
      <c r="C991" s="14"/>
      <c r="D991" s="14"/>
      <c r="E991" s="14"/>
      <c r="F991" s="14"/>
      <c r="G991" s="14"/>
      <c r="H991" s="14"/>
    </row>
    <row r="992" ht="15.75" customHeight="1">
      <c r="A992" s="14"/>
      <c r="B992" s="17"/>
      <c r="C992" s="14"/>
      <c r="D992" s="14"/>
      <c r="E992" s="14"/>
      <c r="F992" s="14"/>
      <c r="G992" s="14"/>
      <c r="H992" s="14"/>
    </row>
    <row r="993" ht="15.75" customHeight="1">
      <c r="A993" s="14"/>
      <c r="B993" s="17"/>
      <c r="C993" s="14"/>
      <c r="D993" s="14"/>
      <c r="E993" s="14"/>
      <c r="F993" s="14"/>
      <c r="G993" s="14"/>
      <c r="H993" s="14"/>
    </row>
    <row r="994" ht="15.75" customHeight="1">
      <c r="A994" s="14"/>
      <c r="B994" s="17"/>
      <c r="C994" s="14"/>
      <c r="D994" s="14"/>
      <c r="E994" s="14"/>
      <c r="F994" s="14"/>
      <c r="G994" s="14"/>
      <c r="H994" s="14"/>
    </row>
    <row r="995" ht="15.75" customHeight="1">
      <c r="A995" s="14"/>
      <c r="B995" s="17"/>
      <c r="C995" s="14"/>
      <c r="D995" s="14"/>
      <c r="E995" s="14"/>
      <c r="F995" s="14"/>
      <c r="G995" s="14"/>
      <c r="H995" s="14"/>
    </row>
    <row r="996" ht="15.75" customHeight="1">
      <c r="A996" s="14"/>
      <c r="B996" s="17"/>
      <c r="C996" s="14"/>
      <c r="D996" s="14"/>
      <c r="E996" s="14"/>
      <c r="F996" s="14"/>
      <c r="G996" s="14"/>
      <c r="H996" s="14"/>
    </row>
    <row r="997" ht="15.75" customHeight="1">
      <c r="A997" s="14"/>
      <c r="B997" s="17"/>
      <c r="C997" s="14"/>
      <c r="D997" s="14"/>
      <c r="E997" s="14"/>
      <c r="F997" s="14"/>
      <c r="G997" s="14"/>
      <c r="H997" s="14"/>
    </row>
    <row r="998" ht="15.75" customHeight="1">
      <c r="A998" s="14"/>
      <c r="B998" s="17"/>
      <c r="C998" s="14"/>
      <c r="D998" s="14"/>
      <c r="E998" s="14"/>
      <c r="F998" s="14"/>
      <c r="G998" s="14"/>
      <c r="H998" s="14"/>
    </row>
    <row r="999" ht="15.75" customHeight="1">
      <c r="A999" s="14"/>
      <c r="B999" s="17"/>
      <c r="C999" s="14"/>
      <c r="D999" s="14"/>
      <c r="E999" s="14"/>
      <c r="F999" s="14"/>
      <c r="G999" s="14"/>
      <c r="H999" s="14"/>
    </row>
    <row r="1000" ht="15.75" customHeight="1">
      <c r="A1000" s="14"/>
      <c r="B1000" s="17"/>
      <c r="C1000" s="14"/>
      <c r="D1000" s="14"/>
      <c r="E1000" s="14"/>
      <c r="F1000" s="14"/>
      <c r="G1000" s="14"/>
      <c r="H1000" s="14"/>
    </row>
  </sheetData>
  <mergeCells count="1">
    <mergeCell ref="J1:K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43"/>
    <col customWidth="1" min="3" max="3" width="25.14"/>
    <col customWidth="1" hidden="1" min="4" max="5" width="21.43"/>
    <col customWidth="1" min="6" max="6" width="21.43"/>
    <col customWidth="1" min="7" max="7" width="16.14"/>
    <col customWidth="1" min="8" max="8" width="20.71"/>
    <col customWidth="1" min="9" max="9" width="11.57"/>
    <col customWidth="1" hidden="1" min="10" max="17" width="8.71"/>
    <col customWidth="1" min="18" max="26" width="8.71"/>
  </cols>
  <sheetData>
    <row r="1" ht="16.5" customHeight="1">
      <c r="A1" s="18" t="s">
        <v>19</v>
      </c>
      <c r="B1" s="18" t="s">
        <v>20</v>
      </c>
      <c r="C1" s="18" t="s">
        <v>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3"/>
      <c r="K1" s="3"/>
      <c r="L1" s="3"/>
      <c r="M1" s="3"/>
      <c r="N1" s="3"/>
      <c r="O1" s="3"/>
      <c r="P1" s="3"/>
      <c r="Q1" s="3"/>
    </row>
    <row r="2">
      <c r="A2" s="19" t="s">
        <v>27</v>
      </c>
      <c r="B2" s="19" t="s">
        <v>28</v>
      </c>
      <c r="C2" s="20" t="s">
        <v>17</v>
      </c>
      <c r="D2" s="19"/>
      <c r="E2" s="21"/>
      <c r="F2" s="22" t="s">
        <v>29</v>
      </c>
      <c r="G2" s="21"/>
      <c r="H2" s="21"/>
      <c r="I2" s="22" t="s">
        <v>30</v>
      </c>
    </row>
    <row r="3">
      <c r="A3" s="23" t="s">
        <v>31</v>
      </c>
      <c r="B3" s="23" t="s">
        <v>32</v>
      </c>
      <c r="C3" s="24" t="s">
        <v>13</v>
      </c>
      <c r="D3" s="23" t="s">
        <v>33</v>
      </c>
      <c r="E3" s="25">
        <v>8.0</v>
      </c>
      <c r="F3" s="25" t="s">
        <v>29</v>
      </c>
      <c r="G3" s="26"/>
      <c r="H3" s="26"/>
      <c r="I3" s="26"/>
    </row>
    <row r="4">
      <c r="A4" s="19" t="s">
        <v>34</v>
      </c>
      <c r="B4" s="19" t="s">
        <v>35</v>
      </c>
      <c r="C4" s="27" t="s">
        <v>11</v>
      </c>
      <c r="D4" s="19" t="s">
        <v>36</v>
      </c>
      <c r="E4" s="22">
        <v>8.0</v>
      </c>
      <c r="F4" s="22" t="s">
        <v>29</v>
      </c>
      <c r="G4" s="21"/>
      <c r="H4" s="21"/>
      <c r="I4" s="21"/>
    </row>
    <row r="5">
      <c r="A5" s="23" t="s">
        <v>37</v>
      </c>
      <c r="B5" s="23" t="s">
        <v>38</v>
      </c>
      <c r="C5" s="23" t="s">
        <v>15</v>
      </c>
      <c r="D5" s="23" t="s">
        <v>39</v>
      </c>
      <c r="E5" s="25">
        <v>8.0</v>
      </c>
      <c r="F5" s="25" t="s">
        <v>29</v>
      </c>
      <c r="G5" s="26"/>
      <c r="H5" s="26"/>
      <c r="I5" s="26"/>
    </row>
    <row r="6">
      <c r="A6" s="19" t="s">
        <v>40</v>
      </c>
      <c r="B6" s="19" t="s">
        <v>41</v>
      </c>
      <c r="C6" s="27" t="s">
        <v>9</v>
      </c>
      <c r="D6" s="19" t="s">
        <v>42</v>
      </c>
      <c r="E6" s="22"/>
      <c r="F6" s="22" t="s">
        <v>29</v>
      </c>
      <c r="G6" s="21"/>
      <c r="H6" s="21"/>
      <c r="I6" s="21"/>
    </row>
    <row r="7">
      <c r="A7" s="23" t="s">
        <v>43</v>
      </c>
      <c r="B7" s="23" t="s">
        <v>44</v>
      </c>
      <c r="C7" s="24" t="s">
        <v>13</v>
      </c>
      <c r="D7" s="23" t="s">
        <v>33</v>
      </c>
      <c r="E7" s="25">
        <v>8.0</v>
      </c>
      <c r="F7" s="25" t="s">
        <v>45</v>
      </c>
      <c r="G7" s="26"/>
      <c r="H7" s="26"/>
      <c r="I7" s="26"/>
    </row>
    <row r="8">
      <c r="A8" s="19" t="s">
        <v>46</v>
      </c>
      <c r="B8" s="19" t="s">
        <v>47</v>
      </c>
      <c r="C8" s="27" t="s">
        <v>13</v>
      </c>
      <c r="D8" s="19" t="s">
        <v>36</v>
      </c>
      <c r="E8" s="22">
        <v>8.0</v>
      </c>
      <c r="F8" s="22" t="s">
        <v>29</v>
      </c>
      <c r="G8" s="21"/>
      <c r="H8" s="21"/>
      <c r="I8" s="21"/>
    </row>
    <row r="9">
      <c r="A9" s="23" t="s">
        <v>48</v>
      </c>
      <c r="B9" s="23" t="s">
        <v>49</v>
      </c>
      <c r="C9" s="28" t="s">
        <v>50</v>
      </c>
      <c r="D9" s="23"/>
      <c r="E9" s="26"/>
      <c r="F9" s="25" t="s">
        <v>29</v>
      </c>
      <c r="G9" s="26"/>
      <c r="H9" s="26"/>
      <c r="I9" s="26"/>
    </row>
    <row r="10">
      <c r="A10" s="19" t="s">
        <v>51</v>
      </c>
      <c r="B10" s="19" t="s">
        <v>52</v>
      </c>
      <c r="C10" s="20" t="s">
        <v>17</v>
      </c>
      <c r="D10" s="19"/>
      <c r="E10" s="21"/>
      <c r="F10" s="22" t="s">
        <v>29</v>
      </c>
      <c r="G10" s="21"/>
      <c r="H10" s="21"/>
      <c r="I10" s="21"/>
    </row>
    <row r="11">
      <c r="A11" s="23" t="s">
        <v>53</v>
      </c>
      <c r="B11" s="23" t="s">
        <v>54</v>
      </c>
      <c r="C11" s="28" t="s">
        <v>17</v>
      </c>
      <c r="D11" s="23"/>
      <c r="E11" s="26"/>
      <c r="F11" s="25" t="s">
        <v>29</v>
      </c>
      <c r="G11" s="26"/>
      <c r="H11" s="26"/>
      <c r="I11" s="26"/>
    </row>
    <row r="12">
      <c r="A12" s="19" t="s">
        <v>55</v>
      </c>
      <c r="B12" s="19" t="s">
        <v>56</v>
      </c>
      <c r="C12" s="20" t="s">
        <v>17</v>
      </c>
      <c r="D12" s="19"/>
      <c r="E12" s="21"/>
      <c r="F12" s="22" t="s">
        <v>29</v>
      </c>
      <c r="G12" s="21"/>
      <c r="H12" s="21"/>
      <c r="I12" s="21"/>
    </row>
    <row r="13">
      <c r="A13" s="23" t="s">
        <v>57</v>
      </c>
      <c r="B13" s="23" t="s">
        <v>58</v>
      </c>
      <c r="C13" s="28" t="s">
        <v>17</v>
      </c>
      <c r="D13" s="23"/>
      <c r="E13" s="26"/>
      <c r="F13" s="25" t="s">
        <v>29</v>
      </c>
      <c r="G13" s="26"/>
      <c r="H13" s="26"/>
      <c r="I13" s="26"/>
    </row>
    <row r="14">
      <c r="A14" s="19" t="s">
        <v>59</v>
      </c>
      <c r="B14" s="19" t="s">
        <v>60</v>
      </c>
      <c r="C14" s="20" t="s">
        <v>50</v>
      </c>
      <c r="D14" s="19"/>
      <c r="E14" s="21"/>
      <c r="F14" s="22" t="s">
        <v>29</v>
      </c>
      <c r="G14" s="21"/>
      <c r="H14" s="21"/>
      <c r="I14" s="21"/>
    </row>
    <row r="15">
      <c r="A15" s="23" t="s">
        <v>61</v>
      </c>
      <c r="B15" s="23" t="s">
        <v>62</v>
      </c>
      <c r="C15" s="24" t="s">
        <v>13</v>
      </c>
      <c r="D15" s="23" t="s">
        <v>33</v>
      </c>
      <c r="E15" s="25">
        <v>8.0</v>
      </c>
      <c r="F15" s="25" t="s">
        <v>29</v>
      </c>
      <c r="G15" s="26"/>
      <c r="H15" s="26"/>
      <c r="I15" s="26"/>
    </row>
    <row r="16">
      <c r="A16" s="19" t="s">
        <v>63</v>
      </c>
      <c r="B16" s="19" t="s">
        <v>64</v>
      </c>
      <c r="C16" s="20" t="s">
        <v>17</v>
      </c>
      <c r="D16" s="19"/>
      <c r="E16" s="21"/>
      <c r="F16" s="22" t="s">
        <v>29</v>
      </c>
      <c r="G16" s="21"/>
      <c r="H16" s="21"/>
      <c r="I16" s="21"/>
    </row>
    <row r="17">
      <c r="A17" s="23" t="s">
        <v>65</v>
      </c>
      <c r="B17" s="23" t="s">
        <v>66</v>
      </c>
      <c r="C17" s="24" t="s">
        <v>13</v>
      </c>
      <c r="D17" s="23" t="s">
        <v>33</v>
      </c>
      <c r="E17" s="25">
        <v>8.0</v>
      </c>
      <c r="F17" s="25" t="s">
        <v>45</v>
      </c>
      <c r="G17" s="26"/>
      <c r="H17" s="26"/>
      <c r="I17" s="26"/>
    </row>
    <row r="18" ht="15.75" customHeight="1">
      <c r="A18" s="19" t="s">
        <v>67</v>
      </c>
      <c r="B18" s="19" t="s">
        <v>68</v>
      </c>
      <c r="C18" s="19" t="s">
        <v>69</v>
      </c>
      <c r="D18" s="19" t="s">
        <v>70</v>
      </c>
      <c r="E18" s="21"/>
      <c r="F18" s="22" t="s">
        <v>29</v>
      </c>
      <c r="G18" s="21"/>
      <c r="H18" s="21"/>
      <c r="I18" s="21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</row>
  </sheetData>
  <autoFilter ref="$A$1:$Z$984"/>
  <conditionalFormatting sqref="G2:G984">
    <cfRule type="colorScale" priority="1">
      <colorScale>
        <cfvo type="min"/>
        <cfvo type="percentile" val="50"/>
        <cfvo type="max"/>
        <color rgb="FFFDE2E1"/>
        <color rgb="FFFFF2CC"/>
        <color rgb="FFE2F0D9"/>
      </colorScale>
    </cfRule>
  </conditionalFormatting>
  <dataValidations>
    <dataValidation type="list" allowBlank="1" sqref="F2:F484">
      <formula1>"Active,Under Repair,Inactive"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1.86"/>
    <col customWidth="1" min="3" max="3" width="24.57"/>
    <col customWidth="1" min="4" max="4" width="23.14"/>
    <col customWidth="1" min="5" max="5" width="14.43"/>
    <col customWidth="1" min="6" max="6" width="13.0"/>
    <col customWidth="1" min="7" max="7" width="17.0"/>
    <col customWidth="1" min="8" max="8" width="10.71"/>
    <col customWidth="1" min="9" max="26" width="8.71"/>
  </cols>
  <sheetData>
    <row r="1" ht="16.5" customHeight="1">
      <c r="A1" s="29" t="s">
        <v>71</v>
      </c>
      <c r="B1" s="29" t="s">
        <v>72</v>
      </c>
      <c r="C1" s="29" t="s">
        <v>73</v>
      </c>
      <c r="D1" s="29" t="s">
        <v>74</v>
      </c>
      <c r="E1" s="29" t="s">
        <v>75</v>
      </c>
      <c r="F1" s="29" t="s">
        <v>23</v>
      </c>
      <c r="G1" s="29" t="s">
        <v>76</v>
      </c>
      <c r="H1" s="29" t="s">
        <v>26</v>
      </c>
      <c r="I1" s="3"/>
      <c r="J1" s="3"/>
      <c r="K1" s="3"/>
      <c r="L1" s="3"/>
      <c r="M1" s="3"/>
      <c r="N1" s="3"/>
      <c r="O1" s="3"/>
      <c r="P1" s="3"/>
      <c r="Q1" s="3"/>
    </row>
    <row r="2">
      <c r="A2" s="30">
        <v>2013030.0</v>
      </c>
      <c r="B2" s="30" t="s">
        <v>77</v>
      </c>
      <c r="C2" s="30" t="s">
        <v>54</v>
      </c>
      <c r="D2" s="30">
        <v>600.0</v>
      </c>
      <c r="E2" s="31"/>
      <c r="F2" s="30" t="s">
        <v>29</v>
      </c>
      <c r="G2" s="31"/>
      <c r="H2" s="31"/>
    </row>
    <row r="3">
      <c r="A3" s="30">
        <v>2026031.0</v>
      </c>
      <c r="B3" s="30" t="s">
        <v>78</v>
      </c>
      <c r="C3" s="30" t="s">
        <v>64</v>
      </c>
      <c r="D3" s="30">
        <v>600.0</v>
      </c>
      <c r="E3" s="31"/>
      <c r="F3" s="30" t="s">
        <v>29</v>
      </c>
      <c r="G3" s="31"/>
      <c r="H3" s="31"/>
    </row>
    <row r="4">
      <c r="A4" s="30">
        <v>2016034.0</v>
      </c>
      <c r="B4" s="30" t="s">
        <v>79</v>
      </c>
      <c r="C4" s="30" t="s">
        <v>56</v>
      </c>
      <c r="D4" s="30">
        <v>600.0</v>
      </c>
      <c r="E4" s="31"/>
      <c r="F4" s="30" t="s">
        <v>29</v>
      </c>
      <c r="G4" s="31"/>
      <c r="H4" s="31"/>
    </row>
    <row r="5">
      <c r="A5" s="30">
        <v>2010012.0</v>
      </c>
      <c r="B5" s="30" t="s">
        <v>80</v>
      </c>
      <c r="C5" s="30" t="s">
        <v>81</v>
      </c>
      <c r="D5" s="30">
        <v>630.0</v>
      </c>
      <c r="E5" s="31"/>
      <c r="F5" s="30" t="s">
        <v>29</v>
      </c>
      <c r="G5" s="31"/>
      <c r="H5" s="31"/>
    </row>
    <row r="6">
      <c r="A6" s="30">
        <v>2016032.0</v>
      </c>
      <c r="B6" s="30" t="s">
        <v>82</v>
      </c>
      <c r="C6" s="30" t="s">
        <v>49</v>
      </c>
      <c r="D6" s="30">
        <v>675.0</v>
      </c>
      <c r="E6" s="31"/>
      <c r="F6" s="30" t="s">
        <v>29</v>
      </c>
      <c r="G6" s="31"/>
      <c r="H6" s="31"/>
    </row>
    <row r="7">
      <c r="A7" s="30">
        <v>2025103.0</v>
      </c>
      <c r="B7" s="30" t="s">
        <v>83</v>
      </c>
      <c r="C7" s="30" t="s">
        <v>38</v>
      </c>
      <c r="D7" s="30">
        <v>625.0</v>
      </c>
      <c r="E7" s="31"/>
      <c r="F7" s="30" t="s">
        <v>29</v>
      </c>
      <c r="G7" s="31"/>
      <c r="H7" s="31"/>
    </row>
    <row r="8">
      <c r="A8" s="30">
        <v>2025025.0</v>
      </c>
      <c r="B8" s="30" t="s">
        <v>84</v>
      </c>
      <c r="C8" s="30" t="s">
        <v>85</v>
      </c>
      <c r="D8" s="32">
        <v>0.15</v>
      </c>
      <c r="E8" s="31"/>
      <c r="F8" s="30" t="s">
        <v>29</v>
      </c>
      <c r="G8" s="31"/>
      <c r="H8" s="31"/>
    </row>
    <row r="9">
      <c r="A9" s="30">
        <v>2013001.0</v>
      </c>
      <c r="B9" s="30" t="s">
        <v>86</v>
      </c>
      <c r="C9" s="30" t="s">
        <v>85</v>
      </c>
      <c r="D9" s="32">
        <v>0.15</v>
      </c>
      <c r="E9" s="31"/>
      <c r="F9" s="30" t="s">
        <v>29</v>
      </c>
      <c r="G9" s="31"/>
      <c r="H9" s="31"/>
    </row>
    <row r="10">
      <c r="A10" s="30">
        <v>2018007.0</v>
      </c>
      <c r="B10" s="30" t="s">
        <v>87</v>
      </c>
      <c r="C10" s="30" t="s">
        <v>60</v>
      </c>
      <c r="D10" s="30">
        <v>600.0</v>
      </c>
      <c r="E10" s="31"/>
      <c r="F10" s="30" t="s">
        <v>29</v>
      </c>
      <c r="G10" s="31"/>
      <c r="H10" s="31"/>
    </row>
    <row r="11">
      <c r="A11" s="31"/>
      <c r="B11" s="30"/>
      <c r="C11" s="31"/>
      <c r="D11" s="31"/>
      <c r="E11" s="31"/>
      <c r="F11" s="31"/>
      <c r="G11" s="31"/>
      <c r="H11" s="31"/>
    </row>
    <row r="12">
      <c r="A12" s="31"/>
      <c r="B12" s="30"/>
      <c r="C12" s="31"/>
      <c r="D12" s="31"/>
      <c r="E12" s="31"/>
      <c r="F12" s="31"/>
      <c r="G12" s="31"/>
      <c r="H12" s="31"/>
    </row>
    <row r="13">
      <c r="A13" s="31"/>
      <c r="B13" s="30"/>
      <c r="C13" s="31"/>
      <c r="D13" s="31"/>
      <c r="E13" s="31"/>
      <c r="F13" s="31"/>
      <c r="G13" s="31"/>
      <c r="H13" s="31"/>
    </row>
    <row r="14">
      <c r="A14" s="31"/>
      <c r="B14" s="30"/>
      <c r="C14" s="31"/>
      <c r="D14" s="31"/>
      <c r="E14" s="31"/>
      <c r="F14" s="31"/>
      <c r="G14" s="31"/>
      <c r="H14" s="31"/>
    </row>
    <row r="15">
      <c r="A15" s="31"/>
      <c r="B15" s="30"/>
      <c r="C15" s="31"/>
      <c r="D15" s="31"/>
      <c r="E15" s="31"/>
      <c r="F15" s="31"/>
      <c r="G15" s="31"/>
      <c r="H15" s="31"/>
    </row>
    <row r="16">
      <c r="A16" s="31"/>
      <c r="B16" s="30"/>
      <c r="C16" s="31"/>
      <c r="D16" s="31"/>
      <c r="E16" s="31"/>
      <c r="F16" s="31"/>
      <c r="G16" s="31"/>
      <c r="H16" s="31"/>
    </row>
    <row r="17">
      <c r="A17" s="31"/>
      <c r="B17" s="30"/>
      <c r="C17" s="31"/>
      <c r="D17" s="31"/>
      <c r="E17" s="31"/>
      <c r="F17" s="31"/>
      <c r="G17" s="31"/>
      <c r="H17" s="31"/>
    </row>
    <row r="18">
      <c r="A18" s="31"/>
      <c r="B18" s="30"/>
      <c r="C18" s="31"/>
      <c r="D18" s="31"/>
      <c r="E18" s="31"/>
      <c r="F18" s="31"/>
      <c r="G18" s="31"/>
      <c r="H18" s="31"/>
    </row>
    <row r="19">
      <c r="A19" s="31"/>
      <c r="B19" s="30"/>
      <c r="C19" s="31"/>
      <c r="D19" s="31"/>
      <c r="E19" s="31"/>
      <c r="F19" s="31"/>
      <c r="G19" s="31"/>
      <c r="H19" s="31"/>
    </row>
    <row r="20" ht="15.75" customHeight="1">
      <c r="A20" s="31"/>
      <c r="B20" s="30"/>
      <c r="C20" s="31"/>
      <c r="D20" s="31"/>
      <c r="E20" s="31"/>
      <c r="F20" s="31"/>
      <c r="G20" s="31"/>
      <c r="H20" s="31"/>
    </row>
    <row r="21" ht="15.75" customHeight="1">
      <c r="A21" s="31"/>
      <c r="B21" s="30"/>
      <c r="C21" s="31"/>
      <c r="D21" s="31"/>
      <c r="E21" s="31"/>
      <c r="F21" s="31"/>
      <c r="G21" s="31"/>
      <c r="H21" s="31"/>
    </row>
    <row r="22" ht="15.75" customHeight="1">
      <c r="F22" s="33"/>
    </row>
    <row r="23" ht="15.75" customHeight="1">
      <c r="F23" s="33"/>
    </row>
    <row r="24" ht="15.75" customHeight="1">
      <c r="F24" s="33"/>
    </row>
    <row r="25" ht="15.75" customHeight="1">
      <c r="F25" s="33"/>
    </row>
    <row r="26" ht="15.75" customHeight="1">
      <c r="F26" s="33"/>
    </row>
    <row r="27" ht="15.75" customHeight="1">
      <c r="F27" s="33"/>
    </row>
    <row r="28" ht="15.75" customHeight="1">
      <c r="F28" s="33"/>
    </row>
    <row r="29" ht="15.75" customHeight="1">
      <c r="F29" s="33"/>
    </row>
    <row r="30" ht="15.75" customHeight="1">
      <c r="F30" s="33"/>
    </row>
    <row r="31" ht="15.75" customHeight="1">
      <c r="F31" s="33"/>
    </row>
    <row r="32" ht="15.75" customHeight="1">
      <c r="F32" s="33"/>
    </row>
    <row r="33" ht="15.75" customHeight="1">
      <c r="F33" s="33"/>
    </row>
    <row r="34" ht="15.75" customHeight="1">
      <c r="F34" s="33"/>
    </row>
    <row r="35" ht="15.75" customHeight="1">
      <c r="F35" s="33"/>
    </row>
    <row r="36" ht="15.75" customHeight="1">
      <c r="F36" s="33"/>
    </row>
    <row r="37" ht="15.75" customHeight="1">
      <c r="F37" s="33"/>
    </row>
    <row r="38" ht="15.75" customHeight="1">
      <c r="F38" s="33"/>
    </row>
    <row r="39" ht="15.75" customHeight="1">
      <c r="F39" s="33"/>
    </row>
    <row r="40" ht="15.75" customHeight="1">
      <c r="F40" s="33"/>
    </row>
    <row r="41" ht="15.75" customHeight="1">
      <c r="F41" s="33"/>
    </row>
    <row r="42" ht="15.75" customHeight="1">
      <c r="F42" s="33"/>
    </row>
    <row r="43" ht="15.75" customHeight="1">
      <c r="F43" s="33"/>
    </row>
    <row r="44" ht="15.75" customHeight="1">
      <c r="F44" s="33"/>
    </row>
    <row r="45" ht="15.75" customHeight="1">
      <c r="F45" s="33"/>
    </row>
    <row r="46" ht="15.75" customHeight="1">
      <c r="F46" s="33"/>
    </row>
    <row r="47" ht="15.75" customHeight="1">
      <c r="F47" s="33"/>
    </row>
    <row r="48" ht="15.75" customHeight="1">
      <c r="F48" s="33"/>
    </row>
    <row r="49" ht="15.75" customHeight="1">
      <c r="F49" s="33"/>
    </row>
    <row r="50" ht="15.75" customHeight="1">
      <c r="F50" s="33"/>
    </row>
    <row r="51" ht="15.75" customHeight="1">
      <c r="F51" s="33"/>
    </row>
    <row r="52" ht="15.75" customHeight="1">
      <c r="F52" s="33"/>
    </row>
    <row r="53" ht="15.75" customHeight="1">
      <c r="F53" s="33"/>
    </row>
    <row r="54" ht="15.75" customHeight="1">
      <c r="F54" s="33"/>
    </row>
    <row r="55" ht="15.75" customHeight="1">
      <c r="F55" s="33"/>
    </row>
    <row r="56" ht="15.75" customHeight="1">
      <c r="F56" s="33"/>
    </row>
    <row r="57" ht="15.75" customHeight="1">
      <c r="F57" s="33"/>
    </row>
    <row r="58" ht="15.75" customHeight="1">
      <c r="F58" s="33"/>
    </row>
    <row r="59" ht="15.75" customHeight="1">
      <c r="F59" s="33"/>
    </row>
    <row r="60" ht="15.75" customHeight="1">
      <c r="F60" s="33"/>
    </row>
    <row r="61" ht="15.75" customHeight="1">
      <c r="F61" s="33"/>
    </row>
    <row r="62" ht="15.75" customHeight="1">
      <c r="F62" s="33"/>
    </row>
    <row r="63" ht="15.75" customHeight="1">
      <c r="F63" s="33"/>
    </row>
    <row r="64" ht="15.75" customHeight="1">
      <c r="F64" s="33"/>
    </row>
    <row r="65" ht="15.75" customHeight="1">
      <c r="F65" s="33"/>
    </row>
    <row r="66" ht="15.75" customHeight="1">
      <c r="F66" s="33"/>
    </row>
    <row r="67" ht="15.75" customHeight="1">
      <c r="F67" s="33"/>
    </row>
    <row r="68" ht="15.75" customHeight="1">
      <c r="F68" s="33"/>
    </row>
    <row r="69" ht="15.75" customHeight="1">
      <c r="F69" s="33"/>
    </row>
    <row r="70" ht="15.75" customHeight="1">
      <c r="F70" s="33"/>
    </row>
    <row r="71" ht="15.75" customHeight="1">
      <c r="F71" s="33"/>
    </row>
    <row r="72" ht="15.75" customHeight="1">
      <c r="F72" s="33"/>
    </row>
    <row r="73" ht="15.75" customHeight="1">
      <c r="F73" s="33"/>
    </row>
    <row r="74" ht="15.75" customHeight="1">
      <c r="F74" s="33"/>
    </row>
    <row r="75" ht="15.75" customHeight="1">
      <c r="F75" s="33"/>
    </row>
    <row r="76" ht="15.75" customHeight="1">
      <c r="F76" s="33"/>
    </row>
    <row r="77" ht="15.75" customHeight="1">
      <c r="F77" s="33"/>
    </row>
    <row r="78" ht="15.75" customHeight="1">
      <c r="F78" s="33"/>
    </row>
    <row r="79" ht="15.75" customHeight="1">
      <c r="F79" s="33"/>
    </row>
    <row r="80" ht="15.75" customHeight="1">
      <c r="F80" s="33"/>
    </row>
    <row r="81" ht="15.75" customHeight="1">
      <c r="F81" s="33"/>
    </row>
    <row r="82" ht="15.75" customHeight="1">
      <c r="F82" s="33"/>
    </row>
    <row r="83" ht="15.75" customHeight="1">
      <c r="F83" s="33"/>
    </row>
    <row r="84" ht="15.75" customHeight="1">
      <c r="F84" s="33"/>
    </row>
    <row r="85" ht="15.75" customHeight="1">
      <c r="F85" s="33"/>
    </row>
    <row r="86" ht="15.75" customHeight="1">
      <c r="F86" s="33"/>
    </row>
    <row r="87" ht="15.75" customHeight="1">
      <c r="F87" s="33"/>
    </row>
    <row r="88" ht="15.75" customHeight="1">
      <c r="F88" s="33"/>
    </row>
    <row r="89" ht="15.75" customHeight="1">
      <c r="F89" s="33"/>
    </row>
    <row r="90" ht="15.75" customHeight="1">
      <c r="F90" s="33"/>
    </row>
    <row r="91" ht="15.75" customHeight="1">
      <c r="F91" s="33"/>
    </row>
    <row r="92" ht="15.75" customHeight="1">
      <c r="F92" s="33"/>
    </row>
    <row r="93" ht="15.75" customHeight="1">
      <c r="F93" s="33"/>
    </row>
    <row r="94" ht="15.75" customHeight="1">
      <c r="F94" s="33"/>
    </row>
    <row r="95" ht="15.75" customHeight="1">
      <c r="F95" s="33"/>
    </row>
    <row r="96" ht="15.75" customHeight="1">
      <c r="F96" s="33"/>
    </row>
    <row r="97" ht="15.75" customHeight="1">
      <c r="F97" s="33"/>
    </row>
    <row r="98" ht="15.75" customHeight="1">
      <c r="F98" s="33"/>
    </row>
    <row r="99" ht="15.75" customHeight="1">
      <c r="F99" s="33"/>
    </row>
    <row r="100" ht="15.75" customHeight="1">
      <c r="F100" s="33"/>
    </row>
    <row r="101" ht="15.75" customHeight="1">
      <c r="F101" s="33"/>
    </row>
    <row r="102" ht="15.75" customHeight="1">
      <c r="F102" s="33"/>
    </row>
    <row r="103" ht="15.75" customHeight="1">
      <c r="F103" s="33"/>
    </row>
    <row r="104" ht="15.75" customHeight="1">
      <c r="F104" s="33"/>
    </row>
    <row r="105" ht="15.75" customHeight="1">
      <c r="F105" s="33"/>
    </row>
    <row r="106" ht="15.75" customHeight="1">
      <c r="F106" s="33"/>
    </row>
    <row r="107" ht="15.75" customHeight="1">
      <c r="F107" s="33"/>
    </row>
    <row r="108" ht="15.75" customHeight="1">
      <c r="F108" s="33"/>
    </row>
    <row r="109" ht="15.75" customHeight="1">
      <c r="F109" s="33"/>
    </row>
    <row r="110" ht="15.75" customHeight="1">
      <c r="F110" s="33"/>
    </row>
    <row r="111" ht="15.75" customHeight="1">
      <c r="F111" s="33"/>
    </row>
    <row r="112" ht="15.75" customHeight="1">
      <c r="F112" s="33"/>
    </row>
    <row r="113" ht="15.75" customHeight="1">
      <c r="F113" s="33"/>
    </row>
    <row r="114" ht="15.75" customHeight="1">
      <c r="F114" s="33"/>
    </row>
    <row r="115" ht="15.75" customHeight="1">
      <c r="F115" s="33"/>
    </row>
    <row r="116" ht="15.75" customHeight="1">
      <c r="F116" s="33"/>
    </row>
    <row r="117" ht="15.75" customHeight="1">
      <c r="F117" s="33"/>
    </row>
    <row r="118" ht="15.75" customHeight="1">
      <c r="F118" s="33"/>
    </row>
    <row r="119" ht="15.75" customHeight="1">
      <c r="F119" s="33"/>
    </row>
    <row r="120" ht="15.75" customHeight="1">
      <c r="F120" s="33"/>
    </row>
    <row r="121" ht="15.75" customHeight="1">
      <c r="F121" s="33"/>
    </row>
    <row r="122" ht="15.75" customHeight="1">
      <c r="F122" s="33"/>
    </row>
    <row r="123" ht="15.75" customHeight="1">
      <c r="F123" s="33"/>
    </row>
    <row r="124" ht="15.75" customHeight="1">
      <c r="F124" s="33"/>
    </row>
    <row r="125" ht="15.75" customHeight="1">
      <c r="F125" s="33"/>
    </row>
    <row r="126" ht="15.75" customHeight="1">
      <c r="F126" s="33"/>
    </row>
    <row r="127" ht="15.75" customHeight="1">
      <c r="F127" s="33"/>
    </row>
    <row r="128" ht="15.75" customHeight="1">
      <c r="F128" s="33"/>
    </row>
    <row r="129" ht="15.75" customHeight="1">
      <c r="F129" s="33"/>
    </row>
    <row r="130" ht="15.75" customHeight="1">
      <c r="F130" s="33"/>
    </row>
    <row r="131" ht="15.75" customHeight="1">
      <c r="F131" s="33"/>
    </row>
    <row r="132" ht="15.75" customHeight="1">
      <c r="F132" s="33"/>
    </row>
    <row r="133" ht="15.75" customHeight="1">
      <c r="F133" s="33"/>
    </row>
    <row r="134" ht="15.75" customHeight="1">
      <c r="F134" s="33"/>
    </row>
    <row r="135" ht="15.75" customHeight="1">
      <c r="F135" s="33"/>
    </row>
    <row r="136" ht="15.75" customHeight="1">
      <c r="F136" s="33"/>
    </row>
    <row r="137" ht="15.75" customHeight="1">
      <c r="F137" s="33"/>
    </row>
    <row r="138" ht="15.75" customHeight="1">
      <c r="F138" s="33"/>
    </row>
    <row r="139" ht="15.75" customHeight="1">
      <c r="F139" s="33"/>
    </row>
    <row r="140" ht="15.75" customHeight="1">
      <c r="F140" s="33"/>
    </row>
    <row r="141" ht="15.75" customHeight="1">
      <c r="F141" s="33"/>
    </row>
    <row r="142" ht="15.75" customHeight="1">
      <c r="F142" s="33"/>
    </row>
    <row r="143" ht="15.75" customHeight="1">
      <c r="F143" s="33"/>
    </row>
    <row r="144" ht="15.75" customHeight="1">
      <c r="F144" s="33"/>
    </row>
    <row r="145" ht="15.75" customHeight="1">
      <c r="F145" s="33"/>
    </row>
    <row r="146" ht="15.75" customHeight="1">
      <c r="F146" s="33"/>
    </row>
    <row r="147" ht="15.75" customHeight="1">
      <c r="F147" s="33"/>
    </row>
    <row r="148" ht="15.75" customHeight="1">
      <c r="F148" s="33"/>
    </row>
    <row r="149" ht="15.75" customHeight="1">
      <c r="F149" s="33"/>
    </row>
    <row r="150" ht="15.75" customHeight="1">
      <c r="F150" s="33"/>
    </row>
    <row r="151" ht="15.75" customHeight="1">
      <c r="F151" s="33"/>
    </row>
    <row r="152" ht="15.75" customHeight="1">
      <c r="F152" s="33"/>
    </row>
    <row r="153" ht="15.75" customHeight="1">
      <c r="F153" s="33"/>
    </row>
    <row r="154" ht="15.75" customHeight="1">
      <c r="F154" s="33"/>
    </row>
    <row r="155" ht="15.75" customHeight="1">
      <c r="F155" s="33"/>
    </row>
    <row r="156" ht="15.75" customHeight="1">
      <c r="F156" s="33"/>
    </row>
    <row r="157" ht="15.75" customHeight="1">
      <c r="F157" s="33"/>
    </row>
    <row r="158" ht="15.75" customHeight="1">
      <c r="F158" s="33"/>
    </row>
    <row r="159" ht="15.75" customHeight="1">
      <c r="F159" s="33"/>
    </row>
    <row r="160" ht="15.75" customHeight="1">
      <c r="F160" s="33"/>
    </row>
    <row r="161" ht="15.75" customHeight="1">
      <c r="F161" s="33"/>
    </row>
    <row r="162" ht="15.75" customHeight="1">
      <c r="F162" s="33"/>
    </row>
    <row r="163" ht="15.75" customHeight="1">
      <c r="F163" s="33"/>
    </row>
    <row r="164" ht="15.75" customHeight="1">
      <c r="F164" s="33"/>
    </row>
    <row r="165" ht="15.75" customHeight="1">
      <c r="F165" s="33"/>
    </row>
    <row r="166" ht="15.75" customHeight="1">
      <c r="F166" s="33"/>
    </row>
    <row r="167" ht="15.75" customHeight="1">
      <c r="F167" s="33"/>
    </row>
    <row r="168" ht="15.75" customHeight="1">
      <c r="F168" s="33"/>
    </row>
    <row r="169" ht="15.75" customHeight="1">
      <c r="F169" s="33"/>
    </row>
    <row r="170" ht="15.75" customHeight="1">
      <c r="F170" s="33"/>
    </row>
    <row r="171" ht="15.75" customHeight="1">
      <c r="F171" s="33"/>
    </row>
    <row r="172" ht="15.75" customHeight="1">
      <c r="F172" s="33"/>
    </row>
    <row r="173" ht="15.75" customHeight="1">
      <c r="F173" s="33"/>
    </row>
    <row r="174" ht="15.75" customHeight="1">
      <c r="F174" s="33"/>
    </row>
    <row r="175" ht="15.75" customHeight="1">
      <c r="F175" s="33"/>
    </row>
    <row r="176" ht="15.75" customHeight="1">
      <c r="F176" s="33"/>
    </row>
    <row r="177" ht="15.75" customHeight="1">
      <c r="F177" s="33"/>
    </row>
    <row r="178" ht="15.75" customHeight="1">
      <c r="F178" s="33"/>
    </row>
    <row r="179" ht="15.75" customHeight="1">
      <c r="F179" s="33"/>
    </row>
    <row r="180" ht="15.75" customHeight="1">
      <c r="F180" s="33"/>
    </row>
    <row r="181" ht="15.75" customHeight="1">
      <c r="F181" s="33"/>
    </row>
    <row r="182" ht="15.75" customHeight="1">
      <c r="F182" s="33"/>
    </row>
    <row r="183" ht="15.75" customHeight="1">
      <c r="F183" s="33"/>
    </row>
    <row r="184" ht="15.75" customHeight="1">
      <c r="F184" s="33"/>
    </row>
    <row r="185" ht="15.75" customHeight="1">
      <c r="F185" s="33"/>
    </row>
    <row r="186" ht="15.75" customHeight="1">
      <c r="F186" s="33"/>
    </row>
    <row r="187" ht="15.75" customHeight="1">
      <c r="F187" s="33"/>
    </row>
    <row r="188" ht="15.75" customHeight="1">
      <c r="F188" s="33"/>
    </row>
    <row r="189" ht="15.75" customHeight="1">
      <c r="F189" s="33"/>
    </row>
    <row r="190" ht="15.75" customHeight="1">
      <c r="F190" s="33"/>
    </row>
    <row r="191" ht="15.75" customHeight="1">
      <c r="F191" s="33"/>
    </row>
    <row r="192" ht="15.75" customHeight="1">
      <c r="F192" s="33"/>
    </row>
    <row r="193" ht="15.75" customHeight="1">
      <c r="F193" s="33"/>
    </row>
    <row r="194" ht="15.75" customHeight="1">
      <c r="F194" s="33"/>
    </row>
    <row r="195" ht="15.75" customHeight="1">
      <c r="F195" s="33"/>
    </row>
    <row r="196" ht="15.75" customHeight="1">
      <c r="F196" s="33"/>
    </row>
    <row r="197" ht="15.75" customHeight="1">
      <c r="F197" s="33"/>
    </row>
    <row r="198" ht="15.75" customHeight="1">
      <c r="F198" s="33"/>
    </row>
    <row r="199" ht="15.75" customHeight="1">
      <c r="F199" s="33"/>
    </row>
    <row r="200" ht="15.75" customHeight="1">
      <c r="F200" s="33"/>
    </row>
    <row r="201" ht="15.75" customHeight="1">
      <c r="F201" s="33"/>
    </row>
    <row r="202" ht="15.75" customHeight="1">
      <c r="F202" s="33"/>
    </row>
    <row r="203" ht="15.75" customHeight="1">
      <c r="F203" s="33"/>
    </row>
    <row r="204" ht="15.75" customHeight="1">
      <c r="F204" s="33"/>
    </row>
    <row r="205" ht="15.75" customHeight="1">
      <c r="F205" s="33"/>
    </row>
    <row r="206" ht="15.75" customHeight="1">
      <c r="F206" s="33"/>
    </row>
    <row r="207" ht="15.75" customHeight="1">
      <c r="F207" s="33"/>
    </row>
    <row r="208" ht="15.75" customHeight="1">
      <c r="F208" s="33"/>
    </row>
    <row r="209" ht="15.75" customHeight="1">
      <c r="F209" s="33"/>
    </row>
    <row r="210" ht="15.75" customHeight="1">
      <c r="F210" s="33"/>
    </row>
    <row r="211" ht="15.75" customHeight="1">
      <c r="F211" s="33"/>
    </row>
    <row r="212" ht="15.75" customHeight="1">
      <c r="F212" s="33"/>
    </row>
    <row r="213" ht="15.75" customHeight="1">
      <c r="F213" s="33"/>
    </row>
    <row r="214" ht="15.75" customHeight="1">
      <c r="F214" s="33"/>
    </row>
    <row r="215" ht="15.75" customHeight="1">
      <c r="F215" s="33"/>
    </row>
    <row r="216" ht="15.75" customHeight="1">
      <c r="F216" s="33"/>
    </row>
    <row r="217" ht="15.75" customHeight="1">
      <c r="F217" s="33"/>
    </row>
    <row r="218" ht="15.75" customHeight="1">
      <c r="F218" s="33"/>
    </row>
    <row r="219" ht="15.75" customHeight="1">
      <c r="F219" s="33"/>
    </row>
    <row r="220" ht="15.75" customHeight="1">
      <c r="F220" s="33"/>
    </row>
    <row r="221" ht="15.75" customHeight="1">
      <c r="F221" s="33"/>
    </row>
    <row r="222" ht="15.75" customHeight="1">
      <c r="F222" s="33"/>
    </row>
    <row r="223" ht="15.75" customHeight="1">
      <c r="F223" s="33"/>
    </row>
    <row r="224" ht="15.75" customHeight="1">
      <c r="F224" s="33"/>
    </row>
    <row r="225" ht="15.75" customHeight="1">
      <c r="F225" s="33"/>
    </row>
    <row r="226" ht="15.75" customHeight="1">
      <c r="F226" s="33"/>
    </row>
    <row r="227" ht="15.75" customHeight="1">
      <c r="F227" s="33"/>
    </row>
    <row r="228" ht="15.75" customHeight="1">
      <c r="F228" s="33"/>
    </row>
    <row r="229" ht="15.75" customHeight="1">
      <c r="F229" s="33"/>
    </row>
    <row r="230" ht="15.75" customHeight="1">
      <c r="F230" s="33"/>
    </row>
    <row r="231" ht="15.75" customHeight="1">
      <c r="F231" s="33"/>
    </row>
    <row r="232" ht="15.75" customHeight="1">
      <c r="F232" s="33"/>
    </row>
    <row r="233" ht="15.75" customHeight="1">
      <c r="F233" s="33"/>
    </row>
    <row r="234" ht="15.75" customHeight="1">
      <c r="F234" s="33"/>
    </row>
    <row r="235" ht="15.75" customHeight="1">
      <c r="F235" s="33"/>
    </row>
    <row r="236" ht="15.75" customHeight="1">
      <c r="F236" s="33"/>
    </row>
    <row r="237" ht="15.75" customHeight="1">
      <c r="F237" s="33"/>
    </row>
    <row r="238" ht="15.75" customHeight="1">
      <c r="F238" s="33"/>
    </row>
    <row r="239" ht="15.75" customHeight="1">
      <c r="F239" s="33"/>
    </row>
    <row r="240" ht="15.75" customHeight="1">
      <c r="F240" s="33"/>
    </row>
    <row r="241" ht="15.75" customHeight="1">
      <c r="F241" s="33"/>
    </row>
    <row r="242" ht="15.75" customHeight="1">
      <c r="F242" s="33"/>
    </row>
    <row r="243" ht="15.75" customHeight="1">
      <c r="F243" s="33"/>
    </row>
    <row r="244" ht="15.75" customHeight="1">
      <c r="F244" s="33"/>
    </row>
    <row r="245" ht="15.75" customHeight="1">
      <c r="F245" s="33"/>
    </row>
    <row r="246" ht="15.75" customHeight="1">
      <c r="F246" s="33"/>
    </row>
    <row r="247" ht="15.75" customHeight="1">
      <c r="F247" s="33"/>
    </row>
    <row r="248" ht="15.75" customHeight="1">
      <c r="F248" s="33"/>
    </row>
    <row r="249" ht="15.75" customHeight="1">
      <c r="F249" s="33"/>
    </row>
    <row r="250" ht="15.75" customHeight="1">
      <c r="F250" s="33"/>
    </row>
    <row r="251" ht="15.75" customHeight="1">
      <c r="F251" s="33"/>
    </row>
    <row r="252" ht="15.75" customHeight="1">
      <c r="F252" s="33"/>
    </row>
    <row r="253" ht="15.75" customHeight="1">
      <c r="F253" s="33"/>
    </row>
    <row r="254" ht="15.75" customHeight="1">
      <c r="F254" s="33"/>
    </row>
    <row r="255" ht="15.75" customHeight="1">
      <c r="F255" s="33"/>
    </row>
    <row r="256" ht="15.75" customHeight="1">
      <c r="F256" s="33"/>
    </row>
    <row r="257" ht="15.75" customHeight="1">
      <c r="F257" s="33"/>
    </row>
    <row r="258" ht="15.75" customHeight="1">
      <c r="F258" s="33"/>
    </row>
    <row r="259" ht="15.75" customHeight="1">
      <c r="F259" s="33"/>
    </row>
    <row r="260" ht="15.75" customHeight="1">
      <c r="F260" s="33"/>
    </row>
    <row r="261" ht="15.75" customHeight="1">
      <c r="F261" s="33"/>
    </row>
    <row r="262" ht="15.75" customHeight="1">
      <c r="F262" s="33"/>
    </row>
    <row r="263" ht="15.75" customHeight="1">
      <c r="F263" s="33"/>
    </row>
    <row r="264" ht="15.75" customHeight="1">
      <c r="F264" s="33"/>
    </row>
    <row r="265" ht="15.75" customHeight="1">
      <c r="F265" s="33"/>
    </row>
    <row r="266" ht="15.75" customHeight="1">
      <c r="F266" s="33"/>
    </row>
    <row r="267" ht="15.75" customHeight="1">
      <c r="F267" s="33"/>
    </row>
    <row r="268" ht="15.75" customHeight="1">
      <c r="F268" s="33"/>
    </row>
    <row r="269" ht="15.75" customHeight="1">
      <c r="F269" s="33"/>
    </row>
    <row r="270" ht="15.75" customHeight="1">
      <c r="F270" s="33"/>
    </row>
    <row r="271" ht="15.75" customHeight="1">
      <c r="F271" s="33"/>
    </row>
    <row r="272" ht="15.75" customHeight="1">
      <c r="F272" s="33"/>
    </row>
    <row r="273" ht="15.75" customHeight="1">
      <c r="F273" s="33"/>
    </row>
    <row r="274" ht="15.75" customHeight="1">
      <c r="F274" s="33"/>
    </row>
    <row r="275" ht="15.75" customHeight="1">
      <c r="F275" s="33"/>
    </row>
    <row r="276" ht="15.75" customHeight="1">
      <c r="F276" s="33"/>
    </row>
    <row r="277" ht="15.75" customHeight="1">
      <c r="F277" s="33"/>
    </row>
    <row r="278" ht="15.75" customHeight="1">
      <c r="F278" s="33"/>
    </row>
    <row r="279" ht="15.75" customHeight="1">
      <c r="F279" s="33"/>
    </row>
    <row r="280" ht="15.75" customHeight="1">
      <c r="F280" s="33"/>
    </row>
    <row r="281" ht="15.75" customHeight="1">
      <c r="F281" s="33"/>
    </row>
    <row r="282" ht="15.75" customHeight="1">
      <c r="F282" s="33"/>
    </row>
    <row r="283" ht="15.75" customHeight="1">
      <c r="F283" s="33"/>
    </row>
    <row r="284" ht="15.75" customHeight="1">
      <c r="F284" s="33"/>
    </row>
    <row r="285" ht="15.75" customHeight="1">
      <c r="F285" s="33"/>
    </row>
    <row r="286" ht="15.75" customHeight="1">
      <c r="F286" s="33"/>
    </row>
    <row r="287" ht="15.75" customHeight="1">
      <c r="F287" s="33"/>
    </row>
    <row r="288" ht="15.75" customHeight="1">
      <c r="F288" s="33"/>
    </row>
    <row r="289" ht="15.75" customHeight="1">
      <c r="F289" s="33"/>
    </row>
    <row r="290" ht="15.75" customHeight="1">
      <c r="F290" s="33"/>
    </row>
    <row r="291" ht="15.75" customHeight="1">
      <c r="F291" s="33"/>
    </row>
    <row r="292" ht="15.75" customHeight="1">
      <c r="F292" s="33"/>
    </row>
    <row r="293" ht="15.75" customHeight="1">
      <c r="F293" s="33"/>
    </row>
    <row r="294" ht="15.75" customHeight="1">
      <c r="F294" s="33"/>
    </row>
    <row r="295" ht="15.75" customHeight="1">
      <c r="F295" s="33"/>
    </row>
    <row r="296" ht="15.75" customHeight="1">
      <c r="F296" s="33"/>
    </row>
    <row r="297" ht="15.75" customHeight="1">
      <c r="F297" s="33"/>
    </row>
    <row r="298" ht="15.75" customHeight="1">
      <c r="F298" s="33"/>
    </row>
    <row r="299" ht="15.75" customHeight="1">
      <c r="F299" s="33"/>
    </row>
    <row r="300" ht="15.75" customHeight="1">
      <c r="F300" s="33"/>
    </row>
    <row r="301" ht="15.75" customHeight="1">
      <c r="F301" s="33"/>
    </row>
    <row r="302" ht="15.75" customHeight="1">
      <c r="F302" s="33"/>
    </row>
    <row r="303" ht="15.75" customHeight="1">
      <c r="F303" s="33"/>
    </row>
    <row r="304" ht="15.75" customHeight="1">
      <c r="F304" s="33"/>
    </row>
    <row r="305" ht="15.75" customHeight="1">
      <c r="F305" s="33"/>
    </row>
    <row r="306" ht="15.75" customHeight="1">
      <c r="F306" s="33"/>
    </row>
    <row r="307" ht="15.75" customHeight="1">
      <c r="F307" s="33"/>
    </row>
    <row r="308" ht="15.75" customHeight="1">
      <c r="F308" s="33"/>
    </row>
    <row r="309" ht="15.75" customHeight="1">
      <c r="F309" s="33"/>
    </row>
    <row r="310" ht="15.75" customHeight="1">
      <c r="F310" s="33"/>
    </row>
    <row r="311" ht="15.75" customHeight="1">
      <c r="F311" s="33"/>
    </row>
    <row r="312" ht="15.75" customHeight="1">
      <c r="F312" s="33"/>
    </row>
    <row r="313" ht="15.75" customHeight="1">
      <c r="F313" s="33"/>
    </row>
    <row r="314" ht="15.75" customHeight="1">
      <c r="F314" s="33"/>
    </row>
    <row r="315" ht="15.75" customHeight="1">
      <c r="F315" s="33"/>
    </row>
    <row r="316" ht="15.75" customHeight="1">
      <c r="F316" s="33"/>
    </row>
    <row r="317" ht="15.75" customHeight="1">
      <c r="F317" s="33"/>
    </row>
    <row r="318" ht="15.75" customHeight="1">
      <c r="F318" s="33"/>
    </row>
    <row r="319" ht="15.75" customHeight="1">
      <c r="F319" s="33"/>
    </row>
    <row r="320" ht="15.75" customHeight="1">
      <c r="F320" s="33"/>
    </row>
    <row r="321" ht="15.75" customHeight="1">
      <c r="F321" s="33"/>
    </row>
    <row r="322" ht="15.75" customHeight="1">
      <c r="F322" s="33"/>
    </row>
    <row r="323" ht="15.75" customHeight="1">
      <c r="F323" s="33"/>
    </row>
    <row r="324" ht="15.75" customHeight="1">
      <c r="F324" s="33"/>
    </row>
    <row r="325" ht="15.75" customHeight="1">
      <c r="F325" s="33"/>
    </row>
    <row r="326" ht="15.75" customHeight="1">
      <c r="F326" s="33"/>
    </row>
    <row r="327" ht="15.75" customHeight="1">
      <c r="F327" s="33"/>
    </row>
    <row r="328" ht="15.75" customHeight="1">
      <c r="F328" s="33"/>
    </row>
    <row r="329" ht="15.75" customHeight="1">
      <c r="F329" s="33"/>
    </row>
    <row r="330" ht="15.75" customHeight="1">
      <c r="F330" s="33"/>
    </row>
    <row r="331" ht="15.75" customHeight="1">
      <c r="F331" s="33"/>
    </row>
    <row r="332" ht="15.75" customHeight="1">
      <c r="F332" s="33"/>
    </row>
    <row r="333" ht="15.75" customHeight="1">
      <c r="F333" s="33"/>
    </row>
    <row r="334" ht="15.75" customHeight="1">
      <c r="F334" s="33"/>
    </row>
    <row r="335" ht="15.75" customHeight="1">
      <c r="F335" s="33"/>
    </row>
    <row r="336" ht="15.75" customHeight="1">
      <c r="F336" s="33"/>
    </row>
    <row r="337" ht="15.75" customHeight="1">
      <c r="F337" s="33"/>
    </row>
    <row r="338" ht="15.75" customHeight="1">
      <c r="F338" s="33"/>
    </row>
    <row r="339" ht="15.75" customHeight="1">
      <c r="F339" s="33"/>
    </row>
    <row r="340" ht="15.75" customHeight="1">
      <c r="F340" s="33"/>
    </row>
    <row r="341" ht="15.75" customHeight="1">
      <c r="F341" s="33"/>
    </row>
    <row r="342" ht="15.75" customHeight="1">
      <c r="F342" s="33"/>
    </row>
    <row r="343" ht="15.75" customHeight="1">
      <c r="F343" s="33"/>
    </row>
    <row r="344" ht="15.75" customHeight="1">
      <c r="F344" s="33"/>
    </row>
    <row r="345" ht="15.75" customHeight="1">
      <c r="F345" s="33"/>
    </row>
    <row r="346" ht="15.75" customHeight="1">
      <c r="F346" s="33"/>
    </row>
    <row r="347" ht="15.75" customHeight="1">
      <c r="F347" s="33"/>
    </row>
    <row r="348" ht="15.75" customHeight="1">
      <c r="F348" s="33"/>
    </row>
    <row r="349" ht="15.75" customHeight="1">
      <c r="F349" s="33"/>
    </row>
    <row r="350" ht="15.75" customHeight="1">
      <c r="F350" s="33"/>
    </row>
    <row r="351" ht="15.75" customHeight="1">
      <c r="F351" s="33"/>
    </row>
    <row r="352" ht="15.75" customHeight="1">
      <c r="F352" s="33"/>
    </row>
    <row r="353" ht="15.75" customHeight="1">
      <c r="F353" s="33"/>
    </row>
    <row r="354" ht="15.75" customHeight="1">
      <c r="F354" s="33"/>
    </row>
    <row r="355" ht="15.75" customHeight="1">
      <c r="F355" s="33"/>
    </row>
    <row r="356" ht="15.75" customHeight="1">
      <c r="F356" s="33"/>
    </row>
    <row r="357" ht="15.75" customHeight="1">
      <c r="F357" s="33"/>
    </row>
    <row r="358" ht="15.75" customHeight="1">
      <c r="F358" s="33"/>
    </row>
    <row r="359" ht="15.75" customHeight="1">
      <c r="F359" s="33"/>
    </row>
    <row r="360" ht="15.75" customHeight="1">
      <c r="F360" s="33"/>
    </row>
    <row r="361" ht="15.75" customHeight="1">
      <c r="F361" s="33"/>
    </row>
    <row r="362" ht="15.75" customHeight="1">
      <c r="F362" s="33"/>
    </row>
    <row r="363" ht="15.75" customHeight="1">
      <c r="F363" s="33"/>
    </row>
    <row r="364" ht="15.75" customHeight="1">
      <c r="F364" s="33"/>
    </row>
    <row r="365" ht="15.75" customHeight="1">
      <c r="F365" s="33"/>
    </row>
    <row r="366" ht="15.75" customHeight="1">
      <c r="F366" s="33"/>
    </row>
    <row r="367" ht="15.75" customHeight="1">
      <c r="F367" s="33"/>
    </row>
    <row r="368" ht="15.75" customHeight="1">
      <c r="F368" s="33"/>
    </row>
    <row r="369" ht="15.75" customHeight="1">
      <c r="F369" s="33"/>
    </row>
    <row r="370" ht="15.75" customHeight="1">
      <c r="F370" s="33"/>
    </row>
    <row r="371" ht="15.75" customHeight="1">
      <c r="F371" s="33"/>
    </row>
    <row r="372" ht="15.75" customHeight="1">
      <c r="F372" s="33"/>
    </row>
    <row r="373" ht="15.75" customHeight="1">
      <c r="F373" s="33"/>
    </row>
    <row r="374" ht="15.75" customHeight="1">
      <c r="F374" s="33"/>
    </row>
    <row r="375" ht="15.75" customHeight="1">
      <c r="F375" s="33"/>
    </row>
    <row r="376" ht="15.75" customHeight="1">
      <c r="F376" s="33"/>
    </row>
    <row r="377" ht="15.75" customHeight="1">
      <c r="F377" s="33"/>
    </row>
    <row r="378" ht="15.75" customHeight="1">
      <c r="F378" s="33"/>
    </row>
    <row r="379" ht="15.75" customHeight="1">
      <c r="F379" s="33"/>
    </row>
    <row r="380" ht="15.75" customHeight="1">
      <c r="F380" s="33"/>
    </row>
    <row r="381" ht="15.75" customHeight="1">
      <c r="F381" s="33"/>
    </row>
    <row r="382" ht="15.75" customHeight="1">
      <c r="F382" s="33"/>
    </row>
    <row r="383" ht="15.75" customHeight="1">
      <c r="F383" s="33"/>
    </row>
    <row r="384" ht="15.75" customHeight="1">
      <c r="F384" s="33"/>
    </row>
    <row r="385" ht="15.75" customHeight="1">
      <c r="F385" s="33"/>
    </row>
    <row r="386" ht="15.75" customHeight="1">
      <c r="F386" s="33"/>
    </row>
    <row r="387" ht="15.75" customHeight="1">
      <c r="F387" s="33"/>
    </row>
    <row r="388" ht="15.75" customHeight="1">
      <c r="F388" s="33"/>
    </row>
    <row r="389" ht="15.75" customHeight="1">
      <c r="F389" s="33"/>
    </row>
    <row r="390" ht="15.75" customHeight="1">
      <c r="F390" s="33"/>
    </row>
    <row r="391" ht="15.75" customHeight="1">
      <c r="F391" s="33"/>
    </row>
    <row r="392" ht="15.75" customHeight="1">
      <c r="F392" s="33"/>
    </row>
    <row r="393" ht="15.75" customHeight="1">
      <c r="F393" s="33"/>
    </row>
    <row r="394" ht="15.75" customHeight="1">
      <c r="F394" s="33"/>
    </row>
    <row r="395" ht="15.75" customHeight="1">
      <c r="F395" s="33"/>
    </row>
    <row r="396" ht="15.75" customHeight="1">
      <c r="F396" s="33"/>
    </row>
    <row r="397" ht="15.75" customHeight="1">
      <c r="F397" s="33"/>
    </row>
    <row r="398" ht="15.75" customHeight="1">
      <c r="F398" s="33"/>
    </row>
    <row r="399" ht="15.75" customHeight="1">
      <c r="F399" s="33"/>
    </row>
    <row r="400" ht="15.75" customHeight="1">
      <c r="F400" s="33"/>
    </row>
    <row r="401" ht="15.75" customHeight="1">
      <c r="F401" s="33"/>
    </row>
    <row r="402" ht="15.75" customHeight="1">
      <c r="F402" s="33"/>
    </row>
    <row r="403" ht="15.75" customHeight="1">
      <c r="F403" s="33"/>
    </row>
    <row r="404" ht="15.75" customHeight="1">
      <c r="F404" s="33"/>
    </row>
    <row r="405" ht="15.75" customHeight="1">
      <c r="F405" s="33"/>
    </row>
    <row r="406" ht="15.75" customHeight="1">
      <c r="F406" s="33"/>
    </row>
    <row r="407" ht="15.75" customHeight="1">
      <c r="F407" s="33"/>
    </row>
    <row r="408" ht="15.75" customHeight="1">
      <c r="F408" s="33"/>
    </row>
    <row r="409" ht="15.75" customHeight="1">
      <c r="F409" s="33"/>
    </row>
    <row r="410" ht="15.75" customHeight="1">
      <c r="F410" s="33"/>
    </row>
    <row r="411" ht="15.75" customHeight="1">
      <c r="F411" s="33"/>
    </row>
    <row r="412" ht="15.75" customHeight="1">
      <c r="F412" s="33"/>
    </row>
    <row r="413" ht="15.75" customHeight="1">
      <c r="F413" s="33"/>
    </row>
    <row r="414" ht="15.75" customHeight="1">
      <c r="F414" s="33"/>
    </row>
    <row r="415" ht="15.75" customHeight="1">
      <c r="F415" s="33"/>
    </row>
    <row r="416" ht="15.75" customHeight="1">
      <c r="F416" s="33"/>
    </row>
    <row r="417" ht="15.75" customHeight="1">
      <c r="F417" s="33"/>
    </row>
    <row r="418" ht="15.75" customHeight="1">
      <c r="F418" s="33"/>
    </row>
    <row r="419" ht="15.75" customHeight="1">
      <c r="F419" s="33"/>
    </row>
    <row r="420" ht="15.75" customHeight="1">
      <c r="F420" s="33"/>
    </row>
    <row r="421" ht="15.75" customHeight="1">
      <c r="F421" s="33"/>
    </row>
    <row r="422" ht="15.75" customHeight="1">
      <c r="F422" s="33"/>
    </row>
    <row r="423" ht="15.75" customHeight="1">
      <c r="F423" s="33"/>
    </row>
    <row r="424" ht="15.75" customHeight="1">
      <c r="F424" s="33"/>
    </row>
    <row r="425" ht="15.75" customHeight="1">
      <c r="F425" s="33"/>
    </row>
    <row r="426" ht="15.75" customHeight="1">
      <c r="F426" s="33"/>
    </row>
    <row r="427" ht="15.75" customHeight="1">
      <c r="F427" s="33"/>
    </row>
    <row r="428" ht="15.75" customHeight="1">
      <c r="F428" s="33"/>
    </row>
    <row r="429" ht="15.75" customHeight="1">
      <c r="F429" s="33"/>
    </row>
    <row r="430" ht="15.75" customHeight="1">
      <c r="F430" s="33"/>
    </row>
    <row r="431" ht="15.75" customHeight="1">
      <c r="F431" s="33"/>
    </row>
    <row r="432" ht="15.75" customHeight="1">
      <c r="F432" s="33"/>
    </row>
    <row r="433" ht="15.75" customHeight="1">
      <c r="F433" s="33"/>
    </row>
    <row r="434" ht="15.75" customHeight="1">
      <c r="F434" s="33"/>
    </row>
    <row r="435" ht="15.75" customHeight="1">
      <c r="F435" s="33"/>
    </row>
    <row r="436" ht="15.75" customHeight="1">
      <c r="F436" s="33"/>
    </row>
    <row r="437" ht="15.75" customHeight="1">
      <c r="F437" s="33"/>
    </row>
    <row r="438" ht="15.75" customHeight="1">
      <c r="F438" s="33"/>
    </row>
    <row r="439" ht="15.75" customHeight="1">
      <c r="F439" s="33"/>
    </row>
    <row r="440" ht="15.75" customHeight="1">
      <c r="F440" s="33"/>
    </row>
    <row r="441" ht="15.75" customHeight="1">
      <c r="F441" s="33"/>
    </row>
    <row r="442" ht="15.75" customHeight="1">
      <c r="F442" s="33"/>
    </row>
    <row r="443" ht="15.75" customHeight="1">
      <c r="F443" s="33"/>
    </row>
    <row r="444" ht="15.75" customHeight="1">
      <c r="F444" s="33"/>
    </row>
    <row r="445" ht="15.75" customHeight="1">
      <c r="F445" s="33"/>
    </row>
    <row r="446" ht="15.75" customHeight="1">
      <c r="F446" s="33"/>
    </row>
    <row r="447" ht="15.75" customHeight="1">
      <c r="F447" s="33"/>
    </row>
    <row r="448" ht="15.75" customHeight="1">
      <c r="F448" s="33"/>
    </row>
    <row r="449" ht="15.75" customHeight="1">
      <c r="F449" s="33"/>
    </row>
    <row r="450" ht="15.75" customHeight="1">
      <c r="F450" s="33"/>
    </row>
    <row r="451" ht="15.75" customHeight="1">
      <c r="F451" s="33"/>
    </row>
    <row r="452" ht="15.75" customHeight="1">
      <c r="F452" s="33"/>
    </row>
    <row r="453" ht="15.75" customHeight="1">
      <c r="F453" s="33"/>
    </row>
    <row r="454" ht="15.75" customHeight="1">
      <c r="F454" s="33"/>
    </row>
    <row r="455" ht="15.75" customHeight="1">
      <c r="F455" s="33"/>
    </row>
    <row r="456" ht="15.75" customHeight="1">
      <c r="F456" s="33"/>
    </row>
    <row r="457" ht="15.75" customHeight="1">
      <c r="F457" s="33"/>
    </row>
    <row r="458" ht="15.75" customHeight="1">
      <c r="F458" s="33"/>
    </row>
    <row r="459" ht="15.75" customHeight="1">
      <c r="F459" s="33"/>
    </row>
    <row r="460" ht="15.75" customHeight="1">
      <c r="F460" s="33"/>
    </row>
    <row r="461" ht="15.75" customHeight="1">
      <c r="F461" s="33"/>
    </row>
    <row r="462" ht="15.75" customHeight="1">
      <c r="F462" s="33"/>
    </row>
    <row r="463" ht="15.75" customHeight="1">
      <c r="F463" s="33"/>
    </row>
    <row r="464" ht="15.75" customHeight="1">
      <c r="F464" s="33"/>
    </row>
    <row r="465" ht="15.75" customHeight="1">
      <c r="F465" s="33"/>
    </row>
    <row r="466" ht="15.75" customHeight="1">
      <c r="F466" s="33"/>
    </row>
    <row r="467" ht="15.75" customHeight="1">
      <c r="F467" s="33"/>
    </row>
    <row r="468" ht="15.75" customHeight="1">
      <c r="F468" s="33"/>
    </row>
    <row r="469" ht="15.75" customHeight="1">
      <c r="F469" s="33"/>
    </row>
    <row r="470" ht="15.75" customHeight="1">
      <c r="F470" s="33"/>
    </row>
    <row r="471" ht="15.75" customHeight="1">
      <c r="F471" s="33"/>
    </row>
    <row r="472" ht="15.75" customHeight="1">
      <c r="F472" s="33"/>
    </row>
    <row r="473" ht="15.75" customHeight="1">
      <c r="F473" s="33"/>
    </row>
    <row r="474" ht="15.75" customHeight="1">
      <c r="F474" s="33"/>
    </row>
    <row r="475" ht="15.75" customHeight="1">
      <c r="F475" s="33"/>
    </row>
    <row r="476" ht="15.75" customHeight="1">
      <c r="F476" s="33"/>
    </row>
    <row r="477" ht="15.75" customHeight="1">
      <c r="F477" s="33"/>
    </row>
    <row r="478" ht="15.75" customHeight="1">
      <c r="F478" s="33"/>
    </row>
    <row r="479" ht="15.75" customHeight="1">
      <c r="F479" s="33"/>
    </row>
    <row r="480" ht="15.75" customHeight="1">
      <c r="F480" s="33"/>
    </row>
    <row r="481" ht="15.75" customHeight="1">
      <c r="F481" s="33"/>
    </row>
    <row r="482" ht="15.75" customHeight="1">
      <c r="F482" s="33"/>
    </row>
    <row r="483" ht="15.75" customHeight="1">
      <c r="F483" s="33"/>
    </row>
    <row r="484" ht="15.75" customHeight="1">
      <c r="F484" s="33"/>
    </row>
    <row r="485" ht="15.75" customHeight="1">
      <c r="F485" s="33"/>
    </row>
    <row r="486" ht="15.75" customHeight="1">
      <c r="F486" s="33"/>
    </row>
    <row r="487" ht="15.75" customHeight="1">
      <c r="F487" s="33"/>
    </row>
    <row r="488" ht="15.75" customHeight="1">
      <c r="F488" s="33"/>
    </row>
    <row r="489" ht="15.75" customHeight="1">
      <c r="F489" s="33"/>
    </row>
    <row r="490" ht="15.75" customHeight="1">
      <c r="F490" s="33"/>
    </row>
    <row r="491" ht="15.75" customHeight="1">
      <c r="F491" s="33"/>
    </row>
    <row r="492" ht="15.75" customHeight="1">
      <c r="F492" s="33"/>
    </row>
    <row r="493" ht="15.75" customHeight="1">
      <c r="F493" s="33"/>
    </row>
    <row r="494" ht="15.75" customHeight="1">
      <c r="F494" s="33"/>
    </row>
    <row r="495" ht="15.75" customHeight="1">
      <c r="F495" s="33"/>
    </row>
    <row r="496" ht="15.75" customHeight="1">
      <c r="F496" s="33"/>
    </row>
    <row r="497" ht="15.75" customHeight="1">
      <c r="F497" s="33"/>
    </row>
    <row r="498" ht="15.75" customHeight="1">
      <c r="F498" s="33"/>
    </row>
    <row r="499" ht="15.75" customHeight="1">
      <c r="F499" s="33"/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qref="F2:F499">
      <formula1>"Active,On Leave,Inactive"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3.71"/>
    <col customWidth="1" min="3" max="3" width="12.86"/>
    <col customWidth="1" min="4" max="4" width="17.0"/>
    <col customWidth="1" min="5" max="5" width="13.43"/>
    <col customWidth="1" hidden="1" min="6" max="17" width="8.71"/>
    <col customWidth="1" min="18" max="26" width="8.71"/>
  </cols>
  <sheetData>
    <row r="1" ht="16.5" customHeight="1">
      <c r="A1" s="29" t="s">
        <v>88</v>
      </c>
      <c r="B1" s="29" t="s">
        <v>72</v>
      </c>
      <c r="C1" s="29" t="s">
        <v>89</v>
      </c>
      <c r="D1" s="29" t="s">
        <v>23</v>
      </c>
      <c r="E1" s="29" t="s">
        <v>26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0">
        <v>2014035.0</v>
      </c>
      <c r="B2" s="30" t="s">
        <v>90</v>
      </c>
      <c r="C2" s="30">
        <v>550.0</v>
      </c>
      <c r="D2" s="30" t="s">
        <v>29</v>
      </c>
      <c r="E2" s="31"/>
    </row>
    <row r="3">
      <c r="A3" s="30">
        <v>2013001.0</v>
      </c>
      <c r="B3" s="30" t="s">
        <v>91</v>
      </c>
      <c r="C3" s="30">
        <v>500.0</v>
      </c>
      <c r="D3" s="30" t="s">
        <v>29</v>
      </c>
      <c r="E3" s="31"/>
    </row>
    <row r="4">
      <c r="A4" s="30">
        <v>2017007.0</v>
      </c>
      <c r="B4" s="30" t="s">
        <v>92</v>
      </c>
      <c r="C4" s="30">
        <v>500.0</v>
      </c>
      <c r="D4" s="30" t="s">
        <v>29</v>
      </c>
      <c r="E4" s="31"/>
    </row>
    <row r="5">
      <c r="A5" s="30">
        <v>2026031.0</v>
      </c>
      <c r="B5" s="30" t="s">
        <v>93</v>
      </c>
      <c r="C5" s="30">
        <v>525.0</v>
      </c>
      <c r="D5" s="30" t="s">
        <v>29</v>
      </c>
      <c r="E5" s="31"/>
    </row>
    <row r="6">
      <c r="A6" s="30">
        <v>2017003.0</v>
      </c>
      <c r="B6" s="30" t="s">
        <v>94</v>
      </c>
      <c r="C6" s="30">
        <v>500.0</v>
      </c>
      <c r="D6" s="30" t="s">
        <v>29</v>
      </c>
      <c r="E6" s="31"/>
    </row>
    <row r="7">
      <c r="A7" s="30">
        <v>2023007.0</v>
      </c>
      <c r="B7" s="30" t="s">
        <v>95</v>
      </c>
      <c r="C7" s="30">
        <v>500.0</v>
      </c>
      <c r="D7" s="30" t="s">
        <v>29</v>
      </c>
      <c r="E7" s="31"/>
    </row>
    <row r="8">
      <c r="A8" s="30">
        <v>2025110.0</v>
      </c>
      <c r="B8" s="30" t="s">
        <v>96</v>
      </c>
      <c r="C8" s="30">
        <v>500.0</v>
      </c>
      <c r="D8" s="30" t="s">
        <v>29</v>
      </c>
      <c r="E8" s="31"/>
    </row>
    <row r="9">
      <c r="A9" s="31"/>
      <c r="C9" s="31"/>
      <c r="D9" s="31"/>
      <c r="E9" s="31"/>
    </row>
    <row r="10">
      <c r="A10" s="31"/>
      <c r="B10" s="30"/>
      <c r="C10" s="31"/>
      <c r="D10" s="31"/>
      <c r="E10" s="31"/>
    </row>
    <row r="11">
      <c r="A11" s="31"/>
      <c r="C11" s="31"/>
      <c r="D11" s="31"/>
      <c r="E11" s="31"/>
    </row>
    <row r="12">
      <c r="A12" s="31"/>
      <c r="B12" s="30"/>
      <c r="C12" s="31"/>
      <c r="D12" s="31"/>
      <c r="E12" s="31"/>
    </row>
    <row r="13">
      <c r="D13" s="33"/>
    </row>
    <row r="14">
      <c r="D14" s="33"/>
    </row>
    <row r="15">
      <c r="D15" s="33"/>
    </row>
    <row r="16">
      <c r="D16" s="33"/>
    </row>
    <row r="17">
      <c r="D17" s="33"/>
    </row>
    <row r="18">
      <c r="D18" s="33"/>
    </row>
    <row r="19">
      <c r="D19" s="33"/>
    </row>
    <row r="20">
      <c r="D20" s="33"/>
    </row>
    <row r="21" ht="15.75" customHeight="1">
      <c r="D21" s="33"/>
    </row>
    <row r="22" ht="15.75" customHeight="1">
      <c r="D22" s="33"/>
    </row>
    <row r="23" ht="15.75" customHeight="1">
      <c r="D23" s="33"/>
    </row>
    <row r="24" ht="15.75" customHeight="1">
      <c r="D24" s="33"/>
    </row>
    <row r="25" ht="15.75" customHeight="1">
      <c r="D25" s="33"/>
    </row>
    <row r="26" ht="15.75" customHeight="1">
      <c r="D26" s="33"/>
    </row>
    <row r="27" ht="15.75" customHeight="1">
      <c r="D27" s="33"/>
    </row>
    <row r="28" ht="15.75" customHeight="1">
      <c r="D28" s="33"/>
    </row>
    <row r="29" ht="15.75" customHeight="1">
      <c r="D29" s="33"/>
    </row>
    <row r="30" ht="15.75" customHeight="1">
      <c r="D30" s="33"/>
    </row>
    <row r="31" ht="15.75" customHeight="1">
      <c r="D31" s="33"/>
    </row>
    <row r="32" ht="15.75" customHeight="1">
      <c r="D32" s="33"/>
    </row>
    <row r="33" ht="15.75" customHeight="1">
      <c r="D33" s="33"/>
    </row>
    <row r="34" ht="15.75" customHeight="1">
      <c r="D34" s="33"/>
    </row>
    <row r="35" ht="15.75" customHeight="1">
      <c r="D35" s="33"/>
    </row>
    <row r="36" ht="15.75" customHeight="1">
      <c r="D36" s="33"/>
    </row>
    <row r="37" ht="15.75" customHeight="1">
      <c r="D37" s="33"/>
    </row>
    <row r="38" ht="15.75" customHeight="1">
      <c r="D38" s="33"/>
    </row>
    <row r="39" ht="15.75" customHeight="1">
      <c r="D39" s="33"/>
    </row>
    <row r="40" ht="15.75" customHeight="1">
      <c r="D40" s="33"/>
    </row>
    <row r="41" ht="15.75" customHeight="1">
      <c r="D41" s="33"/>
    </row>
    <row r="42" ht="15.75" customHeight="1">
      <c r="D42" s="33"/>
    </row>
    <row r="43" ht="15.75" customHeight="1">
      <c r="D43" s="33"/>
    </row>
    <row r="44" ht="15.75" customHeight="1">
      <c r="D44" s="33"/>
    </row>
    <row r="45" ht="15.75" customHeight="1">
      <c r="D45" s="33"/>
    </row>
    <row r="46" ht="15.75" customHeight="1">
      <c r="D46" s="33"/>
    </row>
    <row r="47" ht="15.75" customHeight="1">
      <c r="D47" s="33"/>
    </row>
    <row r="48" ht="15.75" customHeight="1">
      <c r="D48" s="33"/>
    </row>
    <row r="49" ht="15.75" customHeight="1">
      <c r="D49" s="33"/>
    </row>
    <row r="50" ht="15.75" customHeight="1">
      <c r="D50" s="33"/>
    </row>
    <row r="51" ht="15.75" customHeight="1">
      <c r="D51" s="33"/>
    </row>
    <row r="52" ht="15.75" customHeight="1">
      <c r="D52" s="33"/>
    </row>
    <row r="53" ht="15.75" customHeight="1">
      <c r="D53" s="33"/>
    </row>
    <row r="54" ht="15.75" customHeight="1">
      <c r="D54" s="33"/>
    </row>
    <row r="55" ht="15.75" customHeight="1">
      <c r="D55" s="33"/>
    </row>
    <row r="56" ht="15.75" customHeight="1">
      <c r="D56" s="33"/>
    </row>
    <row r="57" ht="15.75" customHeight="1">
      <c r="D57" s="33"/>
    </row>
    <row r="58" ht="15.75" customHeight="1">
      <c r="D58" s="33"/>
    </row>
    <row r="59" ht="15.75" customHeight="1">
      <c r="D59" s="33"/>
    </row>
    <row r="60" ht="15.75" customHeight="1">
      <c r="D60" s="33"/>
    </row>
    <row r="61" ht="15.75" customHeight="1">
      <c r="D61" s="33"/>
    </row>
    <row r="62" ht="15.75" customHeight="1">
      <c r="D62" s="33"/>
    </row>
    <row r="63" ht="15.75" customHeight="1">
      <c r="D63" s="33"/>
    </row>
    <row r="64" ht="15.75" customHeight="1">
      <c r="D64" s="33"/>
    </row>
    <row r="65" ht="15.75" customHeight="1">
      <c r="D65" s="33"/>
    </row>
    <row r="66" ht="15.75" customHeight="1">
      <c r="D66" s="33"/>
    </row>
    <row r="67" ht="15.75" customHeight="1">
      <c r="D67" s="33"/>
    </row>
    <row r="68" ht="15.75" customHeight="1">
      <c r="D68" s="33"/>
    </row>
    <row r="69" ht="15.75" customHeight="1">
      <c r="D69" s="33"/>
    </row>
    <row r="70" ht="15.75" customHeight="1">
      <c r="D70" s="33"/>
    </row>
    <row r="71" ht="15.75" customHeight="1">
      <c r="D71" s="33"/>
    </row>
    <row r="72" ht="15.75" customHeight="1">
      <c r="D72" s="33"/>
    </row>
    <row r="73" ht="15.75" customHeight="1">
      <c r="D73" s="33"/>
    </row>
    <row r="74" ht="15.75" customHeight="1">
      <c r="D74" s="33"/>
    </row>
    <row r="75" ht="15.75" customHeight="1">
      <c r="D75" s="33"/>
    </row>
    <row r="76" ht="15.75" customHeight="1">
      <c r="D76" s="33"/>
    </row>
    <row r="77" ht="15.75" customHeight="1">
      <c r="D77" s="33"/>
    </row>
    <row r="78" ht="15.75" customHeight="1">
      <c r="D78" s="33"/>
    </row>
    <row r="79" ht="15.75" customHeight="1">
      <c r="D79" s="33"/>
    </row>
    <row r="80" ht="15.75" customHeight="1">
      <c r="D80" s="33"/>
    </row>
    <row r="81" ht="15.75" customHeight="1">
      <c r="D81" s="33"/>
    </row>
    <row r="82" ht="15.75" customHeight="1">
      <c r="D82" s="33"/>
    </row>
    <row r="83" ht="15.75" customHeight="1">
      <c r="D83" s="33"/>
    </row>
    <row r="84" ht="15.75" customHeight="1">
      <c r="D84" s="33"/>
    </row>
    <row r="85" ht="15.75" customHeight="1">
      <c r="D85" s="33"/>
    </row>
    <row r="86" ht="15.75" customHeight="1">
      <c r="D86" s="33"/>
    </row>
    <row r="87" ht="15.75" customHeight="1">
      <c r="D87" s="33"/>
    </row>
    <row r="88" ht="15.75" customHeight="1">
      <c r="D88" s="33"/>
    </row>
    <row r="89" ht="15.75" customHeight="1">
      <c r="D89" s="33"/>
    </row>
    <row r="90" ht="15.75" customHeight="1">
      <c r="D90" s="33"/>
    </row>
    <row r="91" ht="15.75" customHeight="1">
      <c r="D91" s="33"/>
    </row>
    <row r="92" ht="15.75" customHeight="1">
      <c r="D92" s="33"/>
    </row>
    <row r="93" ht="15.75" customHeight="1">
      <c r="D93" s="33"/>
    </row>
    <row r="94" ht="15.75" customHeight="1">
      <c r="D94" s="33"/>
    </row>
    <row r="95" ht="15.75" customHeight="1">
      <c r="D95" s="33"/>
    </row>
    <row r="96" ht="15.75" customHeight="1">
      <c r="D96" s="33"/>
    </row>
    <row r="97" ht="15.75" customHeight="1">
      <c r="D97" s="33"/>
    </row>
    <row r="98" ht="15.75" customHeight="1">
      <c r="D98" s="33"/>
    </row>
    <row r="99" ht="15.75" customHeight="1">
      <c r="D99" s="33"/>
    </row>
    <row r="100" ht="15.75" customHeight="1">
      <c r="D100" s="33"/>
    </row>
    <row r="101" ht="15.75" customHeight="1">
      <c r="D101" s="33"/>
    </row>
    <row r="102" ht="15.75" customHeight="1">
      <c r="D102" s="33"/>
    </row>
    <row r="103" ht="15.75" customHeight="1">
      <c r="D103" s="33"/>
    </row>
    <row r="104" ht="15.75" customHeight="1">
      <c r="D104" s="33"/>
    </row>
    <row r="105" ht="15.75" customHeight="1">
      <c r="D105" s="33"/>
    </row>
    <row r="106" ht="15.75" customHeight="1">
      <c r="D106" s="33"/>
    </row>
    <row r="107" ht="15.75" customHeight="1">
      <c r="D107" s="33"/>
    </row>
    <row r="108" ht="15.75" customHeight="1">
      <c r="D108" s="33"/>
    </row>
    <row r="109" ht="15.75" customHeight="1">
      <c r="D109" s="33"/>
    </row>
    <row r="110" ht="15.75" customHeight="1">
      <c r="D110" s="33"/>
    </row>
    <row r="111" ht="15.75" customHeight="1">
      <c r="D111" s="33"/>
    </row>
    <row r="112" ht="15.75" customHeight="1">
      <c r="D112" s="33"/>
    </row>
    <row r="113" ht="15.75" customHeight="1">
      <c r="D113" s="33"/>
    </row>
    <row r="114" ht="15.75" customHeight="1">
      <c r="D114" s="33"/>
    </row>
    <row r="115" ht="15.75" customHeight="1">
      <c r="D115" s="33"/>
    </row>
    <row r="116" ht="15.75" customHeight="1">
      <c r="D116" s="33"/>
    </row>
    <row r="117" ht="15.75" customHeight="1">
      <c r="D117" s="33"/>
    </row>
    <row r="118" ht="15.75" customHeight="1">
      <c r="D118" s="33"/>
    </row>
    <row r="119" ht="15.75" customHeight="1">
      <c r="D119" s="33"/>
    </row>
    <row r="120" ht="15.75" customHeight="1">
      <c r="D120" s="33"/>
    </row>
    <row r="121" ht="15.75" customHeight="1">
      <c r="D121" s="33"/>
    </row>
    <row r="122" ht="15.75" customHeight="1">
      <c r="D122" s="33"/>
    </row>
    <row r="123" ht="15.75" customHeight="1">
      <c r="D123" s="33"/>
    </row>
    <row r="124" ht="15.75" customHeight="1">
      <c r="D124" s="33"/>
    </row>
    <row r="125" ht="15.75" customHeight="1">
      <c r="D125" s="33"/>
    </row>
    <row r="126" ht="15.75" customHeight="1">
      <c r="D126" s="33"/>
    </row>
    <row r="127" ht="15.75" customHeight="1">
      <c r="D127" s="33"/>
    </row>
    <row r="128" ht="15.75" customHeight="1">
      <c r="D128" s="33"/>
    </row>
    <row r="129" ht="15.75" customHeight="1">
      <c r="D129" s="33"/>
    </row>
    <row r="130" ht="15.75" customHeight="1">
      <c r="D130" s="33"/>
    </row>
    <row r="131" ht="15.75" customHeight="1">
      <c r="D131" s="33"/>
    </row>
    <row r="132" ht="15.75" customHeight="1">
      <c r="D132" s="33"/>
    </row>
    <row r="133" ht="15.75" customHeight="1">
      <c r="D133" s="33"/>
    </row>
    <row r="134" ht="15.75" customHeight="1">
      <c r="D134" s="33"/>
    </row>
    <row r="135" ht="15.75" customHeight="1">
      <c r="D135" s="33"/>
    </row>
    <row r="136" ht="15.75" customHeight="1">
      <c r="D136" s="33"/>
    </row>
    <row r="137" ht="15.75" customHeight="1">
      <c r="D137" s="33"/>
    </row>
    <row r="138" ht="15.75" customHeight="1">
      <c r="D138" s="33"/>
    </row>
    <row r="139" ht="15.75" customHeight="1">
      <c r="D139" s="33"/>
    </row>
    <row r="140" ht="15.75" customHeight="1">
      <c r="D140" s="33"/>
    </row>
    <row r="141" ht="15.75" customHeight="1">
      <c r="D141" s="33"/>
    </row>
    <row r="142" ht="15.75" customHeight="1">
      <c r="D142" s="33"/>
    </row>
    <row r="143" ht="15.75" customHeight="1">
      <c r="D143" s="33"/>
    </row>
    <row r="144" ht="15.75" customHeight="1">
      <c r="D144" s="33"/>
    </row>
    <row r="145" ht="15.75" customHeight="1">
      <c r="D145" s="33"/>
    </row>
    <row r="146" ht="15.75" customHeight="1">
      <c r="D146" s="33"/>
    </row>
    <row r="147" ht="15.75" customHeight="1">
      <c r="D147" s="33"/>
    </row>
    <row r="148" ht="15.75" customHeight="1">
      <c r="D148" s="33"/>
    </row>
    <row r="149" ht="15.75" customHeight="1">
      <c r="D149" s="33"/>
    </row>
    <row r="150" ht="15.75" customHeight="1">
      <c r="D150" s="33"/>
    </row>
    <row r="151" ht="15.75" customHeight="1">
      <c r="D151" s="33"/>
    </row>
    <row r="152" ht="15.75" customHeight="1">
      <c r="D152" s="33"/>
    </row>
    <row r="153" ht="15.75" customHeight="1">
      <c r="D153" s="33"/>
    </row>
    <row r="154" ht="15.75" customHeight="1">
      <c r="D154" s="33"/>
    </row>
    <row r="155" ht="15.75" customHeight="1">
      <c r="D155" s="33"/>
    </row>
    <row r="156" ht="15.75" customHeight="1">
      <c r="D156" s="33"/>
    </row>
    <row r="157" ht="15.75" customHeight="1">
      <c r="D157" s="33"/>
    </row>
    <row r="158" ht="15.75" customHeight="1">
      <c r="D158" s="33"/>
    </row>
    <row r="159" ht="15.75" customHeight="1">
      <c r="D159" s="33"/>
    </row>
    <row r="160" ht="15.75" customHeight="1">
      <c r="D160" s="33"/>
    </row>
    <row r="161" ht="15.75" customHeight="1">
      <c r="D161" s="33"/>
    </row>
    <row r="162" ht="15.75" customHeight="1">
      <c r="D162" s="33"/>
    </row>
    <row r="163" ht="15.75" customHeight="1">
      <c r="D163" s="33"/>
    </row>
    <row r="164" ht="15.75" customHeight="1">
      <c r="D164" s="33"/>
    </row>
    <row r="165" ht="15.75" customHeight="1">
      <c r="D165" s="33"/>
    </row>
    <row r="166" ht="15.75" customHeight="1">
      <c r="D166" s="33"/>
    </row>
    <row r="167" ht="15.75" customHeight="1">
      <c r="D167" s="33"/>
    </row>
    <row r="168" ht="15.75" customHeight="1">
      <c r="D168" s="33"/>
    </row>
    <row r="169" ht="15.75" customHeight="1">
      <c r="D169" s="33"/>
    </row>
    <row r="170" ht="15.75" customHeight="1">
      <c r="D170" s="33"/>
    </row>
    <row r="171" ht="15.75" customHeight="1">
      <c r="D171" s="33"/>
    </row>
    <row r="172" ht="15.75" customHeight="1">
      <c r="D172" s="33"/>
    </row>
    <row r="173" ht="15.75" customHeight="1">
      <c r="D173" s="33"/>
    </row>
    <row r="174" ht="15.75" customHeight="1">
      <c r="D174" s="33"/>
    </row>
    <row r="175" ht="15.75" customHeight="1">
      <c r="D175" s="33"/>
    </row>
    <row r="176" ht="15.75" customHeight="1">
      <c r="D176" s="33"/>
    </row>
    <row r="177" ht="15.75" customHeight="1">
      <c r="D177" s="33"/>
    </row>
    <row r="178" ht="15.75" customHeight="1">
      <c r="D178" s="33"/>
    </row>
    <row r="179" ht="15.75" customHeight="1">
      <c r="D179" s="33"/>
    </row>
    <row r="180" ht="15.75" customHeight="1">
      <c r="D180" s="33"/>
    </row>
    <row r="181" ht="15.75" customHeight="1">
      <c r="D181" s="33"/>
    </row>
    <row r="182" ht="15.75" customHeight="1">
      <c r="D182" s="33"/>
    </row>
    <row r="183" ht="15.75" customHeight="1">
      <c r="D183" s="33"/>
    </row>
    <row r="184" ht="15.75" customHeight="1">
      <c r="D184" s="33"/>
    </row>
    <row r="185" ht="15.75" customHeight="1">
      <c r="D185" s="33"/>
    </row>
    <row r="186" ht="15.75" customHeight="1">
      <c r="D186" s="33"/>
    </row>
    <row r="187" ht="15.75" customHeight="1">
      <c r="D187" s="33"/>
    </row>
    <row r="188" ht="15.75" customHeight="1">
      <c r="D188" s="33"/>
    </row>
    <row r="189" ht="15.75" customHeight="1">
      <c r="D189" s="33"/>
    </row>
    <row r="190" ht="15.75" customHeight="1">
      <c r="D190" s="33"/>
    </row>
    <row r="191" ht="15.75" customHeight="1">
      <c r="D191" s="33"/>
    </row>
    <row r="192" ht="15.75" customHeight="1">
      <c r="D192" s="33"/>
    </row>
    <row r="193" ht="15.75" customHeight="1">
      <c r="D193" s="33"/>
    </row>
    <row r="194" ht="15.75" customHeight="1">
      <c r="D194" s="33"/>
    </row>
    <row r="195" ht="15.75" customHeight="1">
      <c r="D195" s="33"/>
    </row>
    <row r="196" ht="15.75" customHeight="1">
      <c r="D196" s="33"/>
    </row>
    <row r="197" ht="15.75" customHeight="1">
      <c r="D197" s="33"/>
    </row>
    <row r="198" ht="15.75" customHeight="1">
      <c r="D198" s="33"/>
    </row>
    <row r="199" ht="15.75" customHeight="1">
      <c r="D199" s="33"/>
    </row>
    <row r="200" ht="15.75" customHeight="1">
      <c r="D200" s="33"/>
    </row>
    <row r="201" ht="15.75" customHeight="1">
      <c r="D201" s="33"/>
    </row>
    <row r="202" ht="15.75" customHeight="1">
      <c r="D202" s="33"/>
    </row>
    <row r="203" ht="15.75" customHeight="1">
      <c r="D203" s="33"/>
    </row>
    <row r="204" ht="15.75" customHeight="1">
      <c r="D204" s="33"/>
    </row>
    <row r="205" ht="15.75" customHeight="1">
      <c r="D205" s="33"/>
    </row>
    <row r="206" ht="15.75" customHeight="1">
      <c r="D206" s="33"/>
    </row>
    <row r="207" ht="15.75" customHeight="1">
      <c r="D207" s="33"/>
    </row>
    <row r="208" ht="15.75" customHeight="1">
      <c r="D208" s="33"/>
    </row>
    <row r="209" ht="15.75" customHeight="1">
      <c r="D209" s="33"/>
    </row>
    <row r="210" ht="15.75" customHeight="1">
      <c r="D210" s="33"/>
    </row>
    <row r="211" ht="15.75" customHeight="1">
      <c r="D211" s="33"/>
    </row>
    <row r="212" ht="15.75" customHeight="1">
      <c r="D212" s="33"/>
    </row>
    <row r="213" ht="15.75" customHeight="1">
      <c r="D213" s="33"/>
    </row>
    <row r="214" ht="15.75" customHeight="1">
      <c r="D214" s="33"/>
    </row>
    <row r="215" ht="15.75" customHeight="1">
      <c r="D215" s="33"/>
    </row>
    <row r="216" ht="15.75" customHeight="1">
      <c r="D216" s="33"/>
    </row>
    <row r="217" ht="15.75" customHeight="1">
      <c r="D217" s="33"/>
    </row>
    <row r="218" ht="15.75" customHeight="1">
      <c r="D218" s="33"/>
    </row>
    <row r="219" ht="15.75" customHeight="1">
      <c r="D219" s="33"/>
    </row>
    <row r="220" ht="15.75" customHeight="1">
      <c r="D220" s="33"/>
    </row>
    <row r="221" ht="15.75" customHeight="1">
      <c r="D221" s="33"/>
    </row>
    <row r="222" ht="15.75" customHeight="1">
      <c r="D222" s="33"/>
    </row>
    <row r="223" ht="15.75" customHeight="1">
      <c r="D223" s="33"/>
    </row>
    <row r="224" ht="15.75" customHeight="1">
      <c r="D224" s="33"/>
    </row>
    <row r="225" ht="15.75" customHeight="1">
      <c r="D225" s="33"/>
    </row>
    <row r="226" ht="15.75" customHeight="1">
      <c r="D226" s="33"/>
    </row>
    <row r="227" ht="15.75" customHeight="1">
      <c r="D227" s="33"/>
    </row>
    <row r="228" ht="15.75" customHeight="1">
      <c r="D228" s="33"/>
    </row>
    <row r="229" ht="15.75" customHeight="1">
      <c r="D229" s="33"/>
    </row>
    <row r="230" ht="15.75" customHeight="1">
      <c r="D230" s="33"/>
    </row>
    <row r="231" ht="15.75" customHeight="1">
      <c r="D231" s="33"/>
    </row>
    <row r="232" ht="15.75" customHeight="1">
      <c r="D232" s="33"/>
    </row>
    <row r="233" ht="15.75" customHeight="1">
      <c r="D233" s="33"/>
    </row>
    <row r="234" ht="15.75" customHeight="1">
      <c r="D234" s="33"/>
    </row>
    <row r="235" ht="15.75" customHeight="1">
      <c r="D235" s="33"/>
    </row>
    <row r="236" ht="15.75" customHeight="1">
      <c r="D236" s="33"/>
    </row>
    <row r="237" ht="15.75" customHeight="1">
      <c r="D237" s="33"/>
    </row>
    <row r="238" ht="15.75" customHeight="1">
      <c r="D238" s="33"/>
    </row>
    <row r="239" ht="15.75" customHeight="1">
      <c r="D239" s="33"/>
    </row>
    <row r="240" ht="15.75" customHeight="1">
      <c r="D240" s="33"/>
    </row>
    <row r="241" ht="15.75" customHeight="1">
      <c r="D241" s="33"/>
    </row>
    <row r="242" ht="15.75" customHeight="1">
      <c r="D242" s="33"/>
    </row>
    <row r="243" ht="15.75" customHeight="1">
      <c r="D243" s="33"/>
    </row>
    <row r="244" ht="15.75" customHeight="1">
      <c r="D244" s="33"/>
    </row>
    <row r="245" ht="15.75" customHeight="1">
      <c r="D245" s="33"/>
    </row>
    <row r="246" ht="15.75" customHeight="1">
      <c r="D246" s="33"/>
    </row>
    <row r="247" ht="15.75" customHeight="1">
      <c r="D247" s="33"/>
    </row>
    <row r="248" ht="15.75" customHeight="1">
      <c r="D248" s="33"/>
    </row>
    <row r="249" ht="15.75" customHeight="1">
      <c r="D249" s="33"/>
    </row>
    <row r="250" ht="15.75" customHeight="1">
      <c r="D250" s="33"/>
    </row>
    <row r="251" ht="15.75" customHeight="1">
      <c r="D251" s="33"/>
    </row>
    <row r="252" ht="15.75" customHeight="1">
      <c r="D252" s="33"/>
    </row>
    <row r="253" ht="15.75" customHeight="1">
      <c r="D253" s="33"/>
    </row>
    <row r="254" ht="15.75" customHeight="1">
      <c r="D254" s="33"/>
    </row>
    <row r="255" ht="15.75" customHeight="1">
      <c r="D255" s="33"/>
    </row>
    <row r="256" ht="15.75" customHeight="1">
      <c r="D256" s="33"/>
    </row>
    <row r="257" ht="15.75" customHeight="1">
      <c r="D257" s="33"/>
    </row>
    <row r="258" ht="15.75" customHeight="1">
      <c r="D258" s="33"/>
    </row>
    <row r="259" ht="15.75" customHeight="1">
      <c r="D259" s="33"/>
    </row>
    <row r="260" ht="15.75" customHeight="1">
      <c r="D260" s="33"/>
    </row>
    <row r="261" ht="15.75" customHeight="1">
      <c r="D261" s="33"/>
    </row>
    <row r="262" ht="15.75" customHeight="1">
      <c r="D262" s="33"/>
    </row>
    <row r="263" ht="15.75" customHeight="1">
      <c r="D263" s="33"/>
    </row>
    <row r="264" ht="15.75" customHeight="1">
      <c r="D264" s="33"/>
    </row>
    <row r="265" ht="15.75" customHeight="1">
      <c r="D265" s="33"/>
    </row>
    <row r="266" ht="15.75" customHeight="1">
      <c r="D266" s="33"/>
    </row>
    <row r="267" ht="15.75" customHeight="1">
      <c r="D267" s="33"/>
    </row>
    <row r="268" ht="15.75" customHeight="1">
      <c r="D268" s="33"/>
    </row>
    <row r="269" ht="15.75" customHeight="1">
      <c r="D269" s="33"/>
    </row>
    <row r="270" ht="15.75" customHeight="1">
      <c r="D270" s="33"/>
    </row>
    <row r="271" ht="15.75" customHeight="1">
      <c r="D271" s="33"/>
    </row>
    <row r="272" ht="15.75" customHeight="1">
      <c r="D272" s="33"/>
    </row>
    <row r="273" ht="15.75" customHeight="1">
      <c r="D273" s="33"/>
    </row>
    <row r="274" ht="15.75" customHeight="1">
      <c r="D274" s="33"/>
    </row>
    <row r="275" ht="15.75" customHeight="1">
      <c r="D275" s="33"/>
    </row>
    <row r="276" ht="15.75" customHeight="1">
      <c r="D276" s="33"/>
    </row>
    <row r="277" ht="15.75" customHeight="1">
      <c r="D277" s="33"/>
    </row>
    <row r="278" ht="15.75" customHeight="1">
      <c r="D278" s="33"/>
    </row>
    <row r="279" ht="15.75" customHeight="1">
      <c r="D279" s="33"/>
    </row>
    <row r="280" ht="15.75" customHeight="1">
      <c r="D280" s="33"/>
    </row>
    <row r="281" ht="15.75" customHeight="1">
      <c r="D281" s="33"/>
    </row>
    <row r="282" ht="15.75" customHeight="1">
      <c r="D282" s="33"/>
    </row>
    <row r="283" ht="15.75" customHeight="1">
      <c r="D283" s="33"/>
    </row>
    <row r="284" ht="15.75" customHeight="1">
      <c r="D284" s="33"/>
    </row>
    <row r="285" ht="15.75" customHeight="1">
      <c r="D285" s="33"/>
    </row>
    <row r="286" ht="15.75" customHeight="1">
      <c r="D286" s="33"/>
    </row>
    <row r="287" ht="15.75" customHeight="1">
      <c r="D287" s="33"/>
    </row>
    <row r="288" ht="15.75" customHeight="1">
      <c r="D288" s="33"/>
    </row>
    <row r="289" ht="15.75" customHeight="1">
      <c r="D289" s="33"/>
    </row>
    <row r="290" ht="15.75" customHeight="1">
      <c r="D290" s="33"/>
    </row>
    <row r="291" ht="15.75" customHeight="1">
      <c r="D291" s="33"/>
    </row>
    <row r="292" ht="15.75" customHeight="1">
      <c r="D292" s="33"/>
    </row>
    <row r="293" ht="15.75" customHeight="1">
      <c r="D293" s="33"/>
    </row>
    <row r="294" ht="15.75" customHeight="1">
      <c r="D294" s="33"/>
    </row>
    <row r="295" ht="15.75" customHeight="1">
      <c r="D295" s="33"/>
    </row>
    <row r="296" ht="15.75" customHeight="1">
      <c r="D296" s="33"/>
    </row>
    <row r="297" ht="15.75" customHeight="1">
      <c r="D297" s="33"/>
    </row>
    <row r="298" ht="15.75" customHeight="1">
      <c r="D298" s="33"/>
    </row>
    <row r="299" ht="15.75" customHeight="1">
      <c r="D299" s="33"/>
    </row>
    <row r="300" ht="15.75" customHeight="1">
      <c r="D300" s="33"/>
    </row>
    <row r="301" ht="15.75" customHeight="1">
      <c r="D301" s="33"/>
    </row>
    <row r="302" ht="15.75" customHeight="1">
      <c r="D302" s="33"/>
    </row>
    <row r="303" ht="15.75" customHeight="1">
      <c r="D303" s="33"/>
    </row>
    <row r="304" ht="15.75" customHeight="1">
      <c r="D304" s="33"/>
    </row>
    <row r="305" ht="15.75" customHeight="1">
      <c r="D305" s="33"/>
    </row>
    <row r="306" ht="15.75" customHeight="1">
      <c r="D306" s="33"/>
    </row>
    <row r="307" ht="15.75" customHeight="1">
      <c r="D307" s="33"/>
    </row>
    <row r="308" ht="15.75" customHeight="1">
      <c r="D308" s="33"/>
    </row>
    <row r="309" ht="15.75" customHeight="1">
      <c r="D309" s="33"/>
    </row>
    <row r="310" ht="15.75" customHeight="1">
      <c r="D310" s="33"/>
    </row>
    <row r="311" ht="15.75" customHeight="1">
      <c r="D311" s="33"/>
    </row>
    <row r="312" ht="15.75" customHeight="1">
      <c r="D312" s="33"/>
    </row>
    <row r="313" ht="15.75" customHeight="1">
      <c r="D313" s="33"/>
    </row>
    <row r="314" ht="15.75" customHeight="1">
      <c r="D314" s="33"/>
    </row>
    <row r="315" ht="15.75" customHeight="1">
      <c r="D315" s="33"/>
    </row>
    <row r="316" ht="15.75" customHeight="1">
      <c r="D316" s="33"/>
    </row>
    <row r="317" ht="15.75" customHeight="1">
      <c r="D317" s="33"/>
    </row>
    <row r="318" ht="15.75" customHeight="1">
      <c r="D318" s="33"/>
    </row>
    <row r="319" ht="15.75" customHeight="1">
      <c r="D319" s="33"/>
    </row>
    <row r="320" ht="15.75" customHeight="1">
      <c r="D320" s="33"/>
    </row>
    <row r="321" ht="15.75" customHeight="1">
      <c r="D321" s="33"/>
    </row>
    <row r="322" ht="15.75" customHeight="1">
      <c r="D322" s="33"/>
    </row>
    <row r="323" ht="15.75" customHeight="1">
      <c r="D323" s="33"/>
    </row>
    <row r="324" ht="15.75" customHeight="1">
      <c r="D324" s="33"/>
    </row>
    <row r="325" ht="15.75" customHeight="1">
      <c r="D325" s="33"/>
    </row>
    <row r="326" ht="15.75" customHeight="1">
      <c r="D326" s="33"/>
    </row>
    <row r="327" ht="15.75" customHeight="1">
      <c r="D327" s="33"/>
    </row>
    <row r="328" ht="15.75" customHeight="1">
      <c r="D328" s="33"/>
    </row>
    <row r="329" ht="15.75" customHeight="1">
      <c r="D329" s="33"/>
    </row>
    <row r="330" ht="15.75" customHeight="1">
      <c r="D330" s="33"/>
    </row>
    <row r="331" ht="15.75" customHeight="1">
      <c r="D331" s="33"/>
    </row>
    <row r="332" ht="15.75" customHeight="1">
      <c r="D332" s="33"/>
    </row>
    <row r="333" ht="15.75" customHeight="1">
      <c r="D333" s="33"/>
    </row>
    <row r="334" ht="15.75" customHeight="1">
      <c r="D334" s="33"/>
    </row>
    <row r="335" ht="15.75" customHeight="1">
      <c r="D335" s="33"/>
    </row>
    <row r="336" ht="15.75" customHeight="1">
      <c r="D336" s="33"/>
    </row>
    <row r="337" ht="15.75" customHeight="1">
      <c r="D337" s="33"/>
    </row>
    <row r="338" ht="15.75" customHeight="1">
      <c r="D338" s="33"/>
    </row>
    <row r="339" ht="15.75" customHeight="1">
      <c r="D339" s="33"/>
    </row>
    <row r="340" ht="15.75" customHeight="1">
      <c r="D340" s="33"/>
    </row>
    <row r="341" ht="15.75" customHeight="1">
      <c r="D341" s="33"/>
    </row>
    <row r="342" ht="15.75" customHeight="1">
      <c r="D342" s="33"/>
    </row>
    <row r="343" ht="15.75" customHeight="1">
      <c r="D343" s="33"/>
    </row>
    <row r="344" ht="15.75" customHeight="1">
      <c r="D344" s="33"/>
    </row>
    <row r="345" ht="15.75" customHeight="1">
      <c r="D345" s="33"/>
    </row>
    <row r="346" ht="15.75" customHeight="1">
      <c r="D346" s="33"/>
    </row>
    <row r="347" ht="15.75" customHeight="1">
      <c r="D347" s="33"/>
    </row>
    <row r="348" ht="15.75" customHeight="1">
      <c r="D348" s="33"/>
    </row>
    <row r="349" ht="15.75" customHeight="1">
      <c r="D349" s="33"/>
    </row>
    <row r="350" ht="15.75" customHeight="1">
      <c r="D350" s="33"/>
    </row>
    <row r="351" ht="15.75" customHeight="1">
      <c r="D351" s="33"/>
    </row>
    <row r="352" ht="15.75" customHeight="1">
      <c r="D352" s="33"/>
    </row>
    <row r="353" ht="15.75" customHeight="1">
      <c r="D353" s="33"/>
    </row>
    <row r="354" ht="15.75" customHeight="1">
      <c r="D354" s="33"/>
    </row>
    <row r="355" ht="15.75" customHeight="1">
      <c r="D355" s="33"/>
    </row>
    <row r="356" ht="15.75" customHeight="1">
      <c r="D356" s="33"/>
    </row>
    <row r="357" ht="15.75" customHeight="1">
      <c r="D357" s="33"/>
    </row>
    <row r="358" ht="15.75" customHeight="1">
      <c r="D358" s="33"/>
    </row>
    <row r="359" ht="15.75" customHeight="1">
      <c r="D359" s="33"/>
    </row>
    <row r="360" ht="15.75" customHeight="1">
      <c r="D360" s="33"/>
    </row>
    <row r="361" ht="15.75" customHeight="1">
      <c r="D361" s="33"/>
    </row>
    <row r="362" ht="15.75" customHeight="1">
      <c r="D362" s="33"/>
    </row>
    <row r="363" ht="15.75" customHeight="1">
      <c r="D363" s="33"/>
    </row>
    <row r="364" ht="15.75" customHeight="1">
      <c r="D364" s="33"/>
    </row>
    <row r="365" ht="15.75" customHeight="1">
      <c r="D365" s="33"/>
    </row>
    <row r="366" ht="15.75" customHeight="1">
      <c r="D366" s="33"/>
    </row>
    <row r="367" ht="15.75" customHeight="1">
      <c r="D367" s="33"/>
    </row>
    <row r="368" ht="15.75" customHeight="1">
      <c r="D368" s="33"/>
    </row>
    <row r="369" ht="15.75" customHeight="1">
      <c r="D369" s="33"/>
    </row>
    <row r="370" ht="15.75" customHeight="1">
      <c r="D370" s="33"/>
    </row>
    <row r="371" ht="15.75" customHeight="1">
      <c r="D371" s="33"/>
    </row>
    <row r="372" ht="15.75" customHeight="1">
      <c r="D372" s="33"/>
    </row>
    <row r="373" ht="15.75" customHeight="1">
      <c r="D373" s="33"/>
    </row>
    <row r="374" ht="15.75" customHeight="1">
      <c r="D374" s="33"/>
    </row>
    <row r="375" ht="15.75" customHeight="1">
      <c r="D375" s="33"/>
    </row>
    <row r="376" ht="15.75" customHeight="1">
      <c r="D376" s="33"/>
    </row>
    <row r="377" ht="15.75" customHeight="1">
      <c r="D377" s="33"/>
    </row>
    <row r="378" ht="15.75" customHeight="1">
      <c r="D378" s="33"/>
    </row>
    <row r="379" ht="15.75" customHeight="1">
      <c r="D379" s="33"/>
    </row>
    <row r="380" ht="15.75" customHeight="1">
      <c r="D380" s="33"/>
    </row>
    <row r="381" ht="15.75" customHeight="1">
      <c r="D381" s="33"/>
    </row>
    <row r="382" ht="15.75" customHeight="1">
      <c r="D382" s="33"/>
    </row>
    <row r="383" ht="15.75" customHeight="1">
      <c r="D383" s="33"/>
    </row>
    <row r="384" ht="15.75" customHeight="1">
      <c r="D384" s="33"/>
    </row>
    <row r="385" ht="15.75" customHeight="1">
      <c r="D385" s="33"/>
    </row>
    <row r="386" ht="15.75" customHeight="1">
      <c r="D386" s="33"/>
    </row>
    <row r="387" ht="15.75" customHeight="1">
      <c r="D387" s="33"/>
    </row>
    <row r="388" ht="15.75" customHeight="1">
      <c r="D388" s="33"/>
    </row>
    <row r="389" ht="15.75" customHeight="1">
      <c r="D389" s="33"/>
    </row>
    <row r="390" ht="15.75" customHeight="1">
      <c r="D390" s="33"/>
    </row>
    <row r="391" ht="15.75" customHeight="1">
      <c r="D391" s="33"/>
    </row>
    <row r="392" ht="15.75" customHeight="1">
      <c r="D392" s="33"/>
    </row>
    <row r="393" ht="15.75" customHeight="1">
      <c r="D393" s="33"/>
    </row>
    <row r="394" ht="15.75" customHeight="1">
      <c r="D394" s="33"/>
    </row>
    <row r="395" ht="15.75" customHeight="1">
      <c r="D395" s="33"/>
    </row>
    <row r="396" ht="15.75" customHeight="1">
      <c r="D396" s="33"/>
    </row>
    <row r="397" ht="15.75" customHeight="1">
      <c r="D397" s="33"/>
    </row>
    <row r="398" ht="15.75" customHeight="1">
      <c r="D398" s="33"/>
    </row>
    <row r="399" ht="15.75" customHeight="1">
      <c r="D399" s="33"/>
    </row>
    <row r="400" ht="15.75" customHeight="1">
      <c r="D400" s="33"/>
    </row>
    <row r="401" ht="15.75" customHeight="1">
      <c r="D401" s="33"/>
    </row>
    <row r="402" ht="15.75" customHeight="1">
      <c r="D402" s="33"/>
    </row>
    <row r="403" ht="15.75" customHeight="1">
      <c r="D403" s="33"/>
    </row>
    <row r="404" ht="15.75" customHeight="1">
      <c r="D404" s="33"/>
    </row>
    <row r="405" ht="15.75" customHeight="1">
      <c r="D405" s="33"/>
    </row>
    <row r="406" ht="15.75" customHeight="1">
      <c r="D406" s="33"/>
    </row>
    <row r="407" ht="15.75" customHeight="1">
      <c r="D407" s="33"/>
    </row>
    <row r="408" ht="15.75" customHeight="1">
      <c r="D408" s="33"/>
    </row>
    <row r="409" ht="15.75" customHeight="1">
      <c r="D409" s="33"/>
    </row>
    <row r="410" ht="15.75" customHeight="1">
      <c r="D410" s="33"/>
    </row>
    <row r="411" ht="15.75" customHeight="1">
      <c r="D411" s="33"/>
    </row>
    <row r="412" ht="15.75" customHeight="1">
      <c r="D412" s="33"/>
    </row>
    <row r="413" ht="15.75" customHeight="1">
      <c r="D413" s="33"/>
    </row>
    <row r="414" ht="15.75" customHeight="1">
      <c r="D414" s="33"/>
    </row>
    <row r="415" ht="15.75" customHeight="1">
      <c r="D415" s="33"/>
    </row>
    <row r="416" ht="15.75" customHeight="1">
      <c r="D416" s="33"/>
    </row>
    <row r="417" ht="15.75" customHeight="1">
      <c r="D417" s="33"/>
    </row>
    <row r="418" ht="15.75" customHeight="1">
      <c r="D418" s="33"/>
    </row>
    <row r="419" ht="15.75" customHeight="1">
      <c r="D419" s="33"/>
    </row>
    <row r="420" ht="15.75" customHeight="1">
      <c r="D420" s="33"/>
    </row>
    <row r="421" ht="15.75" customHeight="1">
      <c r="D421" s="33"/>
    </row>
    <row r="422" ht="15.75" customHeight="1">
      <c r="D422" s="33"/>
    </row>
    <row r="423" ht="15.75" customHeight="1">
      <c r="D423" s="33"/>
    </row>
    <row r="424" ht="15.75" customHeight="1">
      <c r="D424" s="33"/>
    </row>
    <row r="425" ht="15.75" customHeight="1">
      <c r="D425" s="33"/>
    </row>
    <row r="426" ht="15.75" customHeight="1">
      <c r="D426" s="33"/>
    </row>
    <row r="427" ht="15.75" customHeight="1">
      <c r="D427" s="33"/>
    </row>
    <row r="428" ht="15.75" customHeight="1">
      <c r="D428" s="33"/>
    </row>
    <row r="429" ht="15.75" customHeight="1">
      <c r="D429" s="33"/>
    </row>
    <row r="430" ht="15.75" customHeight="1">
      <c r="D430" s="33"/>
    </row>
    <row r="431" ht="15.75" customHeight="1">
      <c r="D431" s="33"/>
    </row>
    <row r="432" ht="15.75" customHeight="1">
      <c r="D432" s="33"/>
    </row>
    <row r="433" ht="15.75" customHeight="1">
      <c r="D433" s="33"/>
    </row>
    <row r="434" ht="15.75" customHeight="1">
      <c r="D434" s="33"/>
    </row>
    <row r="435" ht="15.75" customHeight="1">
      <c r="D435" s="33"/>
    </row>
    <row r="436" ht="15.75" customHeight="1">
      <c r="D436" s="33"/>
    </row>
    <row r="437" ht="15.75" customHeight="1">
      <c r="D437" s="33"/>
    </row>
    <row r="438" ht="15.75" customHeight="1">
      <c r="D438" s="33"/>
    </row>
    <row r="439" ht="15.75" customHeight="1">
      <c r="D439" s="33"/>
    </row>
    <row r="440" ht="15.75" customHeight="1">
      <c r="D440" s="33"/>
    </row>
    <row r="441" ht="15.75" customHeight="1">
      <c r="D441" s="33"/>
    </row>
    <row r="442" ht="15.75" customHeight="1">
      <c r="D442" s="33"/>
    </row>
    <row r="443" ht="15.75" customHeight="1">
      <c r="D443" s="33"/>
    </row>
    <row r="444" ht="15.75" customHeight="1">
      <c r="D444" s="33"/>
    </row>
    <row r="445" ht="15.75" customHeight="1">
      <c r="D445" s="33"/>
    </row>
    <row r="446" ht="15.75" customHeight="1">
      <c r="D446" s="33"/>
    </row>
    <row r="447" ht="15.75" customHeight="1">
      <c r="D447" s="33"/>
    </row>
    <row r="448" ht="15.75" customHeight="1">
      <c r="D448" s="33"/>
    </row>
    <row r="449" ht="15.75" customHeight="1">
      <c r="D449" s="33"/>
    </row>
    <row r="450" ht="15.75" customHeight="1">
      <c r="D450" s="33"/>
    </row>
    <row r="451" ht="15.75" customHeight="1">
      <c r="D451" s="33"/>
    </row>
    <row r="452" ht="15.75" customHeight="1">
      <c r="D452" s="33"/>
    </row>
    <row r="453" ht="15.75" customHeight="1">
      <c r="D453" s="33"/>
    </row>
    <row r="454" ht="15.75" customHeight="1">
      <c r="D454" s="33"/>
    </row>
    <row r="455" ht="15.75" customHeight="1">
      <c r="D455" s="33"/>
    </row>
    <row r="456" ht="15.75" customHeight="1">
      <c r="D456" s="33"/>
    </row>
    <row r="457" ht="15.75" customHeight="1">
      <c r="D457" s="33"/>
    </row>
    <row r="458" ht="15.75" customHeight="1">
      <c r="D458" s="33"/>
    </row>
    <row r="459" ht="15.75" customHeight="1">
      <c r="D459" s="33"/>
    </row>
    <row r="460" ht="15.75" customHeight="1">
      <c r="D460" s="33"/>
    </row>
    <row r="461" ht="15.75" customHeight="1">
      <c r="D461" s="33"/>
    </row>
    <row r="462" ht="15.75" customHeight="1">
      <c r="D462" s="33"/>
    </row>
    <row r="463" ht="15.75" customHeight="1">
      <c r="D463" s="33"/>
    </row>
    <row r="464" ht="15.75" customHeight="1">
      <c r="D464" s="33"/>
    </row>
    <row r="465" ht="15.75" customHeight="1">
      <c r="D465" s="33"/>
    </row>
    <row r="466" ht="15.75" customHeight="1">
      <c r="D466" s="33"/>
    </row>
    <row r="467" ht="15.75" customHeight="1">
      <c r="D467" s="33"/>
    </row>
    <row r="468" ht="15.75" customHeight="1">
      <c r="D468" s="33"/>
    </row>
    <row r="469" ht="15.75" customHeight="1">
      <c r="D469" s="33"/>
    </row>
    <row r="470" ht="15.75" customHeight="1">
      <c r="D470" s="33"/>
    </row>
    <row r="471" ht="15.75" customHeight="1">
      <c r="D471" s="33"/>
    </row>
    <row r="472" ht="15.75" customHeight="1">
      <c r="D472" s="33"/>
    </row>
    <row r="473" ht="15.75" customHeight="1">
      <c r="D473" s="33"/>
    </row>
    <row r="474" ht="15.75" customHeight="1">
      <c r="D474" s="33"/>
    </row>
    <row r="475" ht="15.75" customHeight="1">
      <c r="D475" s="33"/>
    </row>
    <row r="476" ht="15.75" customHeight="1">
      <c r="D476" s="33"/>
    </row>
    <row r="477" ht="15.75" customHeight="1">
      <c r="D477" s="33"/>
    </row>
    <row r="478" ht="15.75" customHeight="1">
      <c r="D478" s="33"/>
    </row>
    <row r="479" ht="15.75" customHeight="1">
      <c r="D479" s="33"/>
    </row>
    <row r="480" ht="15.75" customHeight="1">
      <c r="D480" s="33"/>
    </row>
    <row r="481" ht="15.75" customHeight="1">
      <c r="D481" s="33"/>
    </row>
    <row r="482" ht="15.75" customHeight="1">
      <c r="D482" s="33"/>
    </row>
    <row r="483" ht="15.75" customHeight="1">
      <c r="D483" s="33"/>
    </row>
    <row r="484" ht="15.75" customHeight="1">
      <c r="D484" s="33"/>
    </row>
    <row r="485" ht="15.75" customHeight="1">
      <c r="D485" s="33"/>
    </row>
    <row r="486" ht="15.75" customHeight="1">
      <c r="D486" s="33"/>
    </row>
    <row r="487" ht="15.75" customHeight="1">
      <c r="D487" s="33"/>
    </row>
    <row r="488" ht="15.75" customHeight="1">
      <c r="D488" s="33"/>
    </row>
    <row r="489" ht="15.75" customHeight="1">
      <c r="D489" s="33"/>
    </row>
    <row r="490" ht="15.75" customHeight="1">
      <c r="D490" s="33"/>
    </row>
    <row r="491" ht="15.75" customHeight="1">
      <c r="D491" s="33"/>
    </row>
    <row r="492" ht="15.75" customHeight="1">
      <c r="D492" s="33"/>
    </row>
    <row r="493" ht="15.75" customHeight="1">
      <c r="D493" s="33"/>
    </row>
    <row r="494" ht="15.75" customHeight="1">
      <c r="D494" s="33"/>
    </row>
    <row r="495" ht="15.75" customHeight="1">
      <c r="D495" s="33"/>
    </row>
    <row r="496" ht="15.75" customHeight="1">
      <c r="D496" s="33"/>
    </row>
    <row r="497" ht="15.75" customHeight="1">
      <c r="D497" s="33"/>
    </row>
    <row r="498" ht="15.75" customHeight="1">
      <c r="D498" s="33"/>
    </row>
    <row r="499" ht="15.75" customHeight="1">
      <c r="D499" s="33"/>
    </row>
    <row r="500" ht="15.75" customHeight="1">
      <c r="D500" s="3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0">
      <formula1>"Active,On Leave,Inactive"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5.29"/>
    <col customWidth="1" min="3" max="3" width="25.57"/>
    <col customWidth="1" min="4" max="4" width="18.71"/>
    <col customWidth="1" min="5" max="5" width="39.29"/>
    <col customWidth="1" min="6" max="6" width="20.29"/>
    <col customWidth="1" min="7" max="7" width="22.86"/>
    <col customWidth="1" min="8" max="8" width="6.29"/>
    <col customWidth="1" hidden="1" min="9" max="17" width="8.71"/>
    <col customWidth="1" min="18" max="26" width="8.71"/>
  </cols>
  <sheetData>
    <row r="1" ht="16.5" customHeight="1">
      <c r="A1" s="29" t="s">
        <v>97</v>
      </c>
      <c r="B1" s="29" t="s">
        <v>98</v>
      </c>
      <c r="C1" s="29" t="s">
        <v>99</v>
      </c>
      <c r="D1" s="29" t="s">
        <v>100</v>
      </c>
      <c r="E1" s="29" t="s">
        <v>101</v>
      </c>
      <c r="F1" s="29" t="s">
        <v>102</v>
      </c>
      <c r="G1" s="29" t="s">
        <v>103</v>
      </c>
      <c r="H1" s="29" t="s">
        <v>26</v>
      </c>
      <c r="I1" s="3"/>
      <c r="J1" s="3"/>
      <c r="K1" s="3"/>
      <c r="L1" s="3"/>
      <c r="M1" s="3"/>
      <c r="N1" s="3"/>
      <c r="O1" s="3"/>
      <c r="P1" s="3"/>
      <c r="Q1" s="3"/>
    </row>
    <row r="2">
      <c r="A2" s="31"/>
      <c r="B2" s="30" t="s">
        <v>104</v>
      </c>
      <c r="C2" s="30" t="s">
        <v>105</v>
      </c>
      <c r="D2" s="30" t="s">
        <v>106</v>
      </c>
      <c r="E2" s="30" t="s">
        <v>107</v>
      </c>
      <c r="F2" s="30" t="s">
        <v>108</v>
      </c>
      <c r="G2" s="30" t="s">
        <v>109</v>
      </c>
      <c r="H2" s="31"/>
    </row>
    <row r="3">
      <c r="A3" s="31"/>
      <c r="B3" s="30" t="s">
        <v>110</v>
      </c>
      <c r="C3" s="30" t="s">
        <v>105</v>
      </c>
      <c r="D3" s="30" t="s">
        <v>106</v>
      </c>
      <c r="E3" s="30" t="s">
        <v>107</v>
      </c>
      <c r="F3" s="30" t="s">
        <v>108</v>
      </c>
      <c r="G3" s="30" t="s">
        <v>111</v>
      </c>
      <c r="H3" s="31"/>
    </row>
    <row r="4">
      <c r="A4" s="31"/>
      <c r="B4" s="30" t="s">
        <v>112</v>
      </c>
      <c r="C4" s="30" t="s">
        <v>113</v>
      </c>
      <c r="D4" s="30" t="s">
        <v>114</v>
      </c>
      <c r="E4" s="30" t="s">
        <v>115</v>
      </c>
      <c r="F4" s="30" t="s">
        <v>116</v>
      </c>
      <c r="G4" s="34"/>
      <c r="H4" s="31"/>
    </row>
    <row r="5">
      <c r="A5" s="31"/>
      <c r="B5" s="30" t="s">
        <v>117</v>
      </c>
      <c r="C5" s="30" t="s">
        <v>118</v>
      </c>
      <c r="D5" s="30" t="s">
        <v>119</v>
      </c>
      <c r="E5" s="30" t="s">
        <v>120</v>
      </c>
      <c r="F5" s="30" t="s">
        <v>116</v>
      </c>
      <c r="G5" s="34"/>
      <c r="H5" s="31"/>
    </row>
    <row r="6">
      <c r="A6" s="31"/>
      <c r="B6" s="30" t="s">
        <v>121</v>
      </c>
      <c r="C6" s="30" t="s">
        <v>122</v>
      </c>
      <c r="D6" s="30" t="s">
        <v>123</v>
      </c>
      <c r="E6" s="30" t="s">
        <v>124</v>
      </c>
      <c r="F6" s="30" t="s">
        <v>116</v>
      </c>
      <c r="G6" s="34"/>
      <c r="H6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5.0"/>
    <col customWidth="1" min="3" max="3" width="9.14"/>
    <col customWidth="1" min="4" max="5" width="18.0"/>
    <col customWidth="1" min="6" max="6" width="14.71"/>
    <col customWidth="1" min="7" max="7" width="11.43"/>
    <col customWidth="1" min="8" max="8" width="17.0"/>
    <col customWidth="1" min="9" max="10" width="17.29"/>
    <col customWidth="1" min="11" max="11" width="16.0"/>
    <col customWidth="1" min="12" max="12" width="6.57"/>
    <col customWidth="1" min="13" max="13" width="17.43"/>
    <col customWidth="1" min="14" max="14" width="17.71"/>
    <col customWidth="1" min="15" max="16" width="17.0"/>
    <col customWidth="1" min="17" max="17" width="16.57"/>
    <col customWidth="1" min="18" max="26" width="8.71"/>
  </cols>
  <sheetData>
    <row r="1" ht="16.5" customHeight="1">
      <c r="A1" s="29" t="s">
        <v>125</v>
      </c>
      <c r="B1" s="29" t="s">
        <v>126</v>
      </c>
      <c r="C1" s="29" t="s">
        <v>97</v>
      </c>
      <c r="D1" s="29" t="s">
        <v>127</v>
      </c>
      <c r="E1" s="29" t="s">
        <v>128</v>
      </c>
      <c r="F1" s="29" t="s">
        <v>129</v>
      </c>
      <c r="G1" s="29" t="s">
        <v>0</v>
      </c>
      <c r="H1" s="29" t="s">
        <v>130</v>
      </c>
      <c r="I1" s="29" t="s">
        <v>131</v>
      </c>
      <c r="J1" s="29" t="s">
        <v>132</v>
      </c>
      <c r="K1" s="29" t="s">
        <v>133</v>
      </c>
      <c r="L1" s="29" t="s">
        <v>23</v>
      </c>
      <c r="M1" s="29" t="s">
        <v>134</v>
      </c>
      <c r="N1" s="3" t="s">
        <v>135</v>
      </c>
      <c r="O1" s="3" t="s">
        <v>136</v>
      </c>
      <c r="P1" s="3" t="s">
        <v>137</v>
      </c>
      <c r="Q1" s="3" t="s">
        <v>138</v>
      </c>
    </row>
    <row r="2" ht="16.5" customHeight="1">
      <c r="A2" s="31"/>
      <c r="B2" s="35"/>
      <c r="C2" s="31"/>
      <c r="D2" s="31"/>
      <c r="E2" s="31"/>
      <c r="F2" s="31"/>
      <c r="G2" s="31"/>
      <c r="H2" s="35"/>
      <c r="I2" s="36"/>
      <c r="J2" s="31"/>
      <c r="K2" s="31"/>
      <c r="L2" s="31"/>
      <c r="M2" s="37"/>
      <c r="N2" s="38" t="str">
        <f>IF(OR(F2="",G2=""),"",MAX(F2*VLOOKUP(G2,SETUP_RATES!$A:$H,3,FALSE),VLOOKUP(G2,SETUP_RATES!$A:$H,2,FALSE)))</f>
        <v/>
      </c>
      <c r="O2" s="38" t="str">
        <f>IF(OR(J2="",G2=""),"",J2*VLOOKUP(G2,SETUP_RATES!$A:$H,6,FALSE))</f>
        <v/>
      </c>
      <c r="P2" s="38" t="str">
        <f t="shared" ref="P2:P500" si="1">IF(N2="","",N2+IFERROR(O2,0))</f>
        <v/>
      </c>
      <c r="Q2" s="33" t="str">
        <f t="shared" ref="Q2:Q500" si="2">IF(B2="","",TEXT(B2,"yyyy-mm"))</f>
        <v/>
      </c>
    </row>
    <row r="3" ht="16.5" customHeight="1">
      <c r="B3" s="39"/>
      <c r="H3" s="39"/>
      <c r="I3" s="40"/>
      <c r="L3" s="33"/>
      <c r="M3" s="38"/>
      <c r="N3" s="38" t="str">
        <f>IF(OR(F3="",G3=""),"",MAX(F3*VLOOKUP(G3,SETUP_RATES!$A:$H,3,FALSE),VLOOKUP(G3,SETUP_RATES!$A:$H,2,FALSE)))</f>
        <v/>
      </c>
      <c r="O3" s="38" t="str">
        <f>IF(OR(J3="",G3=""),"",J3*VLOOKUP(G3,SETUP_RATES!$A:$H,6,FALSE))</f>
        <v/>
      </c>
      <c r="P3" s="38" t="str">
        <f t="shared" si="1"/>
        <v/>
      </c>
      <c r="Q3" s="33" t="str">
        <f t="shared" si="2"/>
        <v/>
      </c>
    </row>
    <row r="4" ht="16.5" customHeight="1">
      <c r="B4" s="39"/>
      <c r="H4" s="39"/>
      <c r="I4" s="40"/>
      <c r="L4" s="33"/>
      <c r="M4" s="38"/>
      <c r="N4" s="38" t="str">
        <f>IF(OR(F4="",G4=""),"",MAX(F4*VLOOKUP(G4,SETUP_RATES!$A:$H,3,FALSE),VLOOKUP(G4,SETUP_RATES!$A:$H,2,FALSE)))</f>
        <v/>
      </c>
      <c r="O4" s="38" t="str">
        <f>IF(OR(J4="",G4=""),"",J4*VLOOKUP(G4,SETUP_RATES!$A:$H,6,FALSE))</f>
        <v/>
      </c>
      <c r="P4" s="38" t="str">
        <f t="shared" si="1"/>
        <v/>
      </c>
      <c r="Q4" s="33" t="str">
        <f t="shared" si="2"/>
        <v/>
      </c>
    </row>
    <row r="5" ht="16.5" customHeight="1">
      <c r="B5" s="39"/>
      <c r="H5" s="39"/>
      <c r="I5" s="40"/>
      <c r="L5" s="33"/>
      <c r="M5" s="38"/>
      <c r="N5" s="38" t="str">
        <f>IF(OR(F5="",G5=""),"",MAX(F5*VLOOKUP(G5,SETUP_RATES!$A:$H,3,FALSE),VLOOKUP(G5,SETUP_RATES!$A:$H,2,FALSE)))</f>
        <v/>
      </c>
      <c r="O5" s="38" t="str">
        <f>IF(OR(J5="",G5=""),"",J5*VLOOKUP(G5,SETUP_RATES!$A:$H,6,FALSE))</f>
        <v/>
      </c>
      <c r="P5" s="38" t="str">
        <f t="shared" si="1"/>
        <v/>
      </c>
      <c r="Q5" s="33" t="str">
        <f t="shared" si="2"/>
        <v/>
      </c>
    </row>
    <row r="6" ht="16.5" customHeight="1">
      <c r="B6" s="39"/>
      <c r="H6" s="39"/>
      <c r="I6" s="40"/>
      <c r="L6" s="33"/>
      <c r="M6" s="38"/>
      <c r="N6" s="38" t="str">
        <f>IF(OR(F6="",G6=""),"",MAX(F6*VLOOKUP(G6,SETUP_RATES!$A:$H,3,FALSE),VLOOKUP(G6,SETUP_RATES!$A:$H,2,FALSE)))</f>
        <v/>
      </c>
      <c r="O6" s="38" t="str">
        <f>IF(OR(J6="",G6=""),"",J6*VLOOKUP(G6,SETUP_RATES!$A:$H,6,FALSE))</f>
        <v/>
      </c>
      <c r="P6" s="38" t="str">
        <f t="shared" si="1"/>
        <v/>
      </c>
      <c r="Q6" s="33" t="str">
        <f t="shared" si="2"/>
        <v/>
      </c>
    </row>
    <row r="7" ht="16.5" customHeight="1">
      <c r="B7" s="39"/>
      <c r="H7" s="39"/>
      <c r="I7" s="40"/>
      <c r="L7" s="33"/>
      <c r="M7" s="38"/>
      <c r="N7" s="38" t="str">
        <f>IF(OR(F7="",G7=""),"",MAX(F7*VLOOKUP(G7,SETUP_RATES!$A:$H,3,FALSE),VLOOKUP(G7,SETUP_RATES!$A:$H,2,FALSE)))</f>
        <v/>
      </c>
      <c r="O7" s="38" t="str">
        <f>IF(OR(J7="",G7=""),"",J7*VLOOKUP(G7,SETUP_RATES!$A:$H,6,FALSE))</f>
        <v/>
      </c>
      <c r="P7" s="38" t="str">
        <f t="shared" si="1"/>
        <v/>
      </c>
      <c r="Q7" s="33" t="str">
        <f t="shared" si="2"/>
        <v/>
      </c>
    </row>
    <row r="8" ht="16.5" customHeight="1">
      <c r="B8" s="39"/>
      <c r="H8" s="39"/>
      <c r="I8" s="40"/>
      <c r="L8" s="33"/>
      <c r="M8" s="38"/>
      <c r="N8" s="38" t="str">
        <f>IF(OR(F8="",G8=""),"",MAX(F8*VLOOKUP(G8,SETUP_RATES!$A:$H,3,FALSE),VLOOKUP(G8,SETUP_RATES!$A:$H,2,FALSE)))</f>
        <v/>
      </c>
      <c r="O8" s="38" t="str">
        <f>IF(OR(J8="",G8=""),"",J8*VLOOKUP(G8,SETUP_RATES!$A:$H,6,FALSE))</f>
        <v/>
      </c>
      <c r="P8" s="38" t="str">
        <f t="shared" si="1"/>
        <v/>
      </c>
      <c r="Q8" s="33" t="str">
        <f t="shared" si="2"/>
        <v/>
      </c>
    </row>
    <row r="9" ht="16.5" customHeight="1">
      <c r="B9" s="39"/>
      <c r="H9" s="39"/>
      <c r="I9" s="40"/>
      <c r="L9" s="33"/>
      <c r="M9" s="38"/>
      <c r="N9" s="38" t="str">
        <f>IF(OR(F9="",G9=""),"",MAX(F9*VLOOKUP(G9,SETUP_RATES!$A:$H,3,FALSE),VLOOKUP(G9,SETUP_RATES!$A:$H,2,FALSE)))</f>
        <v/>
      </c>
      <c r="O9" s="38" t="str">
        <f>IF(OR(J9="",G9=""),"",J9*VLOOKUP(G9,SETUP_RATES!$A:$H,6,FALSE))</f>
        <v/>
      </c>
      <c r="P9" s="38" t="str">
        <f t="shared" si="1"/>
        <v/>
      </c>
      <c r="Q9" s="33" t="str">
        <f t="shared" si="2"/>
        <v/>
      </c>
    </row>
    <row r="10" ht="16.5" customHeight="1">
      <c r="B10" s="39"/>
      <c r="H10" s="39"/>
      <c r="I10" s="40"/>
      <c r="L10" s="33"/>
      <c r="M10" s="38"/>
      <c r="N10" s="38" t="str">
        <f>IF(OR(F10="",G10=""),"",MAX(F10*VLOOKUP(G10,SETUP_RATES!$A:$H,3,FALSE),VLOOKUP(G10,SETUP_RATES!$A:$H,2,FALSE)))</f>
        <v/>
      </c>
      <c r="O10" s="38" t="str">
        <f>IF(OR(J10="",G10=""),"",J10*VLOOKUP(G10,SETUP_RATES!$A:$H,6,FALSE))</f>
        <v/>
      </c>
      <c r="P10" s="38" t="str">
        <f t="shared" si="1"/>
        <v/>
      </c>
      <c r="Q10" s="33" t="str">
        <f t="shared" si="2"/>
        <v/>
      </c>
    </row>
    <row r="11">
      <c r="B11" s="39"/>
      <c r="H11" s="39"/>
      <c r="I11" s="40"/>
      <c r="L11" s="33"/>
      <c r="M11" s="38"/>
      <c r="N11" s="38" t="str">
        <f>IF(OR(F11="",G11=""),"",MAX(F11*VLOOKUP(G11,SETUP_RATES!$A:$H,3,FALSE),VLOOKUP(G11,SETUP_RATES!$A:$H,2,FALSE)))</f>
        <v/>
      </c>
      <c r="O11" s="38" t="str">
        <f>IF(OR(J11="",G11=""),"",J11*VLOOKUP(G11,SETUP_RATES!$A:$H,6,FALSE))</f>
        <v/>
      </c>
      <c r="P11" s="38" t="str">
        <f t="shared" si="1"/>
        <v/>
      </c>
      <c r="Q11" s="33" t="str">
        <f t="shared" si="2"/>
        <v/>
      </c>
    </row>
    <row r="12">
      <c r="B12" s="39"/>
      <c r="H12" s="39"/>
      <c r="I12" s="40"/>
      <c r="L12" s="33"/>
      <c r="M12" s="38"/>
      <c r="N12" s="38" t="str">
        <f>IF(OR(F12="",G12=""),"",MAX(F12*VLOOKUP(G12,SETUP_RATES!$A:$H,3,FALSE),VLOOKUP(G12,SETUP_RATES!$A:$H,2,FALSE)))</f>
        <v/>
      </c>
      <c r="O12" s="38" t="str">
        <f>IF(OR(J12="",G12=""),"",J12*VLOOKUP(G12,SETUP_RATES!$A:$H,6,FALSE))</f>
        <v/>
      </c>
      <c r="P12" s="38" t="str">
        <f t="shared" si="1"/>
        <v/>
      </c>
      <c r="Q12" s="33" t="str">
        <f t="shared" si="2"/>
        <v/>
      </c>
    </row>
    <row r="13">
      <c r="B13" s="39"/>
      <c r="H13" s="39"/>
      <c r="I13" s="40"/>
      <c r="L13" s="33"/>
      <c r="M13" s="38"/>
      <c r="N13" s="38" t="str">
        <f>IF(OR(F13="",G13=""),"",MAX(F13*VLOOKUP(G13,SETUP_RATES!$A:$H,3,FALSE),VLOOKUP(G13,SETUP_RATES!$A:$H,2,FALSE)))</f>
        <v/>
      </c>
      <c r="O13" s="38" t="str">
        <f>IF(OR(J13="",G13=""),"",J13*VLOOKUP(G13,SETUP_RATES!$A:$H,6,FALSE))</f>
        <v/>
      </c>
      <c r="P13" s="38" t="str">
        <f t="shared" si="1"/>
        <v/>
      </c>
      <c r="Q13" s="33" t="str">
        <f t="shared" si="2"/>
        <v/>
      </c>
    </row>
    <row r="14">
      <c r="B14" s="39"/>
      <c r="H14" s="39"/>
      <c r="I14" s="40"/>
      <c r="L14" s="33"/>
      <c r="M14" s="38"/>
      <c r="N14" s="38" t="str">
        <f>IF(OR(F14="",G14=""),"",MAX(F14*VLOOKUP(G14,SETUP_RATES!$A:$H,3,FALSE),VLOOKUP(G14,SETUP_RATES!$A:$H,2,FALSE)))</f>
        <v/>
      </c>
      <c r="O14" s="38" t="str">
        <f>IF(OR(J14="",G14=""),"",J14*VLOOKUP(G14,SETUP_RATES!$A:$H,6,FALSE))</f>
        <v/>
      </c>
      <c r="P14" s="38" t="str">
        <f t="shared" si="1"/>
        <v/>
      </c>
      <c r="Q14" s="33" t="str">
        <f t="shared" si="2"/>
        <v/>
      </c>
    </row>
    <row r="15">
      <c r="B15" s="39"/>
      <c r="H15" s="39"/>
      <c r="I15" s="40"/>
      <c r="L15" s="33"/>
      <c r="M15" s="38"/>
      <c r="N15" s="38" t="str">
        <f>IF(OR(F15="",G15=""),"",MAX(F15*VLOOKUP(G15,SETUP_RATES!$A:$H,3,FALSE),VLOOKUP(G15,SETUP_RATES!$A:$H,2,FALSE)))</f>
        <v/>
      </c>
      <c r="O15" s="38" t="str">
        <f>IF(OR(J15="",G15=""),"",J15*VLOOKUP(G15,SETUP_RATES!$A:$H,6,FALSE))</f>
        <v/>
      </c>
      <c r="P15" s="38" t="str">
        <f t="shared" si="1"/>
        <v/>
      </c>
      <c r="Q15" s="33" t="str">
        <f t="shared" si="2"/>
        <v/>
      </c>
    </row>
    <row r="16">
      <c r="B16" s="39"/>
      <c r="H16" s="39"/>
      <c r="I16" s="40"/>
      <c r="L16" s="33"/>
      <c r="M16" s="38"/>
      <c r="N16" s="38" t="str">
        <f>IF(OR(F16="",G16=""),"",MAX(F16*VLOOKUP(G16,SETUP_RATES!$A:$H,3,FALSE),VLOOKUP(G16,SETUP_RATES!$A:$H,2,FALSE)))</f>
        <v/>
      </c>
      <c r="O16" s="38" t="str">
        <f>IF(OR(J16="",G16=""),"",J16*VLOOKUP(G16,SETUP_RATES!$A:$H,6,FALSE))</f>
        <v/>
      </c>
      <c r="P16" s="38" t="str">
        <f t="shared" si="1"/>
        <v/>
      </c>
      <c r="Q16" s="33" t="str">
        <f t="shared" si="2"/>
        <v/>
      </c>
    </row>
    <row r="17">
      <c r="B17" s="39"/>
      <c r="H17" s="39"/>
      <c r="I17" s="40"/>
      <c r="L17" s="33"/>
      <c r="M17" s="38"/>
      <c r="N17" s="38" t="str">
        <f>IF(OR(F17="",G17=""),"",MAX(F17*VLOOKUP(G17,SETUP_RATES!$A:$H,3,FALSE),VLOOKUP(G17,SETUP_RATES!$A:$H,2,FALSE)))</f>
        <v/>
      </c>
      <c r="O17" s="38" t="str">
        <f>IF(OR(J17="",G17=""),"",J17*VLOOKUP(G17,SETUP_RATES!$A:$H,6,FALSE))</f>
        <v/>
      </c>
      <c r="P17" s="38" t="str">
        <f t="shared" si="1"/>
        <v/>
      </c>
      <c r="Q17" s="33" t="str">
        <f t="shared" si="2"/>
        <v/>
      </c>
    </row>
    <row r="18">
      <c r="B18" s="39"/>
      <c r="H18" s="39"/>
      <c r="I18" s="40"/>
      <c r="L18" s="33"/>
      <c r="M18" s="38"/>
      <c r="N18" s="38" t="str">
        <f>IF(OR(F18="",G18=""),"",MAX(F18*VLOOKUP(G18,SETUP_RATES!$A:$H,3,FALSE),VLOOKUP(G18,SETUP_RATES!$A:$H,2,FALSE)))</f>
        <v/>
      </c>
      <c r="O18" s="38" t="str">
        <f>IF(OR(J18="",G18=""),"",J18*VLOOKUP(G18,SETUP_RATES!$A:$H,6,FALSE))</f>
        <v/>
      </c>
      <c r="P18" s="38" t="str">
        <f t="shared" si="1"/>
        <v/>
      </c>
      <c r="Q18" s="33" t="str">
        <f t="shared" si="2"/>
        <v/>
      </c>
    </row>
    <row r="19">
      <c r="B19" s="39"/>
      <c r="H19" s="39"/>
      <c r="I19" s="40"/>
      <c r="L19" s="33"/>
      <c r="M19" s="38"/>
      <c r="N19" s="38" t="str">
        <f>IF(OR(F19="",G19=""),"",MAX(F19*VLOOKUP(G19,SETUP_RATES!$A:$H,3,FALSE),VLOOKUP(G19,SETUP_RATES!$A:$H,2,FALSE)))</f>
        <v/>
      </c>
      <c r="O19" s="38" t="str">
        <f>IF(OR(J19="",G19=""),"",J19*VLOOKUP(G19,SETUP_RATES!$A:$H,6,FALSE))</f>
        <v/>
      </c>
      <c r="P19" s="38" t="str">
        <f t="shared" si="1"/>
        <v/>
      </c>
      <c r="Q19" s="33" t="str">
        <f t="shared" si="2"/>
        <v/>
      </c>
    </row>
    <row r="20">
      <c r="B20" s="39"/>
      <c r="H20" s="39"/>
      <c r="I20" s="40"/>
      <c r="L20" s="33"/>
      <c r="M20" s="38"/>
      <c r="N20" s="38" t="str">
        <f>IF(OR(F20="",G20=""),"",MAX(F20*VLOOKUP(G20,SETUP_RATES!$A:$H,3,FALSE),VLOOKUP(G20,SETUP_RATES!$A:$H,2,FALSE)))</f>
        <v/>
      </c>
      <c r="O20" s="38" t="str">
        <f>IF(OR(J20="",G20=""),"",J20*VLOOKUP(G20,SETUP_RATES!$A:$H,6,FALSE))</f>
        <v/>
      </c>
      <c r="P20" s="38" t="str">
        <f t="shared" si="1"/>
        <v/>
      </c>
      <c r="Q20" s="33" t="str">
        <f t="shared" si="2"/>
        <v/>
      </c>
    </row>
    <row r="21" ht="15.75" customHeight="1">
      <c r="B21" s="39"/>
      <c r="H21" s="39"/>
      <c r="I21" s="40"/>
      <c r="L21" s="33"/>
      <c r="M21" s="38"/>
      <c r="N21" s="38" t="str">
        <f>IF(OR(F21="",G21=""),"",MAX(F21*VLOOKUP(G21,SETUP_RATES!$A:$H,3,FALSE),VLOOKUP(G21,SETUP_RATES!$A:$H,2,FALSE)))</f>
        <v/>
      </c>
      <c r="O21" s="38" t="str">
        <f>IF(OR(J21="",G21=""),"",J21*VLOOKUP(G21,SETUP_RATES!$A:$H,6,FALSE))</f>
        <v/>
      </c>
      <c r="P21" s="38" t="str">
        <f t="shared" si="1"/>
        <v/>
      </c>
      <c r="Q21" s="33" t="str">
        <f t="shared" si="2"/>
        <v/>
      </c>
    </row>
    <row r="22" ht="15.75" customHeight="1">
      <c r="B22" s="39"/>
      <c r="H22" s="39"/>
      <c r="I22" s="40"/>
      <c r="L22" s="33"/>
      <c r="M22" s="38"/>
      <c r="N22" s="38" t="str">
        <f>IF(OR(F22="",G22=""),"",MAX(F22*VLOOKUP(G22,SETUP_RATES!$A:$H,3,FALSE),VLOOKUP(G22,SETUP_RATES!$A:$H,2,FALSE)))</f>
        <v/>
      </c>
      <c r="O22" s="38" t="str">
        <f>IF(OR(J22="",G22=""),"",J22*VLOOKUP(G22,SETUP_RATES!$A:$H,6,FALSE))</f>
        <v/>
      </c>
      <c r="P22" s="38" t="str">
        <f t="shared" si="1"/>
        <v/>
      </c>
      <c r="Q22" s="33" t="str">
        <f t="shared" si="2"/>
        <v/>
      </c>
    </row>
    <row r="23" ht="15.75" customHeight="1">
      <c r="B23" s="39"/>
      <c r="H23" s="39"/>
      <c r="I23" s="40"/>
      <c r="L23" s="33"/>
      <c r="M23" s="38"/>
      <c r="N23" s="38" t="str">
        <f>IF(OR(F23="",G23=""),"",MAX(F23*VLOOKUP(G23,SETUP_RATES!$A:$H,3,FALSE),VLOOKUP(G23,SETUP_RATES!$A:$H,2,FALSE)))</f>
        <v/>
      </c>
      <c r="O23" s="38" t="str">
        <f>IF(OR(J23="",G23=""),"",J23*VLOOKUP(G23,SETUP_RATES!$A:$H,6,FALSE))</f>
        <v/>
      </c>
      <c r="P23" s="38" t="str">
        <f t="shared" si="1"/>
        <v/>
      </c>
      <c r="Q23" s="33" t="str">
        <f t="shared" si="2"/>
        <v/>
      </c>
    </row>
    <row r="24" ht="15.75" customHeight="1">
      <c r="B24" s="39"/>
      <c r="H24" s="39"/>
      <c r="I24" s="40"/>
      <c r="L24" s="33"/>
      <c r="M24" s="38"/>
      <c r="N24" s="38" t="str">
        <f>IF(OR(F24="",G24=""),"",MAX(F24*VLOOKUP(G24,SETUP_RATES!$A:$H,3,FALSE),VLOOKUP(G24,SETUP_RATES!$A:$H,2,FALSE)))</f>
        <v/>
      </c>
      <c r="O24" s="38" t="str">
        <f>IF(OR(J24="",G24=""),"",J24*VLOOKUP(G24,SETUP_RATES!$A:$H,6,FALSE))</f>
        <v/>
      </c>
      <c r="P24" s="38" t="str">
        <f t="shared" si="1"/>
        <v/>
      </c>
      <c r="Q24" s="33" t="str">
        <f t="shared" si="2"/>
        <v/>
      </c>
    </row>
    <row r="25" ht="15.75" customHeight="1">
      <c r="B25" s="39"/>
      <c r="H25" s="39"/>
      <c r="I25" s="40"/>
      <c r="L25" s="33"/>
      <c r="M25" s="38"/>
      <c r="N25" s="38" t="str">
        <f>IF(OR(F25="",G25=""),"",MAX(F25*VLOOKUP(G25,SETUP_RATES!$A:$H,3,FALSE),VLOOKUP(G25,SETUP_RATES!$A:$H,2,FALSE)))</f>
        <v/>
      </c>
      <c r="O25" s="38" t="str">
        <f>IF(OR(J25="",G25=""),"",J25*VLOOKUP(G25,SETUP_RATES!$A:$H,6,FALSE))</f>
        <v/>
      </c>
      <c r="P25" s="38" t="str">
        <f t="shared" si="1"/>
        <v/>
      </c>
      <c r="Q25" s="33" t="str">
        <f t="shared" si="2"/>
        <v/>
      </c>
    </row>
    <row r="26" ht="15.75" customHeight="1">
      <c r="B26" s="39"/>
      <c r="H26" s="39"/>
      <c r="I26" s="40"/>
      <c r="L26" s="33"/>
      <c r="M26" s="38"/>
      <c r="N26" s="38" t="str">
        <f>IF(OR(F26="",G26=""),"",MAX(F26*VLOOKUP(G26,SETUP_RATES!$A:$H,3,FALSE),VLOOKUP(G26,SETUP_RATES!$A:$H,2,FALSE)))</f>
        <v/>
      </c>
      <c r="O26" s="38" t="str">
        <f>IF(OR(J26="",G26=""),"",J26*VLOOKUP(G26,SETUP_RATES!$A:$H,6,FALSE))</f>
        <v/>
      </c>
      <c r="P26" s="38" t="str">
        <f t="shared" si="1"/>
        <v/>
      </c>
      <c r="Q26" s="33" t="str">
        <f t="shared" si="2"/>
        <v/>
      </c>
    </row>
    <row r="27" ht="15.75" customHeight="1">
      <c r="B27" s="39"/>
      <c r="H27" s="39"/>
      <c r="I27" s="40"/>
      <c r="L27" s="33"/>
      <c r="M27" s="38"/>
      <c r="N27" s="38" t="str">
        <f>IF(OR(F27="",G27=""),"",MAX(F27*VLOOKUP(G27,SETUP_RATES!$A:$H,3,FALSE),VLOOKUP(G27,SETUP_RATES!$A:$H,2,FALSE)))</f>
        <v/>
      </c>
      <c r="O27" s="38" t="str">
        <f>IF(OR(J27="",G27=""),"",J27*VLOOKUP(G27,SETUP_RATES!$A:$H,6,FALSE))</f>
        <v/>
      </c>
      <c r="P27" s="38" t="str">
        <f t="shared" si="1"/>
        <v/>
      </c>
      <c r="Q27" s="33" t="str">
        <f t="shared" si="2"/>
        <v/>
      </c>
    </row>
    <row r="28" ht="15.75" customHeight="1">
      <c r="B28" s="39"/>
      <c r="H28" s="39"/>
      <c r="I28" s="40"/>
      <c r="L28" s="33"/>
      <c r="M28" s="38"/>
      <c r="N28" s="38" t="str">
        <f>IF(OR(F28="",G28=""),"",MAX(F28*VLOOKUP(G28,SETUP_RATES!$A:$H,3,FALSE),VLOOKUP(G28,SETUP_RATES!$A:$H,2,FALSE)))</f>
        <v/>
      </c>
      <c r="O28" s="38" t="str">
        <f>IF(OR(J28="",G28=""),"",J28*VLOOKUP(G28,SETUP_RATES!$A:$H,6,FALSE))</f>
        <v/>
      </c>
      <c r="P28" s="38" t="str">
        <f t="shared" si="1"/>
        <v/>
      </c>
      <c r="Q28" s="33" t="str">
        <f t="shared" si="2"/>
        <v/>
      </c>
    </row>
    <row r="29" ht="15.75" customHeight="1">
      <c r="B29" s="39"/>
      <c r="H29" s="39"/>
      <c r="I29" s="40"/>
      <c r="L29" s="33"/>
      <c r="M29" s="38"/>
      <c r="N29" s="38" t="str">
        <f>IF(OR(F29="",G29=""),"",MAX(F29*VLOOKUP(G29,SETUP_RATES!$A:$H,3,FALSE),VLOOKUP(G29,SETUP_RATES!$A:$H,2,FALSE)))</f>
        <v/>
      </c>
      <c r="O29" s="38" t="str">
        <f>IF(OR(J29="",G29=""),"",J29*VLOOKUP(G29,SETUP_RATES!$A:$H,6,FALSE))</f>
        <v/>
      </c>
      <c r="P29" s="38" t="str">
        <f t="shared" si="1"/>
        <v/>
      </c>
      <c r="Q29" s="33" t="str">
        <f t="shared" si="2"/>
        <v/>
      </c>
    </row>
    <row r="30" ht="15.75" customHeight="1">
      <c r="B30" s="39"/>
      <c r="H30" s="39"/>
      <c r="I30" s="40"/>
      <c r="L30" s="33"/>
      <c r="M30" s="38"/>
      <c r="N30" s="38" t="str">
        <f>IF(OR(F30="",G30=""),"",MAX(F30*VLOOKUP(G30,SETUP_RATES!$A:$H,3,FALSE),VLOOKUP(G30,SETUP_RATES!$A:$H,2,FALSE)))</f>
        <v/>
      </c>
      <c r="O30" s="38" t="str">
        <f>IF(OR(J30="",G30=""),"",J30*VLOOKUP(G30,SETUP_RATES!$A:$H,6,FALSE))</f>
        <v/>
      </c>
      <c r="P30" s="38" t="str">
        <f t="shared" si="1"/>
        <v/>
      </c>
      <c r="Q30" s="33" t="str">
        <f t="shared" si="2"/>
        <v/>
      </c>
    </row>
    <row r="31" ht="15.75" customHeight="1">
      <c r="B31" s="39"/>
      <c r="H31" s="39"/>
      <c r="I31" s="40"/>
      <c r="L31" s="33"/>
      <c r="M31" s="38"/>
      <c r="N31" s="38" t="str">
        <f>IF(OR(F31="",G31=""),"",MAX(F31*VLOOKUP(G31,SETUP_RATES!$A:$H,3,FALSE),VLOOKUP(G31,SETUP_RATES!$A:$H,2,FALSE)))</f>
        <v/>
      </c>
      <c r="O31" s="38" t="str">
        <f>IF(OR(J31="",G31=""),"",J31*VLOOKUP(G31,SETUP_RATES!$A:$H,6,FALSE))</f>
        <v/>
      </c>
      <c r="P31" s="38" t="str">
        <f t="shared" si="1"/>
        <v/>
      </c>
      <c r="Q31" s="33" t="str">
        <f t="shared" si="2"/>
        <v/>
      </c>
    </row>
    <row r="32" ht="15.75" customHeight="1">
      <c r="B32" s="39"/>
      <c r="H32" s="39"/>
      <c r="I32" s="40"/>
      <c r="L32" s="33"/>
      <c r="M32" s="38"/>
      <c r="N32" s="38" t="str">
        <f>IF(OR(F32="",G32=""),"",MAX(F32*VLOOKUP(G32,SETUP_RATES!$A:$H,3,FALSE),VLOOKUP(G32,SETUP_RATES!$A:$H,2,FALSE)))</f>
        <v/>
      </c>
      <c r="O32" s="38" t="str">
        <f>IF(OR(J32="",G32=""),"",J32*VLOOKUP(G32,SETUP_RATES!$A:$H,6,FALSE))</f>
        <v/>
      </c>
      <c r="P32" s="38" t="str">
        <f t="shared" si="1"/>
        <v/>
      </c>
      <c r="Q32" s="33" t="str">
        <f t="shared" si="2"/>
        <v/>
      </c>
    </row>
    <row r="33" ht="15.75" customHeight="1">
      <c r="B33" s="39"/>
      <c r="H33" s="39"/>
      <c r="I33" s="40"/>
      <c r="L33" s="33"/>
      <c r="M33" s="38"/>
      <c r="N33" s="38" t="str">
        <f>IF(OR(F33="",G33=""),"",MAX(F33*VLOOKUP(G33,SETUP_RATES!$A:$H,3,FALSE),VLOOKUP(G33,SETUP_RATES!$A:$H,2,FALSE)))</f>
        <v/>
      </c>
      <c r="O33" s="38" t="str">
        <f>IF(OR(J33="",G33=""),"",J33*VLOOKUP(G33,SETUP_RATES!$A:$H,6,FALSE))</f>
        <v/>
      </c>
      <c r="P33" s="38" t="str">
        <f t="shared" si="1"/>
        <v/>
      </c>
      <c r="Q33" s="33" t="str">
        <f t="shared" si="2"/>
        <v/>
      </c>
    </row>
    <row r="34" ht="15.75" customHeight="1">
      <c r="B34" s="39"/>
      <c r="H34" s="39"/>
      <c r="I34" s="40"/>
      <c r="L34" s="33"/>
      <c r="M34" s="38"/>
      <c r="N34" s="38" t="str">
        <f>IF(OR(F34="",G34=""),"",MAX(F34*VLOOKUP(G34,SETUP_RATES!$A:$H,3,FALSE),VLOOKUP(G34,SETUP_RATES!$A:$H,2,FALSE)))</f>
        <v/>
      </c>
      <c r="O34" s="38" t="str">
        <f>IF(OR(J34="",G34=""),"",J34*VLOOKUP(G34,SETUP_RATES!$A:$H,6,FALSE))</f>
        <v/>
      </c>
      <c r="P34" s="38" t="str">
        <f t="shared" si="1"/>
        <v/>
      </c>
      <c r="Q34" s="33" t="str">
        <f t="shared" si="2"/>
        <v/>
      </c>
    </row>
    <row r="35" ht="15.75" customHeight="1">
      <c r="B35" s="39"/>
      <c r="H35" s="39"/>
      <c r="I35" s="40"/>
      <c r="L35" s="33"/>
      <c r="M35" s="38"/>
      <c r="N35" s="38" t="str">
        <f>IF(OR(F35="",G35=""),"",MAX(F35*VLOOKUP(G35,SETUP_RATES!$A:$H,3,FALSE),VLOOKUP(G35,SETUP_RATES!$A:$H,2,FALSE)))</f>
        <v/>
      </c>
      <c r="O35" s="38" t="str">
        <f>IF(OR(J35="",G35=""),"",J35*VLOOKUP(G35,SETUP_RATES!$A:$H,6,FALSE))</f>
        <v/>
      </c>
      <c r="P35" s="38" t="str">
        <f t="shared" si="1"/>
        <v/>
      </c>
      <c r="Q35" s="33" t="str">
        <f t="shared" si="2"/>
        <v/>
      </c>
    </row>
    <row r="36" ht="15.75" customHeight="1">
      <c r="B36" s="39"/>
      <c r="H36" s="39"/>
      <c r="I36" s="40"/>
      <c r="L36" s="33"/>
      <c r="M36" s="38"/>
      <c r="N36" s="38" t="str">
        <f>IF(OR(F36="",G36=""),"",MAX(F36*VLOOKUP(G36,SETUP_RATES!$A:$H,3,FALSE),VLOOKUP(G36,SETUP_RATES!$A:$H,2,FALSE)))</f>
        <v/>
      </c>
      <c r="O36" s="38" t="str">
        <f>IF(OR(J36="",G36=""),"",J36*VLOOKUP(G36,SETUP_RATES!$A:$H,6,FALSE))</f>
        <v/>
      </c>
      <c r="P36" s="38" t="str">
        <f t="shared" si="1"/>
        <v/>
      </c>
      <c r="Q36" s="33" t="str">
        <f t="shared" si="2"/>
        <v/>
      </c>
    </row>
    <row r="37" ht="15.75" customHeight="1">
      <c r="B37" s="39"/>
      <c r="H37" s="39"/>
      <c r="I37" s="40"/>
      <c r="L37" s="33"/>
      <c r="M37" s="38"/>
      <c r="N37" s="38" t="str">
        <f>IF(OR(F37="",G37=""),"",MAX(F37*VLOOKUP(G37,SETUP_RATES!$A:$H,3,FALSE),VLOOKUP(G37,SETUP_RATES!$A:$H,2,FALSE)))</f>
        <v/>
      </c>
      <c r="O37" s="38" t="str">
        <f>IF(OR(J37="",G37=""),"",J37*VLOOKUP(G37,SETUP_RATES!$A:$H,6,FALSE))</f>
        <v/>
      </c>
      <c r="P37" s="38" t="str">
        <f t="shared" si="1"/>
        <v/>
      </c>
      <c r="Q37" s="33" t="str">
        <f t="shared" si="2"/>
        <v/>
      </c>
    </row>
    <row r="38" ht="15.75" customHeight="1">
      <c r="B38" s="39"/>
      <c r="H38" s="39"/>
      <c r="I38" s="40"/>
      <c r="L38" s="33"/>
      <c r="M38" s="38"/>
      <c r="N38" s="38" t="str">
        <f>IF(OR(F38="",G38=""),"",MAX(F38*VLOOKUP(G38,SETUP_RATES!$A:$H,3,FALSE),VLOOKUP(G38,SETUP_RATES!$A:$H,2,FALSE)))</f>
        <v/>
      </c>
      <c r="O38" s="38" t="str">
        <f>IF(OR(J38="",G38=""),"",J38*VLOOKUP(G38,SETUP_RATES!$A:$H,6,FALSE))</f>
        <v/>
      </c>
      <c r="P38" s="38" t="str">
        <f t="shared" si="1"/>
        <v/>
      </c>
      <c r="Q38" s="33" t="str">
        <f t="shared" si="2"/>
        <v/>
      </c>
    </row>
    <row r="39" ht="15.75" customHeight="1">
      <c r="B39" s="39"/>
      <c r="H39" s="39"/>
      <c r="I39" s="40"/>
      <c r="L39" s="33"/>
      <c r="M39" s="38"/>
      <c r="N39" s="38" t="str">
        <f>IF(OR(F39="",G39=""),"",MAX(F39*VLOOKUP(G39,SETUP_RATES!$A:$H,3,FALSE),VLOOKUP(G39,SETUP_RATES!$A:$H,2,FALSE)))</f>
        <v/>
      </c>
      <c r="O39" s="38" t="str">
        <f>IF(OR(J39="",G39=""),"",J39*VLOOKUP(G39,SETUP_RATES!$A:$H,6,FALSE))</f>
        <v/>
      </c>
      <c r="P39" s="38" t="str">
        <f t="shared" si="1"/>
        <v/>
      </c>
      <c r="Q39" s="33" t="str">
        <f t="shared" si="2"/>
        <v/>
      </c>
    </row>
    <row r="40" ht="15.75" customHeight="1">
      <c r="B40" s="39"/>
      <c r="H40" s="39"/>
      <c r="I40" s="40"/>
      <c r="L40" s="33"/>
      <c r="M40" s="38"/>
      <c r="N40" s="38" t="str">
        <f>IF(OR(F40="",G40=""),"",MAX(F40*VLOOKUP(G40,SETUP_RATES!$A:$H,3,FALSE),VLOOKUP(G40,SETUP_RATES!$A:$H,2,FALSE)))</f>
        <v/>
      </c>
      <c r="O40" s="38" t="str">
        <f>IF(OR(J40="",G40=""),"",J40*VLOOKUP(G40,SETUP_RATES!$A:$H,6,FALSE))</f>
        <v/>
      </c>
      <c r="P40" s="38" t="str">
        <f t="shared" si="1"/>
        <v/>
      </c>
      <c r="Q40" s="33" t="str">
        <f t="shared" si="2"/>
        <v/>
      </c>
    </row>
    <row r="41" ht="15.75" customHeight="1">
      <c r="B41" s="39"/>
      <c r="H41" s="39"/>
      <c r="I41" s="40"/>
      <c r="L41" s="33"/>
      <c r="M41" s="38"/>
      <c r="N41" s="38" t="str">
        <f>IF(OR(F41="",G41=""),"",MAX(F41*VLOOKUP(G41,SETUP_RATES!$A:$H,3,FALSE),VLOOKUP(G41,SETUP_RATES!$A:$H,2,FALSE)))</f>
        <v/>
      </c>
      <c r="O41" s="38" t="str">
        <f>IF(OR(J41="",G41=""),"",J41*VLOOKUP(G41,SETUP_RATES!$A:$H,6,FALSE))</f>
        <v/>
      </c>
      <c r="P41" s="38" t="str">
        <f t="shared" si="1"/>
        <v/>
      </c>
      <c r="Q41" s="33" t="str">
        <f t="shared" si="2"/>
        <v/>
      </c>
    </row>
    <row r="42" ht="15.75" customHeight="1">
      <c r="B42" s="39"/>
      <c r="H42" s="39"/>
      <c r="I42" s="40"/>
      <c r="L42" s="33"/>
      <c r="M42" s="38"/>
      <c r="N42" s="38" t="str">
        <f>IF(OR(F42="",G42=""),"",MAX(F42*VLOOKUP(G42,SETUP_RATES!$A:$H,3,FALSE),VLOOKUP(G42,SETUP_RATES!$A:$H,2,FALSE)))</f>
        <v/>
      </c>
      <c r="O42" s="38" t="str">
        <f>IF(OR(J42="",G42=""),"",J42*VLOOKUP(G42,SETUP_RATES!$A:$H,6,FALSE))</f>
        <v/>
      </c>
      <c r="P42" s="38" t="str">
        <f t="shared" si="1"/>
        <v/>
      </c>
      <c r="Q42" s="33" t="str">
        <f t="shared" si="2"/>
        <v/>
      </c>
    </row>
    <row r="43" ht="15.75" customHeight="1">
      <c r="B43" s="39"/>
      <c r="H43" s="39"/>
      <c r="I43" s="40"/>
      <c r="L43" s="33"/>
      <c r="M43" s="38"/>
      <c r="N43" s="38" t="str">
        <f>IF(OR(F43="",G43=""),"",MAX(F43*VLOOKUP(G43,SETUP_RATES!$A:$H,3,FALSE),VLOOKUP(G43,SETUP_RATES!$A:$H,2,FALSE)))</f>
        <v/>
      </c>
      <c r="O43" s="38" t="str">
        <f>IF(OR(J43="",G43=""),"",J43*VLOOKUP(G43,SETUP_RATES!$A:$H,6,FALSE))</f>
        <v/>
      </c>
      <c r="P43" s="38" t="str">
        <f t="shared" si="1"/>
        <v/>
      </c>
      <c r="Q43" s="33" t="str">
        <f t="shared" si="2"/>
        <v/>
      </c>
    </row>
    <row r="44" ht="15.75" customHeight="1">
      <c r="B44" s="39"/>
      <c r="H44" s="39"/>
      <c r="I44" s="40"/>
      <c r="L44" s="33"/>
      <c r="M44" s="38"/>
      <c r="N44" s="38" t="str">
        <f>IF(OR(F44="",G44=""),"",MAX(F44*VLOOKUP(G44,SETUP_RATES!$A:$H,3,FALSE),VLOOKUP(G44,SETUP_RATES!$A:$H,2,FALSE)))</f>
        <v/>
      </c>
      <c r="O44" s="38" t="str">
        <f>IF(OR(J44="",G44=""),"",J44*VLOOKUP(G44,SETUP_RATES!$A:$H,6,FALSE))</f>
        <v/>
      </c>
      <c r="P44" s="38" t="str">
        <f t="shared" si="1"/>
        <v/>
      </c>
      <c r="Q44" s="33" t="str">
        <f t="shared" si="2"/>
        <v/>
      </c>
    </row>
    <row r="45" ht="15.75" customHeight="1">
      <c r="B45" s="39"/>
      <c r="H45" s="39"/>
      <c r="I45" s="40"/>
      <c r="L45" s="33"/>
      <c r="M45" s="38"/>
      <c r="N45" s="38" t="str">
        <f>IF(OR(F45="",G45=""),"",MAX(F45*VLOOKUP(G45,SETUP_RATES!$A:$H,3,FALSE),VLOOKUP(G45,SETUP_RATES!$A:$H,2,FALSE)))</f>
        <v/>
      </c>
      <c r="O45" s="38" t="str">
        <f>IF(OR(J45="",G45=""),"",J45*VLOOKUP(G45,SETUP_RATES!$A:$H,6,FALSE))</f>
        <v/>
      </c>
      <c r="P45" s="38" t="str">
        <f t="shared" si="1"/>
        <v/>
      </c>
      <c r="Q45" s="33" t="str">
        <f t="shared" si="2"/>
        <v/>
      </c>
    </row>
    <row r="46" ht="15.75" customHeight="1">
      <c r="B46" s="39"/>
      <c r="H46" s="39"/>
      <c r="I46" s="40"/>
      <c r="L46" s="33"/>
      <c r="M46" s="38"/>
      <c r="N46" s="38" t="str">
        <f>IF(OR(F46="",G46=""),"",MAX(F46*VLOOKUP(G46,SETUP_RATES!$A:$H,3,FALSE),VLOOKUP(G46,SETUP_RATES!$A:$H,2,FALSE)))</f>
        <v/>
      </c>
      <c r="O46" s="38" t="str">
        <f>IF(OR(J46="",G46=""),"",J46*VLOOKUP(G46,SETUP_RATES!$A:$H,6,FALSE))</f>
        <v/>
      </c>
      <c r="P46" s="38" t="str">
        <f t="shared" si="1"/>
        <v/>
      </c>
      <c r="Q46" s="33" t="str">
        <f t="shared" si="2"/>
        <v/>
      </c>
    </row>
    <row r="47" ht="15.75" customHeight="1">
      <c r="B47" s="39"/>
      <c r="H47" s="39"/>
      <c r="I47" s="40"/>
      <c r="L47" s="33"/>
      <c r="M47" s="38"/>
      <c r="N47" s="38" t="str">
        <f>IF(OR(F47="",G47=""),"",MAX(F47*VLOOKUP(G47,SETUP_RATES!$A:$H,3,FALSE),VLOOKUP(G47,SETUP_RATES!$A:$H,2,FALSE)))</f>
        <v/>
      </c>
      <c r="O47" s="38" t="str">
        <f>IF(OR(J47="",G47=""),"",J47*VLOOKUP(G47,SETUP_RATES!$A:$H,6,FALSE))</f>
        <v/>
      </c>
      <c r="P47" s="38" t="str">
        <f t="shared" si="1"/>
        <v/>
      </c>
      <c r="Q47" s="33" t="str">
        <f t="shared" si="2"/>
        <v/>
      </c>
    </row>
    <row r="48" ht="15.75" customHeight="1">
      <c r="B48" s="39"/>
      <c r="H48" s="39"/>
      <c r="I48" s="40"/>
      <c r="L48" s="33"/>
      <c r="M48" s="38"/>
      <c r="N48" s="38" t="str">
        <f>IF(OR(F48="",G48=""),"",MAX(F48*VLOOKUP(G48,SETUP_RATES!$A:$H,3,FALSE),VLOOKUP(G48,SETUP_RATES!$A:$H,2,FALSE)))</f>
        <v/>
      </c>
      <c r="O48" s="38" t="str">
        <f>IF(OR(J48="",G48=""),"",J48*VLOOKUP(G48,SETUP_RATES!$A:$H,6,FALSE))</f>
        <v/>
      </c>
      <c r="P48" s="38" t="str">
        <f t="shared" si="1"/>
        <v/>
      </c>
      <c r="Q48" s="33" t="str">
        <f t="shared" si="2"/>
        <v/>
      </c>
    </row>
    <row r="49" ht="15.75" customHeight="1">
      <c r="B49" s="39"/>
      <c r="H49" s="39"/>
      <c r="I49" s="40"/>
      <c r="L49" s="33"/>
      <c r="M49" s="38"/>
      <c r="N49" s="38" t="str">
        <f>IF(OR(F49="",G49=""),"",MAX(F49*VLOOKUP(G49,SETUP_RATES!$A:$H,3,FALSE),VLOOKUP(G49,SETUP_RATES!$A:$H,2,FALSE)))</f>
        <v/>
      </c>
      <c r="O49" s="38" t="str">
        <f>IF(OR(J49="",G49=""),"",J49*VLOOKUP(G49,SETUP_RATES!$A:$H,6,FALSE))</f>
        <v/>
      </c>
      <c r="P49" s="38" t="str">
        <f t="shared" si="1"/>
        <v/>
      </c>
      <c r="Q49" s="33" t="str">
        <f t="shared" si="2"/>
        <v/>
      </c>
    </row>
    <row r="50" ht="15.75" customHeight="1">
      <c r="B50" s="39"/>
      <c r="H50" s="39"/>
      <c r="I50" s="40"/>
      <c r="L50" s="33"/>
      <c r="M50" s="38"/>
      <c r="N50" s="38" t="str">
        <f>IF(OR(F50="",G50=""),"",MAX(F50*VLOOKUP(G50,SETUP_RATES!$A:$H,3,FALSE),VLOOKUP(G50,SETUP_RATES!$A:$H,2,FALSE)))</f>
        <v/>
      </c>
      <c r="O50" s="38" t="str">
        <f>IF(OR(J50="",G50=""),"",J50*VLOOKUP(G50,SETUP_RATES!$A:$H,6,FALSE))</f>
        <v/>
      </c>
      <c r="P50" s="38" t="str">
        <f t="shared" si="1"/>
        <v/>
      </c>
      <c r="Q50" s="33" t="str">
        <f t="shared" si="2"/>
        <v/>
      </c>
    </row>
    <row r="51" ht="15.75" customHeight="1">
      <c r="B51" s="39"/>
      <c r="H51" s="39"/>
      <c r="I51" s="40"/>
      <c r="L51" s="33"/>
      <c r="M51" s="38"/>
      <c r="N51" s="38" t="str">
        <f>IF(OR(F51="",G51=""),"",MAX(F51*VLOOKUP(G51,SETUP_RATES!$A:$H,3,FALSE),VLOOKUP(G51,SETUP_RATES!$A:$H,2,FALSE)))</f>
        <v/>
      </c>
      <c r="O51" s="38" t="str">
        <f>IF(OR(J51="",G51=""),"",J51*VLOOKUP(G51,SETUP_RATES!$A:$H,6,FALSE))</f>
        <v/>
      </c>
      <c r="P51" s="38" t="str">
        <f t="shared" si="1"/>
        <v/>
      </c>
      <c r="Q51" s="33" t="str">
        <f t="shared" si="2"/>
        <v/>
      </c>
    </row>
    <row r="52" ht="15.75" customHeight="1">
      <c r="B52" s="39"/>
      <c r="H52" s="39"/>
      <c r="I52" s="40"/>
      <c r="L52" s="33"/>
      <c r="M52" s="38"/>
      <c r="N52" s="38" t="str">
        <f>IF(OR(F52="",G52=""),"",MAX(F52*VLOOKUP(G52,SETUP_RATES!$A:$H,3,FALSE),VLOOKUP(G52,SETUP_RATES!$A:$H,2,FALSE)))</f>
        <v/>
      </c>
      <c r="O52" s="38" t="str">
        <f>IF(OR(J52="",G52=""),"",J52*VLOOKUP(G52,SETUP_RATES!$A:$H,6,FALSE))</f>
        <v/>
      </c>
      <c r="P52" s="38" t="str">
        <f t="shared" si="1"/>
        <v/>
      </c>
      <c r="Q52" s="33" t="str">
        <f t="shared" si="2"/>
        <v/>
      </c>
    </row>
    <row r="53" ht="15.75" customHeight="1">
      <c r="B53" s="39"/>
      <c r="H53" s="39"/>
      <c r="I53" s="40"/>
      <c r="L53" s="33"/>
      <c r="M53" s="38"/>
      <c r="N53" s="38" t="str">
        <f>IF(OR(F53="",G53=""),"",MAX(F53*VLOOKUP(G53,SETUP_RATES!$A:$H,3,FALSE),VLOOKUP(G53,SETUP_RATES!$A:$H,2,FALSE)))</f>
        <v/>
      </c>
      <c r="O53" s="38" t="str">
        <f>IF(OR(J53="",G53=""),"",J53*VLOOKUP(G53,SETUP_RATES!$A:$H,6,FALSE))</f>
        <v/>
      </c>
      <c r="P53" s="38" t="str">
        <f t="shared" si="1"/>
        <v/>
      </c>
      <c r="Q53" s="33" t="str">
        <f t="shared" si="2"/>
        <v/>
      </c>
    </row>
    <row r="54" ht="15.75" customHeight="1">
      <c r="B54" s="39"/>
      <c r="H54" s="39"/>
      <c r="I54" s="40"/>
      <c r="L54" s="33"/>
      <c r="M54" s="38"/>
      <c r="N54" s="38" t="str">
        <f>IF(OR(F54="",G54=""),"",MAX(F54*VLOOKUP(G54,SETUP_RATES!$A:$H,3,FALSE),VLOOKUP(G54,SETUP_RATES!$A:$H,2,FALSE)))</f>
        <v/>
      </c>
      <c r="O54" s="38" t="str">
        <f>IF(OR(J54="",G54=""),"",J54*VLOOKUP(G54,SETUP_RATES!$A:$H,6,FALSE))</f>
        <v/>
      </c>
      <c r="P54" s="38" t="str">
        <f t="shared" si="1"/>
        <v/>
      </c>
      <c r="Q54" s="33" t="str">
        <f t="shared" si="2"/>
        <v/>
      </c>
    </row>
    <row r="55" ht="15.75" customHeight="1">
      <c r="B55" s="39"/>
      <c r="H55" s="39"/>
      <c r="I55" s="40"/>
      <c r="L55" s="33"/>
      <c r="M55" s="38"/>
      <c r="N55" s="38" t="str">
        <f>IF(OR(F55="",G55=""),"",MAX(F55*VLOOKUP(G55,SETUP_RATES!$A:$H,3,FALSE),VLOOKUP(G55,SETUP_RATES!$A:$H,2,FALSE)))</f>
        <v/>
      </c>
      <c r="O55" s="38" t="str">
        <f>IF(OR(J55="",G55=""),"",J55*VLOOKUP(G55,SETUP_RATES!$A:$H,6,FALSE))</f>
        <v/>
      </c>
      <c r="P55" s="38" t="str">
        <f t="shared" si="1"/>
        <v/>
      </c>
      <c r="Q55" s="33" t="str">
        <f t="shared" si="2"/>
        <v/>
      </c>
    </row>
    <row r="56" ht="15.75" customHeight="1">
      <c r="B56" s="39"/>
      <c r="H56" s="39"/>
      <c r="I56" s="40"/>
      <c r="L56" s="33"/>
      <c r="M56" s="38"/>
      <c r="N56" s="38" t="str">
        <f>IF(OR(F56="",G56=""),"",MAX(F56*VLOOKUP(G56,SETUP_RATES!$A:$H,3,FALSE),VLOOKUP(G56,SETUP_RATES!$A:$H,2,FALSE)))</f>
        <v/>
      </c>
      <c r="O56" s="38" t="str">
        <f>IF(OR(J56="",G56=""),"",J56*VLOOKUP(G56,SETUP_RATES!$A:$H,6,FALSE))</f>
        <v/>
      </c>
      <c r="P56" s="38" t="str">
        <f t="shared" si="1"/>
        <v/>
      </c>
      <c r="Q56" s="33" t="str">
        <f t="shared" si="2"/>
        <v/>
      </c>
    </row>
    <row r="57" ht="15.75" customHeight="1">
      <c r="B57" s="39"/>
      <c r="H57" s="39"/>
      <c r="I57" s="40"/>
      <c r="L57" s="33"/>
      <c r="M57" s="38"/>
      <c r="N57" s="38" t="str">
        <f>IF(OR(F57="",G57=""),"",MAX(F57*VLOOKUP(G57,SETUP_RATES!$A:$H,3,FALSE),VLOOKUP(G57,SETUP_RATES!$A:$H,2,FALSE)))</f>
        <v/>
      </c>
      <c r="O57" s="38" t="str">
        <f>IF(OR(J57="",G57=""),"",J57*VLOOKUP(G57,SETUP_RATES!$A:$H,6,FALSE))</f>
        <v/>
      </c>
      <c r="P57" s="38" t="str">
        <f t="shared" si="1"/>
        <v/>
      </c>
      <c r="Q57" s="33" t="str">
        <f t="shared" si="2"/>
        <v/>
      </c>
    </row>
    <row r="58" ht="15.75" customHeight="1">
      <c r="B58" s="39"/>
      <c r="H58" s="39"/>
      <c r="I58" s="40"/>
      <c r="L58" s="33"/>
      <c r="M58" s="38"/>
      <c r="N58" s="38" t="str">
        <f>IF(OR(F58="",G58=""),"",MAX(F58*VLOOKUP(G58,SETUP_RATES!$A:$H,3,FALSE),VLOOKUP(G58,SETUP_RATES!$A:$H,2,FALSE)))</f>
        <v/>
      </c>
      <c r="O58" s="38" t="str">
        <f>IF(OR(J58="",G58=""),"",J58*VLOOKUP(G58,SETUP_RATES!$A:$H,6,FALSE))</f>
        <v/>
      </c>
      <c r="P58" s="38" t="str">
        <f t="shared" si="1"/>
        <v/>
      </c>
      <c r="Q58" s="33" t="str">
        <f t="shared" si="2"/>
        <v/>
      </c>
    </row>
    <row r="59" ht="15.75" customHeight="1">
      <c r="B59" s="39"/>
      <c r="H59" s="39"/>
      <c r="I59" s="40"/>
      <c r="L59" s="33"/>
      <c r="M59" s="38"/>
      <c r="N59" s="38" t="str">
        <f>IF(OR(F59="",G59=""),"",MAX(F59*VLOOKUP(G59,SETUP_RATES!$A:$H,3,FALSE),VLOOKUP(G59,SETUP_RATES!$A:$H,2,FALSE)))</f>
        <v/>
      </c>
      <c r="O59" s="38" t="str">
        <f>IF(OR(J59="",G59=""),"",J59*VLOOKUP(G59,SETUP_RATES!$A:$H,6,FALSE))</f>
        <v/>
      </c>
      <c r="P59" s="38" t="str">
        <f t="shared" si="1"/>
        <v/>
      </c>
      <c r="Q59" s="33" t="str">
        <f t="shared" si="2"/>
        <v/>
      </c>
    </row>
    <row r="60" ht="15.75" customHeight="1">
      <c r="B60" s="39"/>
      <c r="H60" s="39"/>
      <c r="I60" s="40"/>
      <c r="L60" s="33"/>
      <c r="M60" s="38"/>
      <c r="N60" s="38" t="str">
        <f>IF(OR(F60="",G60=""),"",MAX(F60*VLOOKUP(G60,SETUP_RATES!$A:$H,3,FALSE),VLOOKUP(G60,SETUP_RATES!$A:$H,2,FALSE)))</f>
        <v/>
      </c>
      <c r="O60" s="38" t="str">
        <f>IF(OR(J60="",G60=""),"",J60*VLOOKUP(G60,SETUP_RATES!$A:$H,6,FALSE))</f>
        <v/>
      </c>
      <c r="P60" s="38" t="str">
        <f t="shared" si="1"/>
        <v/>
      </c>
      <c r="Q60" s="33" t="str">
        <f t="shared" si="2"/>
        <v/>
      </c>
    </row>
    <row r="61" ht="15.75" customHeight="1">
      <c r="B61" s="39"/>
      <c r="H61" s="39"/>
      <c r="I61" s="40"/>
      <c r="L61" s="33"/>
      <c r="M61" s="38"/>
      <c r="N61" s="38" t="str">
        <f>IF(OR(F61="",G61=""),"",MAX(F61*VLOOKUP(G61,SETUP_RATES!$A:$H,3,FALSE),VLOOKUP(G61,SETUP_RATES!$A:$H,2,FALSE)))</f>
        <v/>
      </c>
      <c r="O61" s="38" t="str">
        <f>IF(OR(J61="",G61=""),"",J61*VLOOKUP(G61,SETUP_RATES!$A:$H,6,FALSE))</f>
        <v/>
      </c>
      <c r="P61" s="38" t="str">
        <f t="shared" si="1"/>
        <v/>
      </c>
      <c r="Q61" s="33" t="str">
        <f t="shared" si="2"/>
        <v/>
      </c>
    </row>
    <row r="62" ht="15.75" customHeight="1">
      <c r="B62" s="39"/>
      <c r="H62" s="39"/>
      <c r="I62" s="40"/>
      <c r="L62" s="33"/>
      <c r="M62" s="38"/>
      <c r="N62" s="38" t="str">
        <f>IF(OR(F62="",G62=""),"",MAX(F62*VLOOKUP(G62,SETUP_RATES!$A:$H,3,FALSE),VLOOKUP(G62,SETUP_RATES!$A:$H,2,FALSE)))</f>
        <v/>
      </c>
      <c r="O62" s="38" t="str">
        <f>IF(OR(J62="",G62=""),"",J62*VLOOKUP(G62,SETUP_RATES!$A:$H,6,FALSE))</f>
        <v/>
      </c>
      <c r="P62" s="38" t="str">
        <f t="shared" si="1"/>
        <v/>
      </c>
      <c r="Q62" s="33" t="str">
        <f t="shared" si="2"/>
        <v/>
      </c>
    </row>
    <row r="63" ht="15.75" customHeight="1">
      <c r="B63" s="39"/>
      <c r="H63" s="39"/>
      <c r="I63" s="40"/>
      <c r="L63" s="33"/>
      <c r="M63" s="38"/>
      <c r="N63" s="38" t="str">
        <f>IF(OR(F63="",G63=""),"",MAX(F63*VLOOKUP(G63,SETUP_RATES!$A:$H,3,FALSE),VLOOKUP(G63,SETUP_RATES!$A:$H,2,FALSE)))</f>
        <v/>
      </c>
      <c r="O63" s="38" t="str">
        <f>IF(OR(J63="",G63=""),"",J63*VLOOKUP(G63,SETUP_RATES!$A:$H,6,FALSE))</f>
        <v/>
      </c>
      <c r="P63" s="38" t="str">
        <f t="shared" si="1"/>
        <v/>
      </c>
      <c r="Q63" s="33" t="str">
        <f t="shared" si="2"/>
        <v/>
      </c>
    </row>
    <row r="64" ht="15.75" customHeight="1">
      <c r="B64" s="39"/>
      <c r="H64" s="39"/>
      <c r="I64" s="40"/>
      <c r="L64" s="33"/>
      <c r="M64" s="38"/>
      <c r="N64" s="38" t="str">
        <f>IF(OR(F64="",G64=""),"",MAX(F64*VLOOKUP(G64,SETUP_RATES!$A:$H,3,FALSE),VLOOKUP(G64,SETUP_RATES!$A:$H,2,FALSE)))</f>
        <v/>
      </c>
      <c r="O64" s="38" t="str">
        <f>IF(OR(J64="",G64=""),"",J64*VLOOKUP(G64,SETUP_RATES!$A:$H,6,FALSE))</f>
        <v/>
      </c>
      <c r="P64" s="38" t="str">
        <f t="shared" si="1"/>
        <v/>
      </c>
      <c r="Q64" s="33" t="str">
        <f t="shared" si="2"/>
        <v/>
      </c>
    </row>
    <row r="65" ht="15.75" customHeight="1">
      <c r="B65" s="39"/>
      <c r="H65" s="39"/>
      <c r="I65" s="40"/>
      <c r="L65" s="33"/>
      <c r="M65" s="38"/>
      <c r="N65" s="38" t="str">
        <f>IF(OR(F65="",G65=""),"",MAX(F65*VLOOKUP(G65,SETUP_RATES!$A:$H,3,FALSE),VLOOKUP(G65,SETUP_RATES!$A:$H,2,FALSE)))</f>
        <v/>
      </c>
      <c r="O65" s="38" t="str">
        <f>IF(OR(J65="",G65=""),"",J65*VLOOKUP(G65,SETUP_RATES!$A:$H,6,FALSE))</f>
        <v/>
      </c>
      <c r="P65" s="38" t="str">
        <f t="shared" si="1"/>
        <v/>
      </c>
      <c r="Q65" s="33" t="str">
        <f t="shared" si="2"/>
        <v/>
      </c>
    </row>
    <row r="66" ht="15.75" customHeight="1">
      <c r="B66" s="39"/>
      <c r="H66" s="39"/>
      <c r="I66" s="40"/>
      <c r="L66" s="33"/>
      <c r="M66" s="38"/>
      <c r="N66" s="38" t="str">
        <f>IF(OR(F66="",G66=""),"",MAX(F66*VLOOKUP(G66,SETUP_RATES!$A:$H,3,FALSE),VLOOKUP(G66,SETUP_RATES!$A:$H,2,FALSE)))</f>
        <v/>
      </c>
      <c r="O66" s="38" t="str">
        <f>IF(OR(J66="",G66=""),"",J66*VLOOKUP(G66,SETUP_RATES!$A:$H,6,FALSE))</f>
        <v/>
      </c>
      <c r="P66" s="38" t="str">
        <f t="shared" si="1"/>
        <v/>
      </c>
      <c r="Q66" s="33" t="str">
        <f t="shared" si="2"/>
        <v/>
      </c>
    </row>
    <row r="67" ht="15.75" customHeight="1">
      <c r="B67" s="39"/>
      <c r="H67" s="39"/>
      <c r="I67" s="40"/>
      <c r="L67" s="33"/>
      <c r="M67" s="38"/>
      <c r="N67" s="38" t="str">
        <f>IF(OR(F67="",G67=""),"",MAX(F67*VLOOKUP(G67,SETUP_RATES!$A:$H,3,FALSE),VLOOKUP(G67,SETUP_RATES!$A:$H,2,FALSE)))</f>
        <v/>
      </c>
      <c r="O67" s="38" t="str">
        <f>IF(OR(J67="",G67=""),"",J67*VLOOKUP(G67,SETUP_RATES!$A:$H,6,FALSE))</f>
        <v/>
      </c>
      <c r="P67" s="38" t="str">
        <f t="shared" si="1"/>
        <v/>
      </c>
      <c r="Q67" s="33" t="str">
        <f t="shared" si="2"/>
        <v/>
      </c>
    </row>
    <row r="68" ht="15.75" customHeight="1">
      <c r="B68" s="39"/>
      <c r="H68" s="39"/>
      <c r="I68" s="40"/>
      <c r="L68" s="33"/>
      <c r="M68" s="38"/>
      <c r="N68" s="38" t="str">
        <f>IF(OR(F68="",G68=""),"",MAX(F68*VLOOKUP(G68,SETUP_RATES!$A:$H,3,FALSE),VLOOKUP(G68,SETUP_RATES!$A:$H,2,FALSE)))</f>
        <v/>
      </c>
      <c r="O68" s="38" t="str">
        <f>IF(OR(J68="",G68=""),"",J68*VLOOKUP(G68,SETUP_RATES!$A:$H,6,FALSE))</f>
        <v/>
      </c>
      <c r="P68" s="38" t="str">
        <f t="shared" si="1"/>
        <v/>
      </c>
      <c r="Q68" s="33" t="str">
        <f t="shared" si="2"/>
        <v/>
      </c>
    </row>
    <row r="69" ht="15.75" customHeight="1">
      <c r="B69" s="39"/>
      <c r="H69" s="39"/>
      <c r="I69" s="40"/>
      <c r="L69" s="33"/>
      <c r="M69" s="38"/>
      <c r="N69" s="38" t="str">
        <f>IF(OR(F69="",G69=""),"",MAX(F69*VLOOKUP(G69,SETUP_RATES!$A:$H,3,FALSE),VLOOKUP(G69,SETUP_RATES!$A:$H,2,FALSE)))</f>
        <v/>
      </c>
      <c r="O69" s="38" t="str">
        <f>IF(OR(J69="",G69=""),"",J69*VLOOKUP(G69,SETUP_RATES!$A:$H,6,FALSE))</f>
        <v/>
      </c>
      <c r="P69" s="38" t="str">
        <f t="shared" si="1"/>
        <v/>
      </c>
      <c r="Q69" s="33" t="str">
        <f t="shared" si="2"/>
        <v/>
      </c>
    </row>
    <row r="70" ht="15.75" customHeight="1">
      <c r="B70" s="39"/>
      <c r="H70" s="39"/>
      <c r="I70" s="40"/>
      <c r="L70" s="33"/>
      <c r="M70" s="38"/>
      <c r="N70" s="38" t="str">
        <f>IF(OR(F70="",G70=""),"",MAX(F70*VLOOKUP(G70,SETUP_RATES!$A:$H,3,FALSE),VLOOKUP(G70,SETUP_RATES!$A:$H,2,FALSE)))</f>
        <v/>
      </c>
      <c r="O70" s="38" t="str">
        <f>IF(OR(J70="",G70=""),"",J70*VLOOKUP(G70,SETUP_RATES!$A:$H,6,FALSE))</f>
        <v/>
      </c>
      <c r="P70" s="38" t="str">
        <f t="shared" si="1"/>
        <v/>
      </c>
      <c r="Q70" s="33" t="str">
        <f t="shared" si="2"/>
        <v/>
      </c>
    </row>
    <row r="71" ht="15.75" customHeight="1">
      <c r="B71" s="39"/>
      <c r="H71" s="39"/>
      <c r="I71" s="40"/>
      <c r="L71" s="33"/>
      <c r="M71" s="38"/>
      <c r="N71" s="38" t="str">
        <f>IF(OR(F71="",G71=""),"",MAX(F71*VLOOKUP(G71,SETUP_RATES!$A:$H,3,FALSE),VLOOKUP(G71,SETUP_RATES!$A:$H,2,FALSE)))</f>
        <v/>
      </c>
      <c r="O71" s="38" t="str">
        <f>IF(OR(J71="",G71=""),"",J71*VLOOKUP(G71,SETUP_RATES!$A:$H,6,FALSE))</f>
        <v/>
      </c>
      <c r="P71" s="38" t="str">
        <f t="shared" si="1"/>
        <v/>
      </c>
      <c r="Q71" s="33" t="str">
        <f t="shared" si="2"/>
        <v/>
      </c>
    </row>
    <row r="72" ht="15.75" customHeight="1">
      <c r="B72" s="39"/>
      <c r="H72" s="39"/>
      <c r="I72" s="40"/>
      <c r="L72" s="33"/>
      <c r="M72" s="38"/>
      <c r="N72" s="38" t="str">
        <f>IF(OR(F72="",G72=""),"",MAX(F72*VLOOKUP(G72,SETUP_RATES!$A:$H,3,FALSE),VLOOKUP(G72,SETUP_RATES!$A:$H,2,FALSE)))</f>
        <v/>
      </c>
      <c r="O72" s="38" t="str">
        <f>IF(OR(J72="",G72=""),"",J72*VLOOKUP(G72,SETUP_RATES!$A:$H,6,FALSE))</f>
        <v/>
      </c>
      <c r="P72" s="38" t="str">
        <f t="shared" si="1"/>
        <v/>
      </c>
      <c r="Q72" s="33" t="str">
        <f t="shared" si="2"/>
        <v/>
      </c>
    </row>
    <row r="73" ht="15.75" customHeight="1">
      <c r="B73" s="39"/>
      <c r="H73" s="39"/>
      <c r="I73" s="40"/>
      <c r="L73" s="33"/>
      <c r="M73" s="38"/>
      <c r="N73" s="38" t="str">
        <f>IF(OR(F73="",G73=""),"",MAX(F73*VLOOKUP(G73,SETUP_RATES!$A:$H,3,FALSE),VLOOKUP(G73,SETUP_RATES!$A:$H,2,FALSE)))</f>
        <v/>
      </c>
      <c r="O73" s="38" t="str">
        <f>IF(OR(J73="",G73=""),"",J73*VLOOKUP(G73,SETUP_RATES!$A:$H,6,FALSE))</f>
        <v/>
      </c>
      <c r="P73" s="38" t="str">
        <f t="shared" si="1"/>
        <v/>
      </c>
      <c r="Q73" s="33" t="str">
        <f t="shared" si="2"/>
        <v/>
      </c>
    </row>
    <row r="74" ht="15.75" customHeight="1">
      <c r="B74" s="39"/>
      <c r="H74" s="39"/>
      <c r="I74" s="40"/>
      <c r="L74" s="33"/>
      <c r="M74" s="38"/>
      <c r="N74" s="38" t="str">
        <f>IF(OR(F74="",G74=""),"",MAX(F74*VLOOKUP(G74,SETUP_RATES!$A:$H,3,FALSE),VLOOKUP(G74,SETUP_RATES!$A:$H,2,FALSE)))</f>
        <v/>
      </c>
      <c r="O74" s="38" t="str">
        <f>IF(OR(J74="",G74=""),"",J74*VLOOKUP(G74,SETUP_RATES!$A:$H,6,FALSE))</f>
        <v/>
      </c>
      <c r="P74" s="38" t="str">
        <f t="shared" si="1"/>
        <v/>
      </c>
      <c r="Q74" s="33" t="str">
        <f t="shared" si="2"/>
        <v/>
      </c>
    </row>
    <row r="75" ht="15.75" customHeight="1">
      <c r="B75" s="39"/>
      <c r="H75" s="39"/>
      <c r="I75" s="40"/>
      <c r="L75" s="33"/>
      <c r="M75" s="38"/>
      <c r="N75" s="38" t="str">
        <f>IF(OR(F75="",G75=""),"",MAX(F75*VLOOKUP(G75,SETUP_RATES!$A:$H,3,FALSE),VLOOKUP(G75,SETUP_RATES!$A:$H,2,FALSE)))</f>
        <v/>
      </c>
      <c r="O75" s="38" t="str">
        <f>IF(OR(J75="",G75=""),"",J75*VLOOKUP(G75,SETUP_RATES!$A:$H,6,FALSE))</f>
        <v/>
      </c>
      <c r="P75" s="38" t="str">
        <f t="shared" si="1"/>
        <v/>
      </c>
      <c r="Q75" s="33" t="str">
        <f t="shared" si="2"/>
        <v/>
      </c>
    </row>
    <row r="76" ht="15.75" customHeight="1">
      <c r="B76" s="39"/>
      <c r="H76" s="39"/>
      <c r="I76" s="40"/>
      <c r="L76" s="33"/>
      <c r="M76" s="38"/>
      <c r="N76" s="38" t="str">
        <f>IF(OR(F76="",G76=""),"",MAX(F76*VLOOKUP(G76,SETUP_RATES!$A:$H,3,FALSE),VLOOKUP(G76,SETUP_RATES!$A:$H,2,FALSE)))</f>
        <v/>
      </c>
      <c r="O76" s="38" t="str">
        <f>IF(OR(J76="",G76=""),"",J76*VLOOKUP(G76,SETUP_RATES!$A:$H,6,FALSE))</f>
        <v/>
      </c>
      <c r="P76" s="38" t="str">
        <f t="shared" si="1"/>
        <v/>
      </c>
      <c r="Q76" s="33" t="str">
        <f t="shared" si="2"/>
        <v/>
      </c>
    </row>
    <row r="77" ht="15.75" customHeight="1">
      <c r="B77" s="39"/>
      <c r="H77" s="39"/>
      <c r="I77" s="40"/>
      <c r="L77" s="33"/>
      <c r="M77" s="38"/>
      <c r="N77" s="38" t="str">
        <f>IF(OR(F77="",G77=""),"",MAX(F77*VLOOKUP(G77,SETUP_RATES!$A:$H,3,FALSE),VLOOKUP(G77,SETUP_RATES!$A:$H,2,FALSE)))</f>
        <v/>
      </c>
      <c r="O77" s="38" t="str">
        <f>IF(OR(J77="",G77=""),"",J77*VLOOKUP(G77,SETUP_RATES!$A:$H,6,FALSE))</f>
        <v/>
      </c>
      <c r="P77" s="38" t="str">
        <f t="shared" si="1"/>
        <v/>
      </c>
      <c r="Q77" s="33" t="str">
        <f t="shared" si="2"/>
        <v/>
      </c>
    </row>
    <row r="78" ht="15.75" customHeight="1">
      <c r="B78" s="39"/>
      <c r="H78" s="39"/>
      <c r="I78" s="40"/>
      <c r="L78" s="33"/>
      <c r="M78" s="38"/>
      <c r="N78" s="38" t="str">
        <f>IF(OR(F78="",G78=""),"",MAX(F78*VLOOKUP(G78,SETUP_RATES!$A:$H,3,FALSE),VLOOKUP(G78,SETUP_RATES!$A:$H,2,FALSE)))</f>
        <v/>
      </c>
      <c r="O78" s="38" t="str">
        <f>IF(OR(J78="",G78=""),"",J78*VLOOKUP(G78,SETUP_RATES!$A:$H,6,FALSE))</f>
        <v/>
      </c>
      <c r="P78" s="38" t="str">
        <f t="shared" si="1"/>
        <v/>
      </c>
      <c r="Q78" s="33" t="str">
        <f t="shared" si="2"/>
        <v/>
      </c>
    </row>
    <row r="79" ht="15.75" customHeight="1">
      <c r="B79" s="39"/>
      <c r="H79" s="39"/>
      <c r="I79" s="40"/>
      <c r="L79" s="33"/>
      <c r="M79" s="38"/>
      <c r="N79" s="38" t="str">
        <f>IF(OR(F79="",G79=""),"",MAX(F79*VLOOKUP(G79,SETUP_RATES!$A:$H,3,FALSE),VLOOKUP(G79,SETUP_RATES!$A:$H,2,FALSE)))</f>
        <v/>
      </c>
      <c r="O79" s="38" t="str">
        <f>IF(OR(J79="",G79=""),"",J79*VLOOKUP(G79,SETUP_RATES!$A:$H,6,FALSE))</f>
        <v/>
      </c>
      <c r="P79" s="38" t="str">
        <f t="shared" si="1"/>
        <v/>
      </c>
      <c r="Q79" s="33" t="str">
        <f t="shared" si="2"/>
        <v/>
      </c>
    </row>
    <row r="80" ht="15.75" customHeight="1">
      <c r="B80" s="39"/>
      <c r="H80" s="39"/>
      <c r="I80" s="40"/>
      <c r="L80" s="33"/>
      <c r="M80" s="38"/>
      <c r="N80" s="38" t="str">
        <f>IF(OR(F80="",G80=""),"",MAX(F80*VLOOKUP(G80,SETUP_RATES!$A:$H,3,FALSE),VLOOKUP(G80,SETUP_RATES!$A:$H,2,FALSE)))</f>
        <v/>
      </c>
      <c r="O80" s="38" t="str">
        <f>IF(OR(J80="",G80=""),"",J80*VLOOKUP(G80,SETUP_RATES!$A:$H,6,FALSE))</f>
        <v/>
      </c>
      <c r="P80" s="38" t="str">
        <f t="shared" si="1"/>
        <v/>
      </c>
      <c r="Q80" s="33" t="str">
        <f t="shared" si="2"/>
        <v/>
      </c>
    </row>
    <row r="81" ht="15.75" customHeight="1">
      <c r="B81" s="39"/>
      <c r="H81" s="39"/>
      <c r="I81" s="40"/>
      <c r="L81" s="33"/>
      <c r="M81" s="38"/>
      <c r="N81" s="38" t="str">
        <f>IF(OR(F81="",G81=""),"",MAX(F81*VLOOKUP(G81,SETUP_RATES!$A:$H,3,FALSE),VLOOKUP(G81,SETUP_RATES!$A:$H,2,FALSE)))</f>
        <v/>
      </c>
      <c r="O81" s="38" t="str">
        <f>IF(OR(J81="",G81=""),"",J81*VLOOKUP(G81,SETUP_RATES!$A:$H,6,FALSE))</f>
        <v/>
      </c>
      <c r="P81" s="38" t="str">
        <f t="shared" si="1"/>
        <v/>
      </c>
      <c r="Q81" s="33" t="str">
        <f t="shared" si="2"/>
        <v/>
      </c>
    </row>
    <row r="82" ht="15.75" customHeight="1">
      <c r="B82" s="39"/>
      <c r="H82" s="39"/>
      <c r="I82" s="40"/>
      <c r="L82" s="33"/>
      <c r="M82" s="38"/>
      <c r="N82" s="38" t="str">
        <f>IF(OR(F82="",G82=""),"",MAX(F82*VLOOKUP(G82,SETUP_RATES!$A:$H,3,FALSE),VLOOKUP(G82,SETUP_RATES!$A:$H,2,FALSE)))</f>
        <v/>
      </c>
      <c r="O82" s="38" t="str">
        <f>IF(OR(J82="",G82=""),"",J82*VLOOKUP(G82,SETUP_RATES!$A:$H,6,FALSE))</f>
        <v/>
      </c>
      <c r="P82" s="38" t="str">
        <f t="shared" si="1"/>
        <v/>
      </c>
      <c r="Q82" s="33" t="str">
        <f t="shared" si="2"/>
        <v/>
      </c>
    </row>
    <row r="83" ht="15.75" customHeight="1">
      <c r="B83" s="39"/>
      <c r="H83" s="39"/>
      <c r="I83" s="40"/>
      <c r="L83" s="33"/>
      <c r="M83" s="38"/>
      <c r="N83" s="38" t="str">
        <f>IF(OR(F83="",G83=""),"",MAX(F83*VLOOKUP(G83,SETUP_RATES!$A:$H,3,FALSE),VLOOKUP(G83,SETUP_RATES!$A:$H,2,FALSE)))</f>
        <v/>
      </c>
      <c r="O83" s="38" t="str">
        <f>IF(OR(J83="",G83=""),"",J83*VLOOKUP(G83,SETUP_RATES!$A:$H,6,FALSE))</f>
        <v/>
      </c>
      <c r="P83" s="38" t="str">
        <f t="shared" si="1"/>
        <v/>
      </c>
      <c r="Q83" s="33" t="str">
        <f t="shared" si="2"/>
        <v/>
      </c>
    </row>
    <row r="84" ht="15.75" customHeight="1">
      <c r="B84" s="39"/>
      <c r="H84" s="39"/>
      <c r="I84" s="40"/>
      <c r="L84" s="33"/>
      <c r="M84" s="38"/>
      <c r="N84" s="38" t="str">
        <f>IF(OR(F84="",G84=""),"",MAX(F84*VLOOKUP(G84,SETUP_RATES!$A:$H,3,FALSE),VLOOKUP(G84,SETUP_RATES!$A:$H,2,FALSE)))</f>
        <v/>
      </c>
      <c r="O84" s="38" t="str">
        <f>IF(OR(J84="",G84=""),"",J84*VLOOKUP(G84,SETUP_RATES!$A:$H,6,FALSE))</f>
        <v/>
      </c>
      <c r="P84" s="38" t="str">
        <f t="shared" si="1"/>
        <v/>
      </c>
      <c r="Q84" s="33" t="str">
        <f t="shared" si="2"/>
        <v/>
      </c>
    </row>
    <row r="85" ht="15.75" customHeight="1">
      <c r="B85" s="39"/>
      <c r="H85" s="39"/>
      <c r="I85" s="40"/>
      <c r="L85" s="33"/>
      <c r="M85" s="38"/>
      <c r="N85" s="38" t="str">
        <f>IF(OR(F85="",G85=""),"",MAX(F85*VLOOKUP(G85,SETUP_RATES!$A:$H,3,FALSE),VLOOKUP(G85,SETUP_RATES!$A:$H,2,FALSE)))</f>
        <v/>
      </c>
      <c r="O85" s="38" t="str">
        <f>IF(OR(J85="",G85=""),"",J85*VLOOKUP(G85,SETUP_RATES!$A:$H,6,FALSE))</f>
        <v/>
      </c>
      <c r="P85" s="38" t="str">
        <f t="shared" si="1"/>
        <v/>
      </c>
      <c r="Q85" s="33" t="str">
        <f t="shared" si="2"/>
        <v/>
      </c>
    </row>
    <row r="86" ht="15.75" customHeight="1">
      <c r="B86" s="39"/>
      <c r="H86" s="39"/>
      <c r="I86" s="40"/>
      <c r="L86" s="33"/>
      <c r="M86" s="38"/>
      <c r="N86" s="38" t="str">
        <f>IF(OR(F86="",G86=""),"",MAX(F86*VLOOKUP(G86,SETUP_RATES!$A:$H,3,FALSE),VLOOKUP(G86,SETUP_RATES!$A:$H,2,FALSE)))</f>
        <v/>
      </c>
      <c r="O86" s="38" t="str">
        <f>IF(OR(J86="",G86=""),"",J86*VLOOKUP(G86,SETUP_RATES!$A:$H,6,FALSE))</f>
        <v/>
      </c>
      <c r="P86" s="38" t="str">
        <f t="shared" si="1"/>
        <v/>
      </c>
      <c r="Q86" s="33" t="str">
        <f t="shared" si="2"/>
        <v/>
      </c>
    </row>
    <row r="87" ht="15.75" customHeight="1">
      <c r="B87" s="39"/>
      <c r="H87" s="39"/>
      <c r="I87" s="40"/>
      <c r="L87" s="33"/>
      <c r="M87" s="38"/>
      <c r="N87" s="38" t="str">
        <f>IF(OR(F87="",G87=""),"",MAX(F87*VLOOKUP(G87,SETUP_RATES!$A:$H,3,FALSE),VLOOKUP(G87,SETUP_RATES!$A:$H,2,FALSE)))</f>
        <v/>
      </c>
      <c r="O87" s="38" t="str">
        <f>IF(OR(J87="",G87=""),"",J87*VLOOKUP(G87,SETUP_RATES!$A:$H,6,FALSE))</f>
        <v/>
      </c>
      <c r="P87" s="38" t="str">
        <f t="shared" si="1"/>
        <v/>
      </c>
      <c r="Q87" s="33" t="str">
        <f t="shared" si="2"/>
        <v/>
      </c>
    </row>
    <row r="88" ht="15.75" customHeight="1">
      <c r="B88" s="39"/>
      <c r="H88" s="39"/>
      <c r="I88" s="40"/>
      <c r="L88" s="33"/>
      <c r="M88" s="38"/>
      <c r="N88" s="38" t="str">
        <f>IF(OR(F88="",G88=""),"",MAX(F88*VLOOKUP(G88,SETUP_RATES!$A:$H,3,FALSE),VLOOKUP(G88,SETUP_RATES!$A:$H,2,FALSE)))</f>
        <v/>
      </c>
      <c r="O88" s="38" t="str">
        <f>IF(OR(J88="",G88=""),"",J88*VLOOKUP(G88,SETUP_RATES!$A:$H,6,FALSE))</f>
        <v/>
      </c>
      <c r="P88" s="38" t="str">
        <f t="shared" si="1"/>
        <v/>
      </c>
      <c r="Q88" s="33" t="str">
        <f t="shared" si="2"/>
        <v/>
      </c>
    </row>
    <row r="89" ht="15.75" customHeight="1">
      <c r="B89" s="39"/>
      <c r="H89" s="39"/>
      <c r="I89" s="40"/>
      <c r="L89" s="33"/>
      <c r="M89" s="38"/>
      <c r="N89" s="38" t="str">
        <f>IF(OR(F89="",G89=""),"",MAX(F89*VLOOKUP(G89,SETUP_RATES!$A:$H,3,FALSE),VLOOKUP(G89,SETUP_RATES!$A:$H,2,FALSE)))</f>
        <v/>
      </c>
      <c r="O89" s="38" t="str">
        <f>IF(OR(J89="",G89=""),"",J89*VLOOKUP(G89,SETUP_RATES!$A:$H,6,FALSE))</f>
        <v/>
      </c>
      <c r="P89" s="38" t="str">
        <f t="shared" si="1"/>
        <v/>
      </c>
      <c r="Q89" s="33" t="str">
        <f t="shared" si="2"/>
        <v/>
      </c>
    </row>
    <row r="90" ht="15.75" customHeight="1">
      <c r="B90" s="39"/>
      <c r="H90" s="39"/>
      <c r="I90" s="40"/>
      <c r="L90" s="33"/>
      <c r="M90" s="38"/>
      <c r="N90" s="38" t="str">
        <f>IF(OR(F90="",G90=""),"",MAX(F90*VLOOKUP(G90,SETUP_RATES!$A:$H,3,FALSE),VLOOKUP(G90,SETUP_RATES!$A:$H,2,FALSE)))</f>
        <v/>
      </c>
      <c r="O90" s="38" t="str">
        <f>IF(OR(J90="",G90=""),"",J90*VLOOKUP(G90,SETUP_RATES!$A:$H,6,FALSE))</f>
        <v/>
      </c>
      <c r="P90" s="38" t="str">
        <f t="shared" si="1"/>
        <v/>
      </c>
      <c r="Q90" s="33" t="str">
        <f t="shared" si="2"/>
        <v/>
      </c>
    </row>
    <row r="91" ht="15.75" customHeight="1">
      <c r="B91" s="39"/>
      <c r="H91" s="39"/>
      <c r="I91" s="40"/>
      <c r="L91" s="33"/>
      <c r="M91" s="38"/>
      <c r="N91" s="38" t="str">
        <f>IF(OR(F91="",G91=""),"",MAX(F91*VLOOKUP(G91,SETUP_RATES!$A:$H,3,FALSE),VLOOKUP(G91,SETUP_RATES!$A:$H,2,FALSE)))</f>
        <v/>
      </c>
      <c r="O91" s="38" t="str">
        <f>IF(OR(J91="",G91=""),"",J91*VLOOKUP(G91,SETUP_RATES!$A:$H,6,FALSE))</f>
        <v/>
      </c>
      <c r="P91" s="38" t="str">
        <f t="shared" si="1"/>
        <v/>
      </c>
      <c r="Q91" s="33" t="str">
        <f t="shared" si="2"/>
        <v/>
      </c>
    </row>
    <row r="92" ht="15.75" customHeight="1">
      <c r="B92" s="39"/>
      <c r="H92" s="39"/>
      <c r="I92" s="40"/>
      <c r="L92" s="33"/>
      <c r="M92" s="38"/>
      <c r="N92" s="38" t="str">
        <f>IF(OR(F92="",G92=""),"",MAX(F92*VLOOKUP(G92,SETUP_RATES!$A:$H,3,FALSE),VLOOKUP(G92,SETUP_RATES!$A:$H,2,FALSE)))</f>
        <v/>
      </c>
      <c r="O92" s="38" t="str">
        <f>IF(OR(J92="",G92=""),"",J92*VLOOKUP(G92,SETUP_RATES!$A:$H,6,FALSE))</f>
        <v/>
      </c>
      <c r="P92" s="38" t="str">
        <f t="shared" si="1"/>
        <v/>
      </c>
      <c r="Q92" s="33" t="str">
        <f t="shared" si="2"/>
        <v/>
      </c>
    </row>
    <row r="93" ht="15.75" customHeight="1">
      <c r="B93" s="39"/>
      <c r="H93" s="39"/>
      <c r="I93" s="40"/>
      <c r="L93" s="33"/>
      <c r="M93" s="38"/>
      <c r="N93" s="38" t="str">
        <f>IF(OR(F93="",G93=""),"",MAX(F93*VLOOKUP(G93,SETUP_RATES!$A:$H,3,FALSE),VLOOKUP(G93,SETUP_RATES!$A:$H,2,FALSE)))</f>
        <v/>
      </c>
      <c r="O93" s="38" t="str">
        <f>IF(OR(J93="",G93=""),"",J93*VLOOKUP(G93,SETUP_RATES!$A:$H,6,FALSE))</f>
        <v/>
      </c>
      <c r="P93" s="38" t="str">
        <f t="shared" si="1"/>
        <v/>
      </c>
      <c r="Q93" s="33" t="str">
        <f t="shared" si="2"/>
        <v/>
      </c>
    </row>
    <row r="94" ht="15.75" customHeight="1">
      <c r="B94" s="39"/>
      <c r="H94" s="39"/>
      <c r="I94" s="40"/>
      <c r="L94" s="33"/>
      <c r="M94" s="38"/>
      <c r="N94" s="38" t="str">
        <f>IF(OR(F94="",G94=""),"",MAX(F94*VLOOKUP(G94,SETUP_RATES!$A:$H,3,FALSE),VLOOKUP(G94,SETUP_RATES!$A:$H,2,FALSE)))</f>
        <v/>
      </c>
      <c r="O94" s="38" t="str">
        <f>IF(OR(J94="",G94=""),"",J94*VLOOKUP(G94,SETUP_RATES!$A:$H,6,FALSE))</f>
        <v/>
      </c>
      <c r="P94" s="38" t="str">
        <f t="shared" si="1"/>
        <v/>
      </c>
      <c r="Q94" s="33" t="str">
        <f t="shared" si="2"/>
        <v/>
      </c>
    </row>
    <row r="95" ht="15.75" customHeight="1">
      <c r="B95" s="39"/>
      <c r="H95" s="39"/>
      <c r="I95" s="40"/>
      <c r="L95" s="33"/>
      <c r="M95" s="38"/>
      <c r="N95" s="38" t="str">
        <f>IF(OR(F95="",G95=""),"",MAX(F95*VLOOKUP(G95,SETUP_RATES!$A:$H,3,FALSE),VLOOKUP(G95,SETUP_RATES!$A:$H,2,FALSE)))</f>
        <v/>
      </c>
      <c r="O95" s="38" t="str">
        <f>IF(OR(J95="",G95=""),"",J95*VLOOKUP(G95,SETUP_RATES!$A:$H,6,FALSE))</f>
        <v/>
      </c>
      <c r="P95" s="38" t="str">
        <f t="shared" si="1"/>
        <v/>
      </c>
      <c r="Q95" s="33" t="str">
        <f t="shared" si="2"/>
        <v/>
      </c>
    </row>
    <row r="96" ht="15.75" customHeight="1">
      <c r="B96" s="39"/>
      <c r="H96" s="39"/>
      <c r="I96" s="40"/>
      <c r="L96" s="33"/>
      <c r="M96" s="38"/>
      <c r="N96" s="38" t="str">
        <f>IF(OR(F96="",G96=""),"",MAX(F96*VLOOKUP(G96,SETUP_RATES!$A:$H,3,FALSE),VLOOKUP(G96,SETUP_RATES!$A:$H,2,FALSE)))</f>
        <v/>
      </c>
      <c r="O96" s="38" t="str">
        <f>IF(OR(J96="",G96=""),"",J96*VLOOKUP(G96,SETUP_RATES!$A:$H,6,FALSE))</f>
        <v/>
      </c>
      <c r="P96" s="38" t="str">
        <f t="shared" si="1"/>
        <v/>
      </c>
      <c r="Q96" s="33" t="str">
        <f t="shared" si="2"/>
        <v/>
      </c>
    </row>
    <row r="97" ht="15.75" customHeight="1">
      <c r="B97" s="39"/>
      <c r="H97" s="39"/>
      <c r="I97" s="40"/>
      <c r="L97" s="33"/>
      <c r="M97" s="38"/>
      <c r="N97" s="38" t="str">
        <f>IF(OR(F97="",G97=""),"",MAX(F97*VLOOKUP(G97,SETUP_RATES!$A:$H,3,FALSE),VLOOKUP(G97,SETUP_RATES!$A:$H,2,FALSE)))</f>
        <v/>
      </c>
      <c r="O97" s="38" t="str">
        <f>IF(OR(J97="",G97=""),"",J97*VLOOKUP(G97,SETUP_RATES!$A:$H,6,FALSE))</f>
        <v/>
      </c>
      <c r="P97" s="38" t="str">
        <f t="shared" si="1"/>
        <v/>
      </c>
      <c r="Q97" s="33" t="str">
        <f t="shared" si="2"/>
        <v/>
      </c>
    </row>
    <row r="98" ht="15.75" customHeight="1">
      <c r="B98" s="39"/>
      <c r="H98" s="39"/>
      <c r="I98" s="40"/>
      <c r="L98" s="33"/>
      <c r="M98" s="38"/>
      <c r="N98" s="38" t="str">
        <f>IF(OR(F98="",G98=""),"",MAX(F98*VLOOKUP(G98,SETUP_RATES!$A:$H,3,FALSE),VLOOKUP(G98,SETUP_RATES!$A:$H,2,FALSE)))</f>
        <v/>
      </c>
      <c r="O98" s="38" t="str">
        <f>IF(OR(J98="",G98=""),"",J98*VLOOKUP(G98,SETUP_RATES!$A:$H,6,FALSE))</f>
        <v/>
      </c>
      <c r="P98" s="38" t="str">
        <f t="shared" si="1"/>
        <v/>
      </c>
      <c r="Q98" s="33" t="str">
        <f t="shared" si="2"/>
        <v/>
      </c>
    </row>
    <row r="99" ht="15.75" customHeight="1">
      <c r="B99" s="39"/>
      <c r="H99" s="39"/>
      <c r="I99" s="40"/>
      <c r="L99" s="33"/>
      <c r="M99" s="38"/>
      <c r="N99" s="38" t="str">
        <f>IF(OR(F99="",G99=""),"",MAX(F99*VLOOKUP(G99,SETUP_RATES!$A:$H,3,FALSE),VLOOKUP(G99,SETUP_RATES!$A:$H,2,FALSE)))</f>
        <v/>
      </c>
      <c r="O99" s="38" t="str">
        <f>IF(OR(J99="",G99=""),"",J99*VLOOKUP(G99,SETUP_RATES!$A:$H,6,FALSE))</f>
        <v/>
      </c>
      <c r="P99" s="38" t="str">
        <f t="shared" si="1"/>
        <v/>
      </c>
      <c r="Q99" s="33" t="str">
        <f t="shared" si="2"/>
        <v/>
      </c>
    </row>
    <row r="100" ht="15.75" customHeight="1">
      <c r="B100" s="39"/>
      <c r="H100" s="39"/>
      <c r="I100" s="40"/>
      <c r="L100" s="33"/>
      <c r="M100" s="38"/>
      <c r="N100" s="38" t="str">
        <f>IF(OR(F100="",G100=""),"",MAX(F100*VLOOKUP(G100,SETUP_RATES!$A:$H,3,FALSE),VLOOKUP(G100,SETUP_RATES!$A:$H,2,FALSE)))</f>
        <v/>
      </c>
      <c r="O100" s="38" t="str">
        <f>IF(OR(J100="",G100=""),"",J100*VLOOKUP(G100,SETUP_RATES!$A:$H,6,FALSE))</f>
        <v/>
      </c>
      <c r="P100" s="38" t="str">
        <f t="shared" si="1"/>
        <v/>
      </c>
      <c r="Q100" s="33" t="str">
        <f t="shared" si="2"/>
        <v/>
      </c>
    </row>
    <row r="101" ht="15.75" customHeight="1">
      <c r="B101" s="39"/>
      <c r="H101" s="39"/>
      <c r="I101" s="40"/>
      <c r="L101" s="33"/>
      <c r="M101" s="38"/>
      <c r="N101" s="38" t="str">
        <f>IF(OR(F101="",G101=""),"",MAX(F101*VLOOKUP(G101,SETUP_RATES!$A:$H,3,FALSE),VLOOKUP(G101,SETUP_RATES!$A:$H,2,FALSE)))</f>
        <v/>
      </c>
      <c r="O101" s="38" t="str">
        <f>IF(OR(J101="",G101=""),"",J101*VLOOKUP(G101,SETUP_RATES!$A:$H,6,FALSE))</f>
        <v/>
      </c>
      <c r="P101" s="38" t="str">
        <f t="shared" si="1"/>
        <v/>
      </c>
      <c r="Q101" s="33" t="str">
        <f t="shared" si="2"/>
        <v/>
      </c>
    </row>
    <row r="102" ht="15.75" customHeight="1">
      <c r="B102" s="39"/>
      <c r="H102" s="39"/>
      <c r="I102" s="40"/>
      <c r="L102" s="33"/>
      <c r="M102" s="38"/>
      <c r="N102" s="38" t="str">
        <f>IF(OR(F102="",G102=""),"",MAX(F102*VLOOKUP(G102,SETUP_RATES!$A:$H,3,FALSE),VLOOKUP(G102,SETUP_RATES!$A:$H,2,FALSE)))</f>
        <v/>
      </c>
      <c r="O102" s="38" t="str">
        <f>IF(OR(J102="",G102=""),"",J102*VLOOKUP(G102,SETUP_RATES!$A:$H,6,FALSE))</f>
        <v/>
      </c>
      <c r="P102" s="38" t="str">
        <f t="shared" si="1"/>
        <v/>
      </c>
      <c r="Q102" s="33" t="str">
        <f t="shared" si="2"/>
        <v/>
      </c>
    </row>
    <row r="103" ht="15.75" customHeight="1">
      <c r="B103" s="39"/>
      <c r="H103" s="39"/>
      <c r="I103" s="40"/>
      <c r="L103" s="33"/>
      <c r="M103" s="38"/>
      <c r="N103" s="38" t="str">
        <f>IF(OR(F103="",G103=""),"",MAX(F103*VLOOKUP(G103,SETUP_RATES!$A:$H,3,FALSE),VLOOKUP(G103,SETUP_RATES!$A:$H,2,FALSE)))</f>
        <v/>
      </c>
      <c r="O103" s="38" t="str">
        <f>IF(OR(J103="",G103=""),"",J103*VLOOKUP(G103,SETUP_RATES!$A:$H,6,FALSE))</f>
        <v/>
      </c>
      <c r="P103" s="38" t="str">
        <f t="shared" si="1"/>
        <v/>
      </c>
      <c r="Q103" s="33" t="str">
        <f t="shared" si="2"/>
        <v/>
      </c>
    </row>
    <row r="104" ht="15.75" customHeight="1">
      <c r="B104" s="39"/>
      <c r="H104" s="39"/>
      <c r="I104" s="40"/>
      <c r="L104" s="33"/>
      <c r="M104" s="38"/>
      <c r="N104" s="38" t="str">
        <f>IF(OR(F104="",G104=""),"",MAX(F104*VLOOKUP(G104,SETUP_RATES!$A:$H,3,FALSE),VLOOKUP(G104,SETUP_RATES!$A:$H,2,FALSE)))</f>
        <v/>
      </c>
      <c r="O104" s="38" t="str">
        <f>IF(OR(J104="",G104=""),"",J104*VLOOKUP(G104,SETUP_RATES!$A:$H,6,FALSE))</f>
        <v/>
      </c>
      <c r="P104" s="38" t="str">
        <f t="shared" si="1"/>
        <v/>
      </c>
      <c r="Q104" s="33" t="str">
        <f t="shared" si="2"/>
        <v/>
      </c>
    </row>
    <row r="105" ht="15.75" customHeight="1">
      <c r="B105" s="39"/>
      <c r="H105" s="39"/>
      <c r="I105" s="40"/>
      <c r="L105" s="33"/>
      <c r="M105" s="38"/>
      <c r="N105" s="38" t="str">
        <f>IF(OR(F105="",G105=""),"",MAX(F105*VLOOKUP(G105,SETUP_RATES!$A:$H,3,FALSE),VLOOKUP(G105,SETUP_RATES!$A:$H,2,FALSE)))</f>
        <v/>
      </c>
      <c r="O105" s="38" t="str">
        <f>IF(OR(J105="",G105=""),"",J105*VLOOKUP(G105,SETUP_RATES!$A:$H,6,FALSE))</f>
        <v/>
      </c>
      <c r="P105" s="38" t="str">
        <f t="shared" si="1"/>
        <v/>
      </c>
      <c r="Q105" s="33" t="str">
        <f t="shared" si="2"/>
        <v/>
      </c>
    </row>
    <row r="106" ht="15.75" customHeight="1">
      <c r="B106" s="39"/>
      <c r="H106" s="39"/>
      <c r="I106" s="40"/>
      <c r="L106" s="33"/>
      <c r="M106" s="38"/>
      <c r="N106" s="38" t="str">
        <f>IF(OR(F106="",G106=""),"",MAX(F106*VLOOKUP(G106,SETUP_RATES!$A:$H,3,FALSE),VLOOKUP(G106,SETUP_RATES!$A:$H,2,FALSE)))</f>
        <v/>
      </c>
      <c r="O106" s="38" t="str">
        <f>IF(OR(J106="",G106=""),"",J106*VLOOKUP(G106,SETUP_RATES!$A:$H,6,FALSE))</f>
        <v/>
      </c>
      <c r="P106" s="38" t="str">
        <f t="shared" si="1"/>
        <v/>
      </c>
      <c r="Q106" s="33" t="str">
        <f t="shared" si="2"/>
        <v/>
      </c>
    </row>
    <row r="107" ht="15.75" customHeight="1">
      <c r="B107" s="39"/>
      <c r="H107" s="39"/>
      <c r="I107" s="40"/>
      <c r="L107" s="33"/>
      <c r="M107" s="38"/>
      <c r="N107" s="38" t="str">
        <f>IF(OR(F107="",G107=""),"",MAX(F107*VLOOKUP(G107,SETUP_RATES!$A:$H,3,FALSE),VLOOKUP(G107,SETUP_RATES!$A:$H,2,FALSE)))</f>
        <v/>
      </c>
      <c r="O107" s="38" t="str">
        <f>IF(OR(J107="",G107=""),"",J107*VLOOKUP(G107,SETUP_RATES!$A:$H,6,FALSE))</f>
        <v/>
      </c>
      <c r="P107" s="38" t="str">
        <f t="shared" si="1"/>
        <v/>
      </c>
      <c r="Q107" s="33" t="str">
        <f t="shared" si="2"/>
        <v/>
      </c>
    </row>
    <row r="108" ht="15.75" customHeight="1">
      <c r="B108" s="39"/>
      <c r="H108" s="39"/>
      <c r="I108" s="40"/>
      <c r="L108" s="33"/>
      <c r="M108" s="38"/>
      <c r="N108" s="38" t="str">
        <f>IF(OR(F108="",G108=""),"",MAX(F108*VLOOKUP(G108,SETUP_RATES!$A:$H,3,FALSE),VLOOKUP(G108,SETUP_RATES!$A:$H,2,FALSE)))</f>
        <v/>
      </c>
      <c r="O108" s="38" t="str">
        <f>IF(OR(J108="",G108=""),"",J108*VLOOKUP(G108,SETUP_RATES!$A:$H,6,FALSE))</f>
        <v/>
      </c>
      <c r="P108" s="38" t="str">
        <f t="shared" si="1"/>
        <v/>
      </c>
      <c r="Q108" s="33" t="str">
        <f t="shared" si="2"/>
        <v/>
      </c>
    </row>
    <row r="109" ht="15.75" customHeight="1">
      <c r="B109" s="39"/>
      <c r="H109" s="39"/>
      <c r="I109" s="40"/>
      <c r="L109" s="33"/>
      <c r="M109" s="38"/>
      <c r="N109" s="38" t="str">
        <f>IF(OR(F109="",G109=""),"",MAX(F109*VLOOKUP(G109,SETUP_RATES!$A:$H,3,FALSE),VLOOKUP(G109,SETUP_RATES!$A:$H,2,FALSE)))</f>
        <v/>
      </c>
      <c r="O109" s="38" t="str">
        <f>IF(OR(J109="",G109=""),"",J109*VLOOKUP(G109,SETUP_RATES!$A:$H,6,FALSE))</f>
        <v/>
      </c>
      <c r="P109" s="38" t="str">
        <f t="shared" si="1"/>
        <v/>
      </c>
      <c r="Q109" s="33" t="str">
        <f t="shared" si="2"/>
        <v/>
      </c>
    </row>
    <row r="110" ht="15.75" customHeight="1">
      <c r="B110" s="39"/>
      <c r="H110" s="39"/>
      <c r="I110" s="40"/>
      <c r="L110" s="33"/>
      <c r="M110" s="38"/>
      <c r="N110" s="38" t="str">
        <f>IF(OR(F110="",G110=""),"",MAX(F110*VLOOKUP(G110,SETUP_RATES!$A:$H,3,FALSE),VLOOKUP(G110,SETUP_RATES!$A:$H,2,FALSE)))</f>
        <v/>
      </c>
      <c r="O110" s="38" t="str">
        <f>IF(OR(J110="",G110=""),"",J110*VLOOKUP(G110,SETUP_RATES!$A:$H,6,FALSE))</f>
        <v/>
      </c>
      <c r="P110" s="38" t="str">
        <f t="shared" si="1"/>
        <v/>
      </c>
      <c r="Q110" s="33" t="str">
        <f t="shared" si="2"/>
        <v/>
      </c>
    </row>
    <row r="111" ht="15.75" customHeight="1">
      <c r="B111" s="39"/>
      <c r="H111" s="39"/>
      <c r="I111" s="40"/>
      <c r="L111" s="33"/>
      <c r="M111" s="38"/>
      <c r="N111" s="38" t="str">
        <f>IF(OR(F111="",G111=""),"",MAX(F111*VLOOKUP(G111,SETUP_RATES!$A:$H,3,FALSE),VLOOKUP(G111,SETUP_RATES!$A:$H,2,FALSE)))</f>
        <v/>
      </c>
      <c r="O111" s="38" t="str">
        <f>IF(OR(J111="",G111=""),"",J111*VLOOKUP(G111,SETUP_RATES!$A:$H,6,FALSE))</f>
        <v/>
      </c>
      <c r="P111" s="38" t="str">
        <f t="shared" si="1"/>
        <v/>
      </c>
      <c r="Q111" s="33" t="str">
        <f t="shared" si="2"/>
        <v/>
      </c>
    </row>
    <row r="112" ht="15.75" customHeight="1">
      <c r="B112" s="39"/>
      <c r="H112" s="39"/>
      <c r="I112" s="40"/>
      <c r="L112" s="33"/>
      <c r="M112" s="38"/>
      <c r="N112" s="38" t="str">
        <f>IF(OR(F112="",G112=""),"",MAX(F112*VLOOKUP(G112,SETUP_RATES!$A:$H,3,FALSE),VLOOKUP(G112,SETUP_RATES!$A:$H,2,FALSE)))</f>
        <v/>
      </c>
      <c r="O112" s="38" t="str">
        <f>IF(OR(J112="",G112=""),"",J112*VLOOKUP(G112,SETUP_RATES!$A:$H,6,FALSE))</f>
        <v/>
      </c>
      <c r="P112" s="38" t="str">
        <f t="shared" si="1"/>
        <v/>
      </c>
      <c r="Q112" s="33" t="str">
        <f t="shared" si="2"/>
        <v/>
      </c>
    </row>
    <row r="113" ht="15.75" customHeight="1">
      <c r="B113" s="39"/>
      <c r="H113" s="39"/>
      <c r="I113" s="40"/>
      <c r="L113" s="33"/>
      <c r="M113" s="38"/>
      <c r="N113" s="38" t="str">
        <f>IF(OR(F113="",G113=""),"",MAX(F113*VLOOKUP(G113,SETUP_RATES!$A:$H,3,FALSE),VLOOKUP(G113,SETUP_RATES!$A:$H,2,FALSE)))</f>
        <v/>
      </c>
      <c r="O113" s="38" t="str">
        <f>IF(OR(J113="",G113=""),"",J113*VLOOKUP(G113,SETUP_RATES!$A:$H,6,FALSE))</f>
        <v/>
      </c>
      <c r="P113" s="38" t="str">
        <f t="shared" si="1"/>
        <v/>
      </c>
      <c r="Q113" s="33" t="str">
        <f t="shared" si="2"/>
        <v/>
      </c>
    </row>
    <row r="114" ht="15.75" customHeight="1">
      <c r="B114" s="39"/>
      <c r="H114" s="39"/>
      <c r="I114" s="40"/>
      <c r="L114" s="33"/>
      <c r="M114" s="38"/>
      <c r="N114" s="38" t="str">
        <f>IF(OR(F114="",G114=""),"",MAX(F114*VLOOKUP(G114,SETUP_RATES!$A:$H,3,FALSE),VLOOKUP(G114,SETUP_RATES!$A:$H,2,FALSE)))</f>
        <v/>
      </c>
      <c r="O114" s="38" t="str">
        <f>IF(OR(J114="",G114=""),"",J114*VLOOKUP(G114,SETUP_RATES!$A:$H,6,FALSE))</f>
        <v/>
      </c>
      <c r="P114" s="38" t="str">
        <f t="shared" si="1"/>
        <v/>
      </c>
      <c r="Q114" s="33" t="str">
        <f t="shared" si="2"/>
        <v/>
      </c>
    </row>
    <row r="115" ht="15.75" customHeight="1">
      <c r="B115" s="39"/>
      <c r="H115" s="39"/>
      <c r="I115" s="40"/>
      <c r="L115" s="33"/>
      <c r="M115" s="38"/>
      <c r="N115" s="38" t="str">
        <f>IF(OR(F115="",G115=""),"",MAX(F115*VLOOKUP(G115,SETUP_RATES!$A:$H,3,FALSE),VLOOKUP(G115,SETUP_RATES!$A:$H,2,FALSE)))</f>
        <v/>
      </c>
      <c r="O115" s="38" t="str">
        <f>IF(OR(J115="",G115=""),"",J115*VLOOKUP(G115,SETUP_RATES!$A:$H,6,FALSE))</f>
        <v/>
      </c>
      <c r="P115" s="38" t="str">
        <f t="shared" si="1"/>
        <v/>
      </c>
      <c r="Q115" s="33" t="str">
        <f t="shared" si="2"/>
        <v/>
      </c>
    </row>
    <row r="116" ht="15.75" customHeight="1">
      <c r="B116" s="39"/>
      <c r="H116" s="39"/>
      <c r="I116" s="40"/>
      <c r="L116" s="33"/>
      <c r="M116" s="38"/>
      <c r="N116" s="38" t="str">
        <f>IF(OR(F116="",G116=""),"",MAX(F116*VLOOKUP(G116,SETUP_RATES!$A:$H,3,FALSE),VLOOKUP(G116,SETUP_RATES!$A:$H,2,FALSE)))</f>
        <v/>
      </c>
      <c r="O116" s="38" t="str">
        <f>IF(OR(J116="",G116=""),"",J116*VLOOKUP(G116,SETUP_RATES!$A:$H,6,FALSE))</f>
        <v/>
      </c>
      <c r="P116" s="38" t="str">
        <f t="shared" si="1"/>
        <v/>
      </c>
      <c r="Q116" s="33" t="str">
        <f t="shared" si="2"/>
        <v/>
      </c>
    </row>
    <row r="117" ht="15.75" customHeight="1">
      <c r="B117" s="39"/>
      <c r="H117" s="39"/>
      <c r="I117" s="40"/>
      <c r="L117" s="33"/>
      <c r="M117" s="38"/>
      <c r="N117" s="38" t="str">
        <f>IF(OR(F117="",G117=""),"",MAX(F117*VLOOKUP(G117,SETUP_RATES!$A:$H,3,FALSE),VLOOKUP(G117,SETUP_RATES!$A:$H,2,FALSE)))</f>
        <v/>
      </c>
      <c r="O117" s="38" t="str">
        <f>IF(OR(J117="",G117=""),"",J117*VLOOKUP(G117,SETUP_RATES!$A:$H,6,FALSE))</f>
        <v/>
      </c>
      <c r="P117" s="38" t="str">
        <f t="shared" si="1"/>
        <v/>
      </c>
      <c r="Q117" s="33" t="str">
        <f t="shared" si="2"/>
        <v/>
      </c>
    </row>
    <row r="118" ht="15.75" customHeight="1">
      <c r="B118" s="39"/>
      <c r="H118" s="39"/>
      <c r="I118" s="40"/>
      <c r="L118" s="33"/>
      <c r="M118" s="38"/>
      <c r="N118" s="38" t="str">
        <f>IF(OR(F118="",G118=""),"",MAX(F118*VLOOKUP(G118,SETUP_RATES!$A:$H,3,FALSE),VLOOKUP(G118,SETUP_RATES!$A:$H,2,FALSE)))</f>
        <v/>
      </c>
      <c r="O118" s="38" t="str">
        <f>IF(OR(J118="",G118=""),"",J118*VLOOKUP(G118,SETUP_RATES!$A:$H,6,FALSE))</f>
        <v/>
      </c>
      <c r="P118" s="38" t="str">
        <f t="shared" si="1"/>
        <v/>
      </c>
      <c r="Q118" s="33" t="str">
        <f t="shared" si="2"/>
        <v/>
      </c>
    </row>
    <row r="119" ht="15.75" customHeight="1">
      <c r="B119" s="39"/>
      <c r="H119" s="39"/>
      <c r="I119" s="40"/>
      <c r="L119" s="33"/>
      <c r="M119" s="38"/>
      <c r="N119" s="38" t="str">
        <f>IF(OR(F119="",G119=""),"",MAX(F119*VLOOKUP(G119,SETUP_RATES!$A:$H,3,FALSE),VLOOKUP(G119,SETUP_RATES!$A:$H,2,FALSE)))</f>
        <v/>
      </c>
      <c r="O119" s="38" t="str">
        <f>IF(OR(J119="",G119=""),"",J119*VLOOKUP(G119,SETUP_RATES!$A:$H,6,FALSE))</f>
        <v/>
      </c>
      <c r="P119" s="38" t="str">
        <f t="shared" si="1"/>
        <v/>
      </c>
      <c r="Q119" s="33" t="str">
        <f t="shared" si="2"/>
        <v/>
      </c>
    </row>
    <row r="120" ht="15.75" customHeight="1">
      <c r="B120" s="39"/>
      <c r="H120" s="39"/>
      <c r="I120" s="40"/>
      <c r="L120" s="33"/>
      <c r="M120" s="38"/>
      <c r="N120" s="38" t="str">
        <f>IF(OR(F120="",G120=""),"",MAX(F120*VLOOKUP(G120,SETUP_RATES!$A:$H,3,FALSE),VLOOKUP(G120,SETUP_RATES!$A:$H,2,FALSE)))</f>
        <v/>
      </c>
      <c r="O120" s="38" t="str">
        <f>IF(OR(J120="",G120=""),"",J120*VLOOKUP(G120,SETUP_RATES!$A:$H,6,FALSE))</f>
        <v/>
      </c>
      <c r="P120" s="38" t="str">
        <f t="shared" si="1"/>
        <v/>
      </c>
      <c r="Q120" s="33" t="str">
        <f t="shared" si="2"/>
        <v/>
      </c>
    </row>
    <row r="121" ht="15.75" customHeight="1">
      <c r="B121" s="39"/>
      <c r="H121" s="39"/>
      <c r="I121" s="40"/>
      <c r="L121" s="33"/>
      <c r="M121" s="38"/>
      <c r="N121" s="38" t="str">
        <f>IF(OR(F121="",G121=""),"",MAX(F121*VLOOKUP(G121,SETUP_RATES!$A:$H,3,FALSE),VLOOKUP(G121,SETUP_RATES!$A:$H,2,FALSE)))</f>
        <v/>
      </c>
      <c r="O121" s="38" t="str">
        <f>IF(OR(J121="",G121=""),"",J121*VLOOKUP(G121,SETUP_RATES!$A:$H,6,FALSE))</f>
        <v/>
      </c>
      <c r="P121" s="38" t="str">
        <f t="shared" si="1"/>
        <v/>
      </c>
      <c r="Q121" s="33" t="str">
        <f t="shared" si="2"/>
        <v/>
      </c>
    </row>
    <row r="122" ht="15.75" customHeight="1">
      <c r="B122" s="39"/>
      <c r="H122" s="39"/>
      <c r="I122" s="40"/>
      <c r="L122" s="33"/>
      <c r="M122" s="38"/>
      <c r="N122" s="38" t="str">
        <f>IF(OR(F122="",G122=""),"",MAX(F122*VLOOKUP(G122,SETUP_RATES!$A:$H,3,FALSE),VLOOKUP(G122,SETUP_RATES!$A:$H,2,FALSE)))</f>
        <v/>
      </c>
      <c r="O122" s="38" t="str">
        <f>IF(OR(J122="",G122=""),"",J122*VLOOKUP(G122,SETUP_RATES!$A:$H,6,FALSE))</f>
        <v/>
      </c>
      <c r="P122" s="38" t="str">
        <f t="shared" si="1"/>
        <v/>
      </c>
      <c r="Q122" s="33" t="str">
        <f t="shared" si="2"/>
        <v/>
      </c>
    </row>
    <row r="123" ht="15.75" customHeight="1">
      <c r="B123" s="39"/>
      <c r="H123" s="39"/>
      <c r="I123" s="40"/>
      <c r="L123" s="33"/>
      <c r="M123" s="38"/>
      <c r="N123" s="38" t="str">
        <f>IF(OR(F123="",G123=""),"",MAX(F123*VLOOKUP(G123,SETUP_RATES!$A:$H,3,FALSE),VLOOKUP(G123,SETUP_RATES!$A:$H,2,FALSE)))</f>
        <v/>
      </c>
      <c r="O123" s="38" t="str">
        <f>IF(OR(J123="",G123=""),"",J123*VLOOKUP(G123,SETUP_RATES!$A:$H,6,FALSE))</f>
        <v/>
      </c>
      <c r="P123" s="38" t="str">
        <f t="shared" si="1"/>
        <v/>
      </c>
      <c r="Q123" s="33" t="str">
        <f t="shared" si="2"/>
        <v/>
      </c>
    </row>
    <row r="124" ht="15.75" customHeight="1">
      <c r="B124" s="39"/>
      <c r="H124" s="39"/>
      <c r="I124" s="40"/>
      <c r="L124" s="33"/>
      <c r="M124" s="38"/>
      <c r="N124" s="38" t="str">
        <f>IF(OR(F124="",G124=""),"",MAX(F124*VLOOKUP(G124,SETUP_RATES!$A:$H,3,FALSE),VLOOKUP(G124,SETUP_RATES!$A:$H,2,FALSE)))</f>
        <v/>
      </c>
      <c r="O124" s="38" t="str">
        <f>IF(OR(J124="",G124=""),"",J124*VLOOKUP(G124,SETUP_RATES!$A:$H,6,FALSE))</f>
        <v/>
      </c>
      <c r="P124" s="38" t="str">
        <f t="shared" si="1"/>
        <v/>
      </c>
      <c r="Q124" s="33" t="str">
        <f t="shared" si="2"/>
        <v/>
      </c>
    </row>
    <row r="125" ht="15.75" customHeight="1">
      <c r="B125" s="39"/>
      <c r="H125" s="39"/>
      <c r="I125" s="40"/>
      <c r="L125" s="33"/>
      <c r="M125" s="38"/>
      <c r="N125" s="38" t="str">
        <f>IF(OR(F125="",G125=""),"",MAX(F125*VLOOKUP(G125,SETUP_RATES!$A:$H,3,FALSE),VLOOKUP(G125,SETUP_RATES!$A:$H,2,FALSE)))</f>
        <v/>
      </c>
      <c r="O125" s="38" t="str">
        <f>IF(OR(J125="",G125=""),"",J125*VLOOKUP(G125,SETUP_RATES!$A:$H,6,FALSE))</f>
        <v/>
      </c>
      <c r="P125" s="38" t="str">
        <f t="shared" si="1"/>
        <v/>
      </c>
      <c r="Q125" s="33" t="str">
        <f t="shared" si="2"/>
        <v/>
      </c>
    </row>
    <row r="126" ht="15.75" customHeight="1">
      <c r="B126" s="39"/>
      <c r="H126" s="39"/>
      <c r="I126" s="40"/>
      <c r="L126" s="33"/>
      <c r="M126" s="38"/>
      <c r="N126" s="38" t="str">
        <f>IF(OR(F126="",G126=""),"",MAX(F126*VLOOKUP(G126,SETUP_RATES!$A:$H,3,FALSE),VLOOKUP(G126,SETUP_RATES!$A:$H,2,FALSE)))</f>
        <v/>
      </c>
      <c r="O126" s="38" t="str">
        <f>IF(OR(J126="",G126=""),"",J126*VLOOKUP(G126,SETUP_RATES!$A:$H,6,FALSE))</f>
        <v/>
      </c>
      <c r="P126" s="38" t="str">
        <f t="shared" si="1"/>
        <v/>
      </c>
      <c r="Q126" s="33" t="str">
        <f t="shared" si="2"/>
        <v/>
      </c>
    </row>
    <row r="127" ht="15.75" customHeight="1">
      <c r="B127" s="39"/>
      <c r="H127" s="39"/>
      <c r="I127" s="40"/>
      <c r="L127" s="33"/>
      <c r="M127" s="38"/>
      <c r="N127" s="38" t="str">
        <f>IF(OR(F127="",G127=""),"",MAX(F127*VLOOKUP(G127,SETUP_RATES!$A:$H,3,FALSE),VLOOKUP(G127,SETUP_RATES!$A:$H,2,FALSE)))</f>
        <v/>
      </c>
      <c r="O127" s="38" t="str">
        <f>IF(OR(J127="",G127=""),"",J127*VLOOKUP(G127,SETUP_RATES!$A:$H,6,FALSE))</f>
        <v/>
      </c>
      <c r="P127" s="38" t="str">
        <f t="shared" si="1"/>
        <v/>
      </c>
      <c r="Q127" s="33" t="str">
        <f t="shared" si="2"/>
        <v/>
      </c>
    </row>
    <row r="128" ht="15.75" customHeight="1">
      <c r="B128" s="39"/>
      <c r="H128" s="39"/>
      <c r="I128" s="40"/>
      <c r="L128" s="33"/>
      <c r="M128" s="38"/>
      <c r="N128" s="38" t="str">
        <f>IF(OR(F128="",G128=""),"",MAX(F128*VLOOKUP(G128,SETUP_RATES!$A:$H,3,FALSE),VLOOKUP(G128,SETUP_RATES!$A:$H,2,FALSE)))</f>
        <v/>
      </c>
      <c r="O128" s="38" t="str">
        <f>IF(OR(J128="",G128=""),"",J128*VLOOKUP(G128,SETUP_RATES!$A:$H,6,FALSE))</f>
        <v/>
      </c>
      <c r="P128" s="38" t="str">
        <f t="shared" si="1"/>
        <v/>
      </c>
      <c r="Q128" s="33" t="str">
        <f t="shared" si="2"/>
        <v/>
      </c>
    </row>
    <row r="129" ht="15.75" customHeight="1">
      <c r="B129" s="39"/>
      <c r="H129" s="39"/>
      <c r="I129" s="40"/>
      <c r="L129" s="33"/>
      <c r="M129" s="38"/>
      <c r="N129" s="38" t="str">
        <f>IF(OR(F129="",G129=""),"",MAX(F129*VLOOKUP(G129,SETUP_RATES!$A:$H,3,FALSE),VLOOKUP(G129,SETUP_RATES!$A:$H,2,FALSE)))</f>
        <v/>
      </c>
      <c r="O129" s="38" t="str">
        <f>IF(OR(J129="",G129=""),"",J129*VLOOKUP(G129,SETUP_RATES!$A:$H,6,FALSE))</f>
        <v/>
      </c>
      <c r="P129" s="38" t="str">
        <f t="shared" si="1"/>
        <v/>
      </c>
      <c r="Q129" s="33" t="str">
        <f t="shared" si="2"/>
        <v/>
      </c>
    </row>
    <row r="130" ht="15.75" customHeight="1">
      <c r="B130" s="39"/>
      <c r="H130" s="39"/>
      <c r="I130" s="40"/>
      <c r="L130" s="33"/>
      <c r="M130" s="38"/>
      <c r="N130" s="38" t="str">
        <f>IF(OR(F130="",G130=""),"",MAX(F130*VLOOKUP(G130,SETUP_RATES!$A:$H,3,FALSE),VLOOKUP(G130,SETUP_RATES!$A:$H,2,FALSE)))</f>
        <v/>
      </c>
      <c r="O130" s="38" t="str">
        <f>IF(OR(J130="",G130=""),"",J130*VLOOKUP(G130,SETUP_RATES!$A:$H,6,FALSE))</f>
        <v/>
      </c>
      <c r="P130" s="38" t="str">
        <f t="shared" si="1"/>
        <v/>
      </c>
      <c r="Q130" s="33" t="str">
        <f t="shared" si="2"/>
        <v/>
      </c>
    </row>
    <row r="131" ht="15.75" customHeight="1">
      <c r="B131" s="39"/>
      <c r="H131" s="39"/>
      <c r="I131" s="40"/>
      <c r="L131" s="33"/>
      <c r="M131" s="38"/>
      <c r="N131" s="38" t="str">
        <f>IF(OR(F131="",G131=""),"",MAX(F131*VLOOKUP(G131,SETUP_RATES!$A:$H,3,FALSE),VLOOKUP(G131,SETUP_RATES!$A:$H,2,FALSE)))</f>
        <v/>
      </c>
      <c r="O131" s="38" t="str">
        <f>IF(OR(J131="",G131=""),"",J131*VLOOKUP(G131,SETUP_RATES!$A:$H,6,FALSE))</f>
        <v/>
      </c>
      <c r="P131" s="38" t="str">
        <f t="shared" si="1"/>
        <v/>
      </c>
      <c r="Q131" s="33" t="str">
        <f t="shared" si="2"/>
        <v/>
      </c>
    </row>
    <row r="132" ht="15.75" customHeight="1">
      <c r="B132" s="39"/>
      <c r="H132" s="39"/>
      <c r="I132" s="40"/>
      <c r="L132" s="33"/>
      <c r="M132" s="38"/>
      <c r="N132" s="38" t="str">
        <f>IF(OR(F132="",G132=""),"",MAX(F132*VLOOKUP(G132,SETUP_RATES!$A:$H,3,FALSE),VLOOKUP(G132,SETUP_RATES!$A:$H,2,FALSE)))</f>
        <v/>
      </c>
      <c r="O132" s="38" t="str">
        <f>IF(OR(J132="",G132=""),"",J132*VLOOKUP(G132,SETUP_RATES!$A:$H,6,FALSE))</f>
        <v/>
      </c>
      <c r="P132" s="38" t="str">
        <f t="shared" si="1"/>
        <v/>
      </c>
      <c r="Q132" s="33" t="str">
        <f t="shared" si="2"/>
        <v/>
      </c>
    </row>
    <row r="133" ht="15.75" customHeight="1">
      <c r="B133" s="39"/>
      <c r="H133" s="39"/>
      <c r="I133" s="40"/>
      <c r="L133" s="33"/>
      <c r="M133" s="38"/>
      <c r="N133" s="38" t="str">
        <f>IF(OR(F133="",G133=""),"",MAX(F133*VLOOKUP(G133,SETUP_RATES!$A:$H,3,FALSE),VLOOKUP(G133,SETUP_RATES!$A:$H,2,FALSE)))</f>
        <v/>
      </c>
      <c r="O133" s="38" t="str">
        <f>IF(OR(J133="",G133=""),"",J133*VLOOKUP(G133,SETUP_RATES!$A:$H,6,FALSE))</f>
        <v/>
      </c>
      <c r="P133" s="38" t="str">
        <f t="shared" si="1"/>
        <v/>
      </c>
      <c r="Q133" s="33" t="str">
        <f t="shared" si="2"/>
        <v/>
      </c>
    </row>
    <row r="134" ht="15.75" customHeight="1">
      <c r="B134" s="39"/>
      <c r="H134" s="39"/>
      <c r="I134" s="40"/>
      <c r="L134" s="33"/>
      <c r="M134" s="38"/>
      <c r="N134" s="38" t="str">
        <f>IF(OR(F134="",G134=""),"",MAX(F134*VLOOKUP(G134,SETUP_RATES!$A:$H,3,FALSE),VLOOKUP(G134,SETUP_RATES!$A:$H,2,FALSE)))</f>
        <v/>
      </c>
      <c r="O134" s="38" t="str">
        <f>IF(OR(J134="",G134=""),"",J134*VLOOKUP(G134,SETUP_RATES!$A:$H,6,FALSE))</f>
        <v/>
      </c>
      <c r="P134" s="38" t="str">
        <f t="shared" si="1"/>
        <v/>
      </c>
      <c r="Q134" s="33" t="str">
        <f t="shared" si="2"/>
        <v/>
      </c>
    </row>
    <row r="135" ht="15.75" customHeight="1">
      <c r="B135" s="39"/>
      <c r="H135" s="39"/>
      <c r="I135" s="40"/>
      <c r="L135" s="33"/>
      <c r="M135" s="38"/>
      <c r="N135" s="38" t="str">
        <f>IF(OR(F135="",G135=""),"",MAX(F135*VLOOKUP(G135,SETUP_RATES!$A:$H,3,FALSE),VLOOKUP(G135,SETUP_RATES!$A:$H,2,FALSE)))</f>
        <v/>
      </c>
      <c r="O135" s="38" t="str">
        <f>IF(OR(J135="",G135=""),"",J135*VLOOKUP(G135,SETUP_RATES!$A:$H,6,FALSE))</f>
        <v/>
      </c>
      <c r="P135" s="38" t="str">
        <f t="shared" si="1"/>
        <v/>
      </c>
      <c r="Q135" s="33" t="str">
        <f t="shared" si="2"/>
        <v/>
      </c>
    </row>
    <row r="136" ht="15.75" customHeight="1">
      <c r="B136" s="39"/>
      <c r="H136" s="39"/>
      <c r="I136" s="40"/>
      <c r="L136" s="33"/>
      <c r="M136" s="38"/>
      <c r="N136" s="38" t="str">
        <f>IF(OR(F136="",G136=""),"",MAX(F136*VLOOKUP(G136,SETUP_RATES!$A:$H,3,FALSE),VLOOKUP(G136,SETUP_RATES!$A:$H,2,FALSE)))</f>
        <v/>
      </c>
      <c r="O136" s="38" t="str">
        <f>IF(OR(J136="",G136=""),"",J136*VLOOKUP(G136,SETUP_RATES!$A:$H,6,FALSE))</f>
        <v/>
      </c>
      <c r="P136" s="38" t="str">
        <f t="shared" si="1"/>
        <v/>
      </c>
      <c r="Q136" s="33" t="str">
        <f t="shared" si="2"/>
        <v/>
      </c>
    </row>
    <row r="137" ht="15.75" customHeight="1">
      <c r="B137" s="39"/>
      <c r="H137" s="39"/>
      <c r="I137" s="40"/>
      <c r="L137" s="33"/>
      <c r="M137" s="38"/>
      <c r="N137" s="38" t="str">
        <f>IF(OR(F137="",G137=""),"",MAX(F137*VLOOKUP(G137,SETUP_RATES!$A:$H,3,FALSE),VLOOKUP(G137,SETUP_RATES!$A:$H,2,FALSE)))</f>
        <v/>
      </c>
      <c r="O137" s="38" t="str">
        <f>IF(OR(J137="",G137=""),"",J137*VLOOKUP(G137,SETUP_RATES!$A:$H,6,FALSE))</f>
        <v/>
      </c>
      <c r="P137" s="38" t="str">
        <f t="shared" si="1"/>
        <v/>
      </c>
      <c r="Q137" s="33" t="str">
        <f t="shared" si="2"/>
        <v/>
      </c>
    </row>
    <row r="138" ht="15.75" customHeight="1">
      <c r="B138" s="39"/>
      <c r="H138" s="39"/>
      <c r="I138" s="40"/>
      <c r="L138" s="33"/>
      <c r="M138" s="38"/>
      <c r="N138" s="38" t="str">
        <f>IF(OR(F138="",G138=""),"",MAX(F138*VLOOKUP(G138,SETUP_RATES!$A:$H,3,FALSE),VLOOKUP(G138,SETUP_RATES!$A:$H,2,FALSE)))</f>
        <v/>
      </c>
      <c r="O138" s="38" t="str">
        <f>IF(OR(J138="",G138=""),"",J138*VLOOKUP(G138,SETUP_RATES!$A:$H,6,FALSE))</f>
        <v/>
      </c>
      <c r="P138" s="38" t="str">
        <f t="shared" si="1"/>
        <v/>
      </c>
      <c r="Q138" s="33" t="str">
        <f t="shared" si="2"/>
        <v/>
      </c>
    </row>
    <row r="139" ht="15.75" customHeight="1">
      <c r="B139" s="39"/>
      <c r="H139" s="39"/>
      <c r="I139" s="40"/>
      <c r="L139" s="33"/>
      <c r="M139" s="38"/>
      <c r="N139" s="38" t="str">
        <f>IF(OR(F139="",G139=""),"",MAX(F139*VLOOKUP(G139,SETUP_RATES!$A:$H,3,FALSE),VLOOKUP(G139,SETUP_RATES!$A:$H,2,FALSE)))</f>
        <v/>
      </c>
      <c r="O139" s="38" t="str">
        <f>IF(OR(J139="",G139=""),"",J139*VLOOKUP(G139,SETUP_RATES!$A:$H,6,FALSE))</f>
        <v/>
      </c>
      <c r="P139" s="38" t="str">
        <f t="shared" si="1"/>
        <v/>
      </c>
      <c r="Q139" s="33" t="str">
        <f t="shared" si="2"/>
        <v/>
      </c>
    </row>
    <row r="140" ht="15.75" customHeight="1">
      <c r="B140" s="39"/>
      <c r="H140" s="39"/>
      <c r="I140" s="40"/>
      <c r="L140" s="33"/>
      <c r="M140" s="38"/>
      <c r="N140" s="38" t="str">
        <f>IF(OR(F140="",G140=""),"",MAX(F140*VLOOKUP(G140,SETUP_RATES!$A:$H,3,FALSE),VLOOKUP(G140,SETUP_RATES!$A:$H,2,FALSE)))</f>
        <v/>
      </c>
      <c r="O140" s="38" t="str">
        <f>IF(OR(J140="",G140=""),"",J140*VLOOKUP(G140,SETUP_RATES!$A:$H,6,FALSE))</f>
        <v/>
      </c>
      <c r="P140" s="38" t="str">
        <f t="shared" si="1"/>
        <v/>
      </c>
      <c r="Q140" s="33" t="str">
        <f t="shared" si="2"/>
        <v/>
      </c>
    </row>
    <row r="141" ht="15.75" customHeight="1">
      <c r="B141" s="39"/>
      <c r="H141" s="39"/>
      <c r="I141" s="40"/>
      <c r="L141" s="33"/>
      <c r="M141" s="38"/>
      <c r="N141" s="38" t="str">
        <f>IF(OR(F141="",G141=""),"",MAX(F141*VLOOKUP(G141,SETUP_RATES!$A:$H,3,FALSE),VLOOKUP(G141,SETUP_RATES!$A:$H,2,FALSE)))</f>
        <v/>
      </c>
      <c r="O141" s="38" t="str">
        <f>IF(OR(J141="",G141=""),"",J141*VLOOKUP(G141,SETUP_RATES!$A:$H,6,FALSE))</f>
        <v/>
      </c>
      <c r="P141" s="38" t="str">
        <f t="shared" si="1"/>
        <v/>
      </c>
      <c r="Q141" s="33" t="str">
        <f t="shared" si="2"/>
        <v/>
      </c>
    </row>
    <row r="142" ht="15.75" customHeight="1">
      <c r="B142" s="39"/>
      <c r="H142" s="39"/>
      <c r="I142" s="40"/>
      <c r="L142" s="33"/>
      <c r="M142" s="38"/>
      <c r="N142" s="38" t="str">
        <f>IF(OR(F142="",G142=""),"",MAX(F142*VLOOKUP(G142,SETUP_RATES!$A:$H,3,FALSE),VLOOKUP(G142,SETUP_RATES!$A:$H,2,FALSE)))</f>
        <v/>
      </c>
      <c r="O142" s="38" t="str">
        <f>IF(OR(J142="",G142=""),"",J142*VLOOKUP(G142,SETUP_RATES!$A:$H,6,FALSE))</f>
        <v/>
      </c>
      <c r="P142" s="38" t="str">
        <f t="shared" si="1"/>
        <v/>
      </c>
      <c r="Q142" s="33" t="str">
        <f t="shared" si="2"/>
        <v/>
      </c>
    </row>
    <row r="143" ht="15.75" customHeight="1">
      <c r="B143" s="39"/>
      <c r="H143" s="39"/>
      <c r="I143" s="40"/>
      <c r="L143" s="33"/>
      <c r="M143" s="38"/>
      <c r="N143" s="38" t="str">
        <f>IF(OR(F143="",G143=""),"",MAX(F143*VLOOKUP(G143,SETUP_RATES!$A:$H,3,FALSE),VLOOKUP(G143,SETUP_RATES!$A:$H,2,FALSE)))</f>
        <v/>
      </c>
      <c r="O143" s="38" t="str">
        <f>IF(OR(J143="",G143=""),"",J143*VLOOKUP(G143,SETUP_RATES!$A:$H,6,FALSE))</f>
        <v/>
      </c>
      <c r="P143" s="38" t="str">
        <f t="shared" si="1"/>
        <v/>
      </c>
      <c r="Q143" s="33" t="str">
        <f t="shared" si="2"/>
        <v/>
      </c>
    </row>
    <row r="144" ht="15.75" customHeight="1">
      <c r="B144" s="39"/>
      <c r="H144" s="39"/>
      <c r="I144" s="40"/>
      <c r="L144" s="33"/>
      <c r="M144" s="38"/>
      <c r="N144" s="38" t="str">
        <f>IF(OR(F144="",G144=""),"",MAX(F144*VLOOKUP(G144,SETUP_RATES!$A:$H,3,FALSE),VLOOKUP(G144,SETUP_RATES!$A:$H,2,FALSE)))</f>
        <v/>
      </c>
      <c r="O144" s="38" t="str">
        <f>IF(OR(J144="",G144=""),"",J144*VLOOKUP(G144,SETUP_RATES!$A:$H,6,FALSE))</f>
        <v/>
      </c>
      <c r="P144" s="38" t="str">
        <f t="shared" si="1"/>
        <v/>
      </c>
      <c r="Q144" s="33" t="str">
        <f t="shared" si="2"/>
        <v/>
      </c>
    </row>
    <row r="145" ht="15.75" customHeight="1">
      <c r="B145" s="39"/>
      <c r="H145" s="39"/>
      <c r="I145" s="40"/>
      <c r="L145" s="33"/>
      <c r="M145" s="38"/>
      <c r="N145" s="38" t="str">
        <f>IF(OR(F145="",G145=""),"",MAX(F145*VLOOKUP(G145,SETUP_RATES!$A:$H,3,FALSE),VLOOKUP(G145,SETUP_RATES!$A:$H,2,FALSE)))</f>
        <v/>
      </c>
      <c r="O145" s="38" t="str">
        <f>IF(OR(J145="",G145=""),"",J145*VLOOKUP(G145,SETUP_RATES!$A:$H,6,FALSE))</f>
        <v/>
      </c>
      <c r="P145" s="38" t="str">
        <f t="shared" si="1"/>
        <v/>
      </c>
      <c r="Q145" s="33" t="str">
        <f t="shared" si="2"/>
        <v/>
      </c>
    </row>
    <row r="146" ht="15.75" customHeight="1">
      <c r="B146" s="39"/>
      <c r="H146" s="39"/>
      <c r="I146" s="40"/>
      <c r="L146" s="33"/>
      <c r="M146" s="38"/>
      <c r="N146" s="38" t="str">
        <f>IF(OR(F146="",G146=""),"",MAX(F146*VLOOKUP(G146,SETUP_RATES!$A:$H,3,FALSE),VLOOKUP(G146,SETUP_RATES!$A:$H,2,FALSE)))</f>
        <v/>
      </c>
      <c r="O146" s="38" t="str">
        <f>IF(OR(J146="",G146=""),"",J146*VLOOKUP(G146,SETUP_RATES!$A:$H,6,FALSE))</f>
        <v/>
      </c>
      <c r="P146" s="38" t="str">
        <f t="shared" si="1"/>
        <v/>
      </c>
      <c r="Q146" s="33" t="str">
        <f t="shared" si="2"/>
        <v/>
      </c>
    </row>
    <row r="147" ht="15.75" customHeight="1">
      <c r="B147" s="39"/>
      <c r="H147" s="39"/>
      <c r="I147" s="40"/>
      <c r="L147" s="33"/>
      <c r="M147" s="38"/>
      <c r="N147" s="38" t="str">
        <f>IF(OR(F147="",G147=""),"",MAX(F147*VLOOKUP(G147,SETUP_RATES!$A:$H,3,FALSE),VLOOKUP(G147,SETUP_RATES!$A:$H,2,FALSE)))</f>
        <v/>
      </c>
      <c r="O147" s="38" t="str">
        <f>IF(OR(J147="",G147=""),"",J147*VLOOKUP(G147,SETUP_RATES!$A:$H,6,FALSE))</f>
        <v/>
      </c>
      <c r="P147" s="38" t="str">
        <f t="shared" si="1"/>
        <v/>
      </c>
      <c r="Q147" s="33" t="str">
        <f t="shared" si="2"/>
        <v/>
      </c>
    </row>
    <row r="148" ht="15.75" customHeight="1">
      <c r="B148" s="39"/>
      <c r="H148" s="39"/>
      <c r="I148" s="40"/>
      <c r="L148" s="33"/>
      <c r="M148" s="38"/>
      <c r="N148" s="38" t="str">
        <f>IF(OR(F148="",G148=""),"",MAX(F148*VLOOKUP(G148,SETUP_RATES!$A:$H,3,FALSE),VLOOKUP(G148,SETUP_RATES!$A:$H,2,FALSE)))</f>
        <v/>
      </c>
      <c r="O148" s="38" t="str">
        <f>IF(OR(J148="",G148=""),"",J148*VLOOKUP(G148,SETUP_RATES!$A:$H,6,FALSE))</f>
        <v/>
      </c>
      <c r="P148" s="38" t="str">
        <f t="shared" si="1"/>
        <v/>
      </c>
      <c r="Q148" s="33" t="str">
        <f t="shared" si="2"/>
        <v/>
      </c>
    </row>
    <row r="149" ht="15.75" customHeight="1">
      <c r="B149" s="39"/>
      <c r="H149" s="39"/>
      <c r="I149" s="40"/>
      <c r="L149" s="33"/>
      <c r="M149" s="38"/>
      <c r="N149" s="38" t="str">
        <f>IF(OR(F149="",G149=""),"",MAX(F149*VLOOKUP(G149,SETUP_RATES!$A:$H,3,FALSE),VLOOKUP(G149,SETUP_RATES!$A:$H,2,FALSE)))</f>
        <v/>
      </c>
      <c r="O149" s="38" t="str">
        <f>IF(OR(J149="",G149=""),"",J149*VLOOKUP(G149,SETUP_RATES!$A:$H,6,FALSE))</f>
        <v/>
      </c>
      <c r="P149" s="38" t="str">
        <f t="shared" si="1"/>
        <v/>
      </c>
      <c r="Q149" s="33" t="str">
        <f t="shared" si="2"/>
        <v/>
      </c>
    </row>
    <row r="150" ht="15.75" customHeight="1">
      <c r="B150" s="39"/>
      <c r="H150" s="39"/>
      <c r="I150" s="40"/>
      <c r="L150" s="33"/>
      <c r="M150" s="38"/>
      <c r="N150" s="38" t="str">
        <f>IF(OR(F150="",G150=""),"",MAX(F150*VLOOKUP(G150,SETUP_RATES!$A:$H,3,FALSE),VLOOKUP(G150,SETUP_RATES!$A:$H,2,FALSE)))</f>
        <v/>
      </c>
      <c r="O150" s="38" t="str">
        <f>IF(OR(J150="",G150=""),"",J150*VLOOKUP(G150,SETUP_RATES!$A:$H,6,FALSE))</f>
        <v/>
      </c>
      <c r="P150" s="38" t="str">
        <f t="shared" si="1"/>
        <v/>
      </c>
      <c r="Q150" s="33" t="str">
        <f t="shared" si="2"/>
        <v/>
      </c>
    </row>
    <row r="151" ht="15.75" customHeight="1">
      <c r="B151" s="39"/>
      <c r="H151" s="39"/>
      <c r="I151" s="40"/>
      <c r="L151" s="33"/>
      <c r="M151" s="38"/>
      <c r="N151" s="38" t="str">
        <f>IF(OR(F151="",G151=""),"",MAX(F151*VLOOKUP(G151,SETUP_RATES!$A:$H,3,FALSE),VLOOKUP(G151,SETUP_RATES!$A:$H,2,FALSE)))</f>
        <v/>
      </c>
      <c r="O151" s="38" t="str">
        <f>IF(OR(J151="",G151=""),"",J151*VLOOKUP(G151,SETUP_RATES!$A:$H,6,FALSE))</f>
        <v/>
      </c>
      <c r="P151" s="38" t="str">
        <f t="shared" si="1"/>
        <v/>
      </c>
      <c r="Q151" s="33" t="str">
        <f t="shared" si="2"/>
        <v/>
      </c>
    </row>
    <row r="152" ht="15.75" customHeight="1">
      <c r="B152" s="39"/>
      <c r="H152" s="39"/>
      <c r="I152" s="40"/>
      <c r="L152" s="33"/>
      <c r="M152" s="38"/>
      <c r="N152" s="38" t="str">
        <f>IF(OR(F152="",G152=""),"",MAX(F152*VLOOKUP(G152,SETUP_RATES!$A:$H,3,FALSE),VLOOKUP(G152,SETUP_RATES!$A:$H,2,FALSE)))</f>
        <v/>
      </c>
      <c r="O152" s="38" t="str">
        <f>IF(OR(J152="",G152=""),"",J152*VLOOKUP(G152,SETUP_RATES!$A:$H,6,FALSE))</f>
        <v/>
      </c>
      <c r="P152" s="38" t="str">
        <f t="shared" si="1"/>
        <v/>
      </c>
      <c r="Q152" s="33" t="str">
        <f t="shared" si="2"/>
        <v/>
      </c>
    </row>
    <row r="153" ht="15.75" customHeight="1">
      <c r="B153" s="39"/>
      <c r="H153" s="39"/>
      <c r="I153" s="40"/>
      <c r="L153" s="33"/>
      <c r="M153" s="38"/>
      <c r="N153" s="38" t="str">
        <f>IF(OR(F153="",G153=""),"",MAX(F153*VLOOKUP(G153,SETUP_RATES!$A:$H,3,FALSE),VLOOKUP(G153,SETUP_RATES!$A:$H,2,FALSE)))</f>
        <v/>
      </c>
      <c r="O153" s="38" t="str">
        <f>IF(OR(J153="",G153=""),"",J153*VLOOKUP(G153,SETUP_RATES!$A:$H,6,FALSE))</f>
        <v/>
      </c>
      <c r="P153" s="38" t="str">
        <f t="shared" si="1"/>
        <v/>
      </c>
      <c r="Q153" s="33" t="str">
        <f t="shared" si="2"/>
        <v/>
      </c>
    </row>
    <row r="154" ht="15.75" customHeight="1">
      <c r="B154" s="39"/>
      <c r="H154" s="39"/>
      <c r="I154" s="40"/>
      <c r="L154" s="33"/>
      <c r="M154" s="38"/>
      <c r="N154" s="38" t="str">
        <f>IF(OR(F154="",G154=""),"",MAX(F154*VLOOKUP(G154,SETUP_RATES!$A:$H,3,FALSE),VLOOKUP(G154,SETUP_RATES!$A:$H,2,FALSE)))</f>
        <v/>
      </c>
      <c r="O154" s="38" t="str">
        <f>IF(OR(J154="",G154=""),"",J154*VLOOKUP(G154,SETUP_RATES!$A:$H,6,FALSE))</f>
        <v/>
      </c>
      <c r="P154" s="38" t="str">
        <f t="shared" si="1"/>
        <v/>
      </c>
      <c r="Q154" s="33" t="str">
        <f t="shared" si="2"/>
        <v/>
      </c>
    </row>
    <row r="155" ht="15.75" customHeight="1">
      <c r="B155" s="39"/>
      <c r="H155" s="39"/>
      <c r="I155" s="40"/>
      <c r="L155" s="33"/>
      <c r="M155" s="38"/>
      <c r="N155" s="38" t="str">
        <f>IF(OR(F155="",G155=""),"",MAX(F155*VLOOKUP(G155,SETUP_RATES!$A:$H,3,FALSE),VLOOKUP(G155,SETUP_RATES!$A:$H,2,FALSE)))</f>
        <v/>
      </c>
      <c r="O155" s="38" t="str">
        <f>IF(OR(J155="",G155=""),"",J155*VLOOKUP(G155,SETUP_RATES!$A:$H,6,FALSE))</f>
        <v/>
      </c>
      <c r="P155" s="38" t="str">
        <f t="shared" si="1"/>
        <v/>
      </c>
      <c r="Q155" s="33" t="str">
        <f t="shared" si="2"/>
        <v/>
      </c>
    </row>
    <row r="156" ht="15.75" customHeight="1">
      <c r="B156" s="39"/>
      <c r="H156" s="39"/>
      <c r="I156" s="40"/>
      <c r="L156" s="33"/>
      <c r="M156" s="38"/>
      <c r="N156" s="38" t="str">
        <f>IF(OR(F156="",G156=""),"",MAX(F156*VLOOKUP(G156,SETUP_RATES!$A:$H,3,FALSE),VLOOKUP(G156,SETUP_RATES!$A:$H,2,FALSE)))</f>
        <v/>
      </c>
      <c r="O156" s="38" t="str">
        <f>IF(OR(J156="",G156=""),"",J156*VLOOKUP(G156,SETUP_RATES!$A:$H,6,FALSE))</f>
        <v/>
      </c>
      <c r="P156" s="38" t="str">
        <f t="shared" si="1"/>
        <v/>
      </c>
      <c r="Q156" s="33" t="str">
        <f t="shared" si="2"/>
        <v/>
      </c>
    </row>
    <row r="157" ht="15.75" customHeight="1">
      <c r="B157" s="39"/>
      <c r="H157" s="39"/>
      <c r="I157" s="40"/>
      <c r="L157" s="33"/>
      <c r="M157" s="38"/>
      <c r="N157" s="38" t="str">
        <f>IF(OR(F157="",G157=""),"",MAX(F157*VLOOKUP(G157,SETUP_RATES!$A:$H,3,FALSE),VLOOKUP(G157,SETUP_RATES!$A:$H,2,FALSE)))</f>
        <v/>
      </c>
      <c r="O157" s="38" t="str">
        <f>IF(OR(J157="",G157=""),"",J157*VLOOKUP(G157,SETUP_RATES!$A:$H,6,FALSE))</f>
        <v/>
      </c>
      <c r="P157" s="38" t="str">
        <f t="shared" si="1"/>
        <v/>
      </c>
      <c r="Q157" s="33" t="str">
        <f t="shared" si="2"/>
        <v/>
      </c>
    </row>
    <row r="158" ht="15.75" customHeight="1">
      <c r="B158" s="39"/>
      <c r="H158" s="39"/>
      <c r="I158" s="40"/>
      <c r="L158" s="33"/>
      <c r="M158" s="38"/>
      <c r="N158" s="38" t="str">
        <f>IF(OR(F158="",G158=""),"",MAX(F158*VLOOKUP(G158,SETUP_RATES!$A:$H,3,FALSE),VLOOKUP(G158,SETUP_RATES!$A:$H,2,FALSE)))</f>
        <v/>
      </c>
      <c r="O158" s="38" t="str">
        <f>IF(OR(J158="",G158=""),"",J158*VLOOKUP(G158,SETUP_RATES!$A:$H,6,FALSE))</f>
        <v/>
      </c>
      <c r="P158" s="38" t="str">
        <f t="shared" si="1"/>
        <v/>
      </c>
      <c r="Q158" s="33" t="str">
        <f t="shared" si="2"/>
        <v/>
      </c>
    </row>
    <row r="159" ht="15.75" customHeight="1">
      <c r="B159" s="39"/>
      <c r="H159" s="39"/>
      <c r="I159" s="40"/>
      <c r="L159" s="33"/>
      <c r="M159" s="38"/>
      <c r="N159" s="38" t="str">
        <f>IF(OR(F159="",G159=""),"",MAX(F159*VLOOKUP(G159,SETUP_RATES!$A:$H,3,FALSE),VLOOKUP(G159,SETUP_RATES!$A:$H,2,FALSE)))</f>
        <v/>
      </c>
      <c r="O159" s="38" t="str">
        <f>IF(OR(J159="",G159=""),"",J159*VLOOKUP(G159,SETUP_RATES!$A:$H,6,FALSE))</f>
        <v/>
      </c>
      <c r="P159" s="38" t="str">
        <f t="shared" si="1"/>
        <v/>
      </c>
      <c r="Q159" s="33" t="str">
        <f t="shared" si="2"/>
        <v/>
      </c>
    </row>
    <row r="160" ht="15.75" customHeight="1">
      <c r="B160" s="39"/>
      <c r="H160" s="39"/>
      <c r="I160" s="40"/>
      <c r="L160" s="33"/>
      <c r="M160" s="38"/>
      <c r="N160" s="38" t="str">
        <f>IF(OR(F160="",G160=""),"",MAX(F160*VLOOKUP(G160,SETUP_RATES!$A:$H,3,FALSE),VLOOKUP(G160,SETUP_RATES!$A:$H,2,FALSE)))</f>
        <v/>
      </c>
      <c r="O160" s="38" t="str">
        <f>IF(OR(J160="",G160=""),"",J160*VLOOKUP(G160,SETUP_RATES!$A:$H,6,FALSE))</f>
        <v/>
      </c>
      <c r="P160" s="38" t="str">
        <f t="shared" si="1"/>
        <v/>
      </c>
      <c r="Q160" s="33" t="str">
        <f t="shared" si="2"/>
        <v/>
      </c>
    </row>
    <row r="161" ht="15.75" customHeight="1">
      <c r="B161" s="39"/>
      <c r="H161" s="39"/>
      <c r="I161" s="40"/>
      <c r="L161" s="33"/>
      <c r="M161" s="38"/>
      <c r="N161" s="38" t="str">
        <f>IF(OR(F161="",G161=""),"",MAX(F161*VLOOKUP(G161,SETUP_RATES!$A:$H,3,FALSE),VLOOKUP(G161,SETUP_RATES!$A:$H,2,FALSE)))</f>
        <v/>
      </c>
      <c r="O161" s="38" t="str">
        <f>IF(OR(J161="",G161=""),"",J161*VLOOKUP(G161,SETUP_RATES!$A:$H,6,FALSE))</f>
        <v/>
      </c>
      <c r="P161" s="38" t="str">
        <f t="shared" si="1"/>
        <v/>
      </c>
      <c r="Q161" s="33" t="str">
        <f t="shared" si="2"/>
        <v/>
      </c>
    </row>
    <row r="162" ht="15.75" customHeight="1">
      <c r="B162" s="39"/>
      <c r="H162" s="39"/>
      <c r="I162" s="40"/>
      <c r="L162" s="33"/>
      <c r="M162" s="38"/>
      <c r="N162" s="38" t="str">
        <f>IF(OR(F162="",G162=""),"",MAX(F162*VLOOKUP(G162,SETUP_RATES!$A:$H,3,FALSE),VLOOKUP(G162,SETUP_RATES!$A:$H,2,FALSE)))</f>
        <v/>
      </c>
      <c r="O162" s="38" t="str">
        <f>IF(OR(J162="",G162=""),"",J162*VLOOKUP(G162,SETUP_RATES!$A:$H,6,FALSE))</f>
        <v/>
      </c>
      <c r="P162" s="38" t="str">
        <f t="shared" si="1"/>
        <v/>
      </c>
      <c r="Q162" s="33" t="str">
        <f t="shared" si="2"/>
        <v/>
      </c>
    </row>
    <row r="163" ht="15.75" customHeight="1">
      <c r="B163" s="39"/>
      <c r="H163" s="39"/>
      <c r="I163" s="40"/>
      <c r="L163" s="33"/>
      <c r="M163" s="38"/>
      <c r="N163" s="38" t="str">
        <f>IF(OR(F163="",G163=""),"",MAX(F163*VLOOKUP(G163,SETUP_RATES!$A:$H,3,FALSE),VLOOKUP(G163,SETUP_RATES!$A:$H,2,FALSE)))</f>
        <v/>
      </c>
      <c r="O163" s="38" t="str">
        <f>IF(OR(J163="",G163=""),"",J163*VLOOKUP(G163,SETUP_RATES!$A:$H,6,FALSE))</f>
        <v/>
      </c>
      <c r="P163" s="38" t="str">
        <f t="shared" si="1"/>
        <v/>
      </c>
      <c r="Q163" s="33" t="str">
        <f t="shared" si="2"/>
        <v/>
      </c>
    </row>
    <row r="164" ht="15.75" customHeight="1">
      <c r="B164" s="39"/>
      <c r="H164" s="39"/>
      <c r="I164" s="40"/>
      <c r="L164" s="33"/>
      <c r="M164" s="38"/>
      <c r="N164" s="38" t="str">
        <f>IF(OR(F164="",G164=""),"",MAX(F164*VLOOKUP(G164,SETUP_RATES!$A:$H,3,FALSE),VLOOKUP(G164,SETUP_RATES!$A:$H,2,FALSE)))</f>
        <v/>
      </c>
      <c r="O164" s="38" t="str">
        <f>IF(OR(J164="",G164=""),"",J164*VLOOKUP(G164,SETUP_RATES!$A:$H,6,FALSE))</f>
        <v/>
      </c>
      <c r="P164" s="38" t="str">
        <f t="shared" si="1"/>
        <v/>
      </c>
      <c r="Q164" s="33" t="str">
        <f t="shared" si="2"/>
        <v/>
      </c>
    </row>
    <row r="165" ht="15.75" customHeight="1">
      <c r="B165" s="39"/>
      <c r="H165" s="39"/>
      <c r="I165" s="40"/>
      <c r="L165" s="33"/>
      <c r="M165" s="38"/>
      <c r="N165" s="38" t="str">
        <f>IF(OR(F165="",G165=""),"",MAX(F165*VLOOKUP(G165,SETUP_RATES!$A:$H,3,FALSE),VLOOKUP(G165,SETUP_RATES!$A:$H,2,FALSE)))</f>
        <v/>
      </c>
      <c r="O165" s="38" t="str">
        <f>IF(OR(J165="",G165=""),"",J165*VLOOKUP(G165,SETUP_RATES!$A:$H,6,FALSE))</f>
        <v/>
      </c>
      <c r="P165" s="38" t="str">
        <f t="shared" si="1"/>
        <v/>
      </c>
      <c r="Q165" s="33" t="str">
        <f t="shared" si="2"/>
        <v/>
      </c>
    </row>
    <row r="166" ht="15.75" customHeight="1">
      <c r="B166" s="39"/>
      <c r="H166" s="39"/>
      <c r="I166" s="40"/>
      <c r="L166" s="33"/>
      <c r="M166" s="38"/>
      <c r="N166" s="38" t="str">
        <f>IF(OR(F166="",G166=""),"",MAX(F166*VLOOKUP(G166,SETUP_RATES!$A:$H,3,FALSE),VLOOKUP(G166,SETUP_RATES!$A:$H,2,FALSE)))</f>
        <v/>
      </c>
      <c r="O166" s="38" t="str">
        <f>IF(OR(J166="",G166=""),"",J166*VLOOKUP(G166,SETUP_RATES!$A:$H,6,FALSE))</f>
        <v/>
      </c>
      <c r="P166" s="38" t="str">
        <f t="shared" si="1"/>
        <v/>
      </c>
      <c r="Q166" s="33" t="str">
        <f t="shared" si="2"/>
        <v/>
      </c>
    </row>
    <row r="167" ht="15.75" customHeight="1">
      <c r="B167" s="39"/>
      <c r="H167" s="39"/>
      <c r="I167" s="40"/>
      <c r="L167" s="33"/>
      <c r="M167" s="38"/>
      <c r="N167" s="38" t="str">
        <f>IF(OR(F167="",G167=""),"",MAX(F167*VLOOKUP(G167,SETUP_RATES!$A:$H,3,FALSE),VLOOKUP(G167,SETUP_RATES!$A:$H,2,FALSE)))</f>
        <v/>
      </c>
      <c r="O167" s="38" t="str">
        <f>IF(OR(J167="",G167=""),"",J167*VLOOKUP(G167,SETUP_RATES!$A:$H,6,FALSE))</f>
        <v/>
      </c>
      <c r="P167" s="38" t="str">
        <f t="shared" si="1"/>
        <v/>
      </c>
      <c r="Q167" s="33" t="str">
        <f t="shared" si="2"/>
        <v/>
      </c>
    </row>
    <row r="168" ht="15.75" customHeight="1">
      <c r="B168" s="39"/>
      <c r="H168" s="39"/>
      <c r="I168" s="40"/>
      <c r="L168" s="33"/>
      <c r="M168" s="38"/>
      <c r="N168" s="38" t="str">
        <f>IF(OR(F168="",G168=""),"",MAX(F168*VLOOKUP(G168,SETUP_RATES!$A:$H,3,FALSE),VLOOKUP(G168,SETUP_RATES!$A:$H,2,FALSE)))</f>
        <v/>
      </c>
      <c r="O168" s="38" t="str">
        <f>IF(OR(J168="",G168=""),"",J168*VLOOKUP(G168,SETUP_RATES!$A:$H,6,FALSE))</f>
        <v/>
      </c>
      <c r="P168" s="38" t="str">
        <f t="shared" si="1"/>
        <v/>
      </c>
      <c r="Q168" s="33" t="str">
        <f t="shared" si="2"/>
        <v/>
      </c>
    </row>
    <row r="169" ht="15.75" customHeight="1">
      <c r="B169" s="39"/>
      <c r="H169" s="39"/>
      <c r="I169" s="40"/>
      <c r="L169" s="33"/>
      <c r="M169" s="38"/>
      <c r="N169" s="38" t="str">
        <f>IF(OR(F169="",G169=""),"",MAX(F169*VLOOKUP(G169,SETUP_RATES!$A:$H,3,FALSE),VLOOKUP(G169,SETUP_RATES!$A:$H,2,FALSE)))</f>
        <v/>
      </c>
      <c r="O169" s="38" t="str">
        <f>IF(OR(J169="",G169=""),"",J169*VLOOKUP(G169,SETUP_RATES!$A:$H,6,FALSE))</f>
        <v/>
      </c>
      <c r="P169" s="38" t="str">
        <f t="shared" si="1"/>
        <v/>
      </c>
      <c r="Q169" s="33" t="str">
        <f t="shared" si="2"/>
        <v/>
      </c>
    </row>
    <row r="170" ht="15.75" customHeight="1">
      <c r="B170" s="39"/>
      <c r="H170" s="39"/>
      <c r="I170" s="40"/>
      <c r="L170" s="33"/>
      <c r="M170" s="38"/>
      <c r="N170" s="38" t="str">
        <f>IF(OR(F170="",G170=""),"",MAX(F170*VLOOKUP(G170,SETUP_RATES!$A:$H,3,FALSE),VLOOKUP(G170,SETUP_RATES!$A:$H,2,FALSE)))</f>
        <v/>
      </c>
      <c r="O170" s="38" t="str">
        <f>IF(OR(J170="",G170=""),"",J170*VLOOKUP(G170,SETUP_RATES!$A:$H,6,FALSE))</f>
        <v/>
      </c>
      <c r="P170" s="38" t="str">
        <f t="shared" si="1"/>
        <v/>
      </c>
      <c r="Q170" s="33" t="str">
        <f t="shared" si="2"/>
        <v/>
      </c>
    </row>
    <row r="171" ht="15.75" customHeight="1">
      <c r="B171" s="39"/>
      <c r="H171" s="39"/>
      <c r="I171" s="40"/>
      <c r="L171" s="33"/>
      <c r="M171" s="38"/>
      <c r="N171" s="38" t="str">
        <f>IF(OR(F171="",G171=""),"",MAX(F171*VLOOKUP(G171,SETUP_RATES!$A:$H,3,FALSE),VLOOKUP(G171,SETUP_RATES!$A:$H,2,FALSE)))</f>
        <v/>
      </c>
      <c r="O171" s="38" t="str">
        <f>IF(OR(J171="",G171=""),"",J171*VLOOKUP(G171,SETUP_RATES!$A:$H,6,FALSE))</f>
        <v/>
      </c>
      <c r="P171" s="38" t="str">
        <f t="shared" si="1"/>
        <v/>
      </c>
      <c r="Q171" s="33" t="str">
        <f t="shared" si="2"/>
        <v/>
      </c>
    </row>
    <row r="172" ht="15.75" customHeight="1">
      <c r="B172" s="39"/>
      <c r="H172" s="39"/>
      <c r="I172" s="40"/>
      <c r="L172" s="33"/>
      <c r="M172" s="38"/>
      <c r="N172" s="38" t="str">
        <f>IF(OR(F172="",G172=""),"",MAX(F172*VLOOKUP(G172,SETUP_RATES!$A:$H,3,FALSE),VLOOKUP(G172,SETUP_RATES!$A:$H,2,FALSE)))</f>
        <v/>
      </c>
      <c r="O172" s="38" t="str">
        <f>IF(OR(J172="",G172=""),"",J172*VLOOKUP(G172,SETUP_RATES!$A:$H,6,FALSE))</f>
        <v/>
      </c>
      <c r="P172" s="38" t="str">
        <f t="shared" si="1"/>
        <v/>
      </c>
      <c r="Q172" s="33" t="str">
        <f t="shared" si="2"/>
        <v/>
      </c>
    </row>
    <row r="173" ht="15.75" customHeight="1">
      <c r="B173" s="39"/>
      <c r="H173" s="39"/>
      <c r="I173" s="40"/>
      <c r="L173" s="33"/>
      <c r="M173" s="38"/>
      <c r="N173" s="38" t="str">
        <f>IF(OR(F173="",G173=""),"",MAX(F173*VLOOKUP(G173,SETUP_RATES!$A:$H,3,FALSE),VLOOKUP(G173,SETUP_RATES!$A:$H,2,FALSE)))</f>
        <v/>
      </c>
      <c r="O173" s="38" t="str">
        <f>IF(OR(J173="",G173=""),"",J173*VLOOKUP(G173,SETUP_RATES!$A:$H,6,FALSE))</f>
        <v/>
      </c>
      <c r="P173" s="38" t="str">
        <f t="shared" si="1"/>
        <v/>
      </c>
      <c r="Q173" s="33" t="str">
        <f t="shared" si="2"/>
        <v/>
      </c>
    </row>
    <row r="174" ht="15.75" customHeight="1">
      <c r="B174" s="39"/>
      <c r="H174" s="39"/>
      <c r="I174" s="40"/>
      <c r="L174" s="33"/>
      <c r="M174" s="38"/>
      <c r="N174" s="38" t="str">
        <f>IF(OR(F174="",G174=""),"",MAX(F174*VLOOKUP(G174,SETUP_RATES!$A:$H,3,FALSE),VLOOKUP(G174,SETUP_RATES!$A:$H,2,FALSE)))</f>
        <v/>
      </c>
      <c r="O174" s="38" t="str">
        <f>IF(OR(J174="",G174=""),"",J174*VLOOKUP(G174,SETUP_RATES!$A:$H,6,FALSE))</f>
        <v/>
      </c>
      <c r="P174" s="38" t="str">
        <f t="shared" si="1"/>
        <v/>
      </c>
      <c r="Q174" s="33" t="str">
        <f t="shared" si="2"/>
        <v/>
      </c>
    </row>
    <row r="175" ht="15.75" customHeight="1">
      <c r="B175" s="39"/>
      <c r="H175" s="39"/>
      <c r="I175" s="40"/>
      <c r="L175" s="33"/>
      <c r="M175" s="38"/>
      <c r="N175" s="38" t="str">
        <f>IF(OR(F175="",G175=""),"",MAX(F175*VLOOKUP(G175,SETUP_RATES!$A:$H,3,FALSE),VLOOKUP(G175,SETUP_RATES!$A:$H,2,FALSE)))</f>
        <v/>
      </c>
      <c r="O175" s="38" t="str">
        <f>IF(OR(J175="",G175=""),"",J175*VLOOKUP(G175,SETUP_RATES!$A:$H,6,FALSE))</f>
        <v/>
      </c>
      <c r="P175" s="38" t="str">
        <f t="shared" si="1"/>
        <v/>
      </c>
      <c r="Q175" s="33" t="str">
        <f t="shared" si="2"/>
        <v/>
      </c>
    </row>
    <row r="176" ht="15.75" customHeight="1">
      <c r="B176" s="39"/>
      <c r="H176" s="39"/>
      <c r="I176" s="40"/>
      <c r="L176" s="33"/>
      <c r="M176" s="38"/>
      <c r="N176" s="38" t="str">
        <f>IF(OR(F176="",G176=""),"",MAX(F176*VLOOKUP(G176,SETUP_RATES!$A:$H,3,FALSE),VLOOKUP(G176,SETUP_RATES!$A:$H,2,FALSE)))</f>
        <v/>
      </c>
      <c r="O176" s="38" t="str">
        <f>IF(OR(J176="",G176=""),"",J176*VLOOKUP(G176,SETUP_RATES!$A:$H,6,FALSE))</f>
        <v/>
      </c>
      <c r="P176" s="38" t="str">
        <f t="shared" si="1"/>
        <v/>
      </c>
      <c r="Q176" s="33" t="str">
        <f t="shared" si="2"/>
        <v/>
      </c>
    </row>
    <row r="177" ht="15.75" customHeight="1">
      <c r="B177" s="39"/>
      <c r="H177" s="39"/>
      <c r="I177" s="40"/>
      <c r="L177" s="33"/>
      <c r="M177" s="38"/>
      <c r="N177" s="38" t="str">
        <f>IF(OR(F177="",G177=""),"",MAX(F177*VLOOKUP(G177,SETUP_RATES!$A:$H,3,FALSE),VLOOKUP(G177,SETUP_RATES!$A:$H,2,FALSE)))</f>
        <v/>
      </c>
      <c r="O177" s="38" t="str">
        <f>IF(OR(J177="",G177=""),"",J177*VLOOKUP(G177,SETUP_RATES!$A:$H,6,FALSE))</f>
        <v/>
      </c>
      <c r="P177" s="38" t="str">
        <f t="shared" si="1"/>
        <v/>
      </c>
      <c r="Q177" s="33" t="str">
        <f t="shared" si="2"/>
        <v/>
      </c>
    </row>
    <row r="178" ht="15.75" customHeight="1">
      <c r="B178" s="39"/>
      <c r="H178" s="39"/>
      <c r="I178" s="40"/>
      <c r="L178" s="33"/>
      <c r="M178" s="38"/>
      <c r="N178" s="38" t="str">
        <f>IF(OR(F178="",G178=""),"",MAX(F178*VLOOKUP(G178,SETUP_RATES!$A:$H,3,FALSE),VLOOKUP(G178,SETUP_RATES!$A:$H,2,FALSE)))</f>
        <v/>
      </c>
      <c r="O178" s="38" t="str">
        <f>IF(OR(J178="",G178=""),"",J178*VLOOKUP(G178,SETUP_RATES!$A:$H,6,FALSE))</f>
        <v/>
      </c>
      <c r="P178" s="38" t="str">
        <f t="shared" si="1"/>
        <v/>
      </c>
      <c r="Q178" s="33" t="str">
        <f t="shared" si="2"/>
        <v/>
      </c>
    </row>
    <row r="179" ht="15.75" customHeight="1">
      <c r="B179" s="39"/>
      <c r="H179" s="39"/>
      <c r="I179" s="40"/>
      <c r="L179" s="33"/>
      <c r="M179" s="38"/>
      <c r="N179" s="38" t="str">
        <f>IF(OR(F179="",G179=""),"",MAX(F179*VLOOKUP(G179,SETUP_RATES!$A:$H,3,FALSE),VLOOKUP(G179,SETUP_RATES!$A:$H,2,FALSE)))</f>
        <v/>
      </c>
      <c r="O179" s="38" t="str">
        <f>IF(OR(J179="",G179=""),"",J179*VLOOKUP(G179,SETUP_RATES!$A:$H,6,FALSE))</f>
        <v/>
      </c>
      <c r="P179" s="38" t="str">
        <f t="shared" si="1"/>
        <v/>
      </c>
      <c r="Q179" s="33" t="str">
        <f t="shared" si="2"/>
        <v/>
      </c>
    </row>
    <row r="180" ht="15.75" customHeight="1">
      <c r="B180" s="39"/>
      <c r="H180" s="39"/>
      <c r="I180" s="40"/>
      <c r="L180" s="33"/>
      <c r="M180" s="38"/>
      <c r="N180" s="38" t="str">
        <f>IF(OR(F180="",G180=""),"",MAX(F180*VLOOKUP(G180,SETUP_RATES!$A:$H,3,FALSE),VLOOKUP(G180,SETUP_RATES!$A:$H,2,FALSE)))</f>
        <v/>
      </c>
      <c r="O180" s="38" t="str">
        <f>IF(OR(J180="",G180=""),"",J180*VLOOKUP(G180,SETUP_RATES!$A:$H,6,FALSE))</f>
        <v/>
      </c>
      <c r="P180" s="38" t="str">
        <f t="shared" si="1"/>
        <v/>
      </c>
      <c r="Q180" s="33" t="str">
        <f t="shared" si="2"/>
        <v/>
      </c>
    </row>
    <row r="181" ht="15.75" customHeight="1">
      <c r="B181" s="39"/>
      <c r="H181" s="39"/>
      <c r="I181" s="40"/>
      <c r="L181" s="33"/>
      <c r="M181" s="38"/>
      <c r="N181" s="38" t="str">
        <f>IF(OR(F181="",G181=""),"",MAX(F181*VLOOKUP(G181,SETUP_RATES!$A:$H,3,FALSE),VLOOKUP(G181,SETUP_RATES!$A:$H,2,FALSE)))</f>
        <v/>
      </c>
      <c r="O181" s="38" t="str">
        <f>IF(OR(J181="",G181=""),"",J181*VLOOKUP(G181,SETUP_RATES!$A:$H,6,FALSE))</f>
        <v/>
      </c>
      <c r="P181" s="38" t="str">
        <f t="shared" si="1"/>
        <v/>
      </c>
      <c r="Q181" s="33" t="str">
        <f t="shared" si="2"/>
        <v/>
      </c>
    </row>
    <row r="182" ht="15.75" customHeight="1">
      <c r="B182" s="39"/>
      <c r="H182" s="39"/>
      <c r="I182" s="40"/>
      <c r="L182" s="33"/>
      <c r="M182" s="38"/>
      <c r="N182" s="38" t="str">
        <f>IF(OR(F182="",G182=""),"",MAX(F182*VLOOKUP(G182,SETUP_RATES!$A:$H,3,FALSE),VLOOKUP(G182,SETUP_RATES!$A:$H,2,FALSE)))</f>
        <v/>
      </c>
      <c r="O182" s="38" t="str">
        <f>IF(OR(J182="",G182=""),"",J182*VLOOKUP(G182,SETUP_RATES!$A:$H,6,FALSE))</f>
        <v/>
      </c>
      <c r="P182" s="38" t="str">
        <f t="shared" si="1"/>
        <v/>
      </c>
      <c r="Q182" s="33" t="str">
        <f t="shared" si="2"/>
        <v/>
      </c>
    </row>
    <row r="183" ht="15.75" customHeight="1">
      <c r="B183" s="39"/>
      <c r="H183" s="39"/>
      <c r="I183" s="40"/>
      <c r="L183" s="33"/>
      <c r="M183" s="38"/>
      <c r="N183" s="38" t="str">
        <f>IF(OR(F183="",G183=""),"",MAX(F183*VLOOKUP(G183,SETUP_RATES!$A:$H,3,FALSE),VLOOKUP(G183,SETUP_RATES!$A:$H,2,FALSE)))</f>
        <v/>
      </c>
      <c r="O183" s="38" t="str">
        <f>IF(OR(J183="",G183=""),"",J183*VLOOKUP(G183,SETUP_RATES!$A:$H,6,FALSE))</f>
        <v/>
      </c>
      <c r="P183" s="38" t="str">
        <f t="shared" si="1"/>
        <v/>
      </c>
      <c r="Q183" s="33" t="str">
        <f t="shared" si="2"/>
        <v/>
      </c>
    </row>
    <row r="184" ht="15.75" customHeight="1">
      <c r="B184" s="39"/>
      <c r="H184" s="39"/>
      <c r="I184" s="40"/>
      <c r="L184" s="33"/>
      <c r="M184" s="38"/>
      <c r="N184" s="38" t="str">
        <f>IF(OR(F184="",G184=""),"",MAX(F184*VLOOKUP(G184,SETUP_RATES!$A:$H,3,FALSE),VLOOKUP(G184,SETUP_RATES!$A:$H,2,FALSE)))</f>
        <v/>
      </c>
      <c r="O184" s="38" t="str">
        <f>IF(OR(J184="",G184=""),"",J184*VLOOKUP(G184,SETUP_RATES!$A:$H,6,FALSE))</f>
        <v/>
      </c>
      <c r="P184" s="38" t="str">
        <f t="shared" si="1"/>
        <v/>
      </c>
      <c r="Q184" s="33" t="str">
        <f t="shared" si="2"/>
        <v/>
      </c>
    </row>
    <row r="185" ht="15.75" customHeight="1">
      <c r="B185" s="39"/>
      <c r="H185" s="39"/>
      <c r="I185" s="40"/>
      <c r="L185" s="33"/>
      <c r="M185" s="38"/>
      <c r="N185" s="38" t="str">
        <f>IF(OR(F185="",G185=""),"",MAX(F185*VLOOKUP(G185,SETUP_RATES!$A:$H,3,FALSE),VLOOKUP(G185,SETUP_RATES!$A:$H,2,FALSE)))</f>
        <v/>
      </c>
      <c r="O185" s="38" t="str">
        <f>IF(OR(J185="",G185=""),"",J185*VLOOKUP(G185,SETUP_RATES!$A:$H,6,FALSE))</f>
        <v/>
      </c>
      <c r="P185" s="38" t="str">
        <f t="shared" si="1"/>
        <v/>
      </c>
      <c r="Q185" s="33" t="str">
        <f t="shared" si="2"/>
        <v/>
      </c>
    </row>
    <row r="186" ht="15.75" customHeight="1">
      <c r="B186" s="39"/>
      <c r="H186" s="39"/>
      <c r="I186" s="40"/>
      <c r="L186" s="33"/>
      <c r="M186" s="38"/>
      <c r="N186" s="38" t="str">
        <f>IF(OR(F186="",G186=""),"",MAX(F186*VLOOKUP(G186,SETUP_RATES!$A:$H,3,FALSE),VLOOKUP(G186,SETUP_RATES!$A:$H,2,FALSE)))</f>
        <v/>
      </c>
      <c r="O186" s="38" t="str">
        <f>IF(OR(J186="",G186=""),"",J186*VLOOKUP(G186,SETUP_RATES!$A:$H,6,FALSE))</f>
        <v/>
      </c>
      <c r="P186" s="38" t="str">
        <f t="shared" si="1"/>
        <v/>
      </c>
      <c r="Q186" s="33" t="str">
        <f t="shared" si="2"/>
        <v/>
      </c>
    </row>
    <row r="187" ht="15.75" customHeight="1">
      <c r="B187" s="39"/>
      <c r="H187" s="39"/>
      <c r="I187" s="40"/>
      <c r="L187" s="33"/>
      <c r="M187" s="38"/>
      <c r="N187" s="38" t="str">
        <f>IF(OR(F187="",G187=""),"",MAX(F187*VLOOKUP(G187,SETUP_RATES!$A:$H,3,FALSE),VLOOKUP(G187,SETUP_RATES!$A:$H,2,FALSE)))</f>
        <v/>
      </c>
      <c r="O187" s="38" t="str">
        <f>IF(OR(J187="",G187=""),"",J187*VLOOKUP(G187,SETUP_RATES!$A:$H,6,FALSE))</f>
        <v/>
      </c>
      <c r="P187" s="38" t="str">
        <f t="shared" si="1"/>
        <v/>
      </c>
      <c r="Q187" s="33" t="str">
        <f t="shared" si="2"/>
        <v/>
      </c>
    </row>
    <row r="188" ht="15.75" customHeight="1">
      <c r="B188" s="39"/>
      <c r="H188" s="39"/>
      <c r="I188" s="40"/>
      <c r="L188" s="33"/>
      <c r="M188" s="38"/>
      <c r="N188" s="38" t="str">
        <f>IF(OR(F188="",G188=""),"",MAX(F188*VLOOKUP(G188,SETUP_RATES!$A:$H,3,FALSE),VLOOKUP(G188,SETUP_RATES!$A:$H,2,FALSE)))</f>
        <v/>
      </c>
      <c r="O188" s="38" t="str">
        <f>IF(OR(J188="",G188=""),"",J188*VLOOKUP(G188,SETUP_RATES!$A:$H,6,FALSE))</f>
        <v/>
      </c>
      <c r="P188" s="38" t="str">
        <f t="shared" si="1"/>
        <v/>
      </c>
      <c r="Q188" s="33" t="str">
        <f t="shared" si="2"/>
        <v/>
      </c>
    </row>
    <row r="189" ht="15.75" customHeight="1">
      <c r="B189" s="39"/>
      <c r="H189" s="39"/>
      <c r="I189" s="40"/>
      <c r="L189" s="33"/>
      <c r="M189" s="38"/>
      <c r="N189" s="38" t="str">
        <f>IF(OR(F189="",G189=""),"",MAX(F189*VLOOKUP(G189,SETUP_RATES!$A:$H,3,FALSE),VLOOKUP(G189,SETUP_RATES!$A:$H,2,FALSE)))</f>
        <v/>
      </c>
      <c r="O189" s="38" t="str">
        <f>IF(OR(J189="",G189=""),"",J189*VLOOKUP(G189,SETUP_RATES!$A:$H,6,FALSE))</f>
        <v/>
      </c>
      <c r="P189" s="38" t="str">
        <f t="shared" si="1"/>
        <v/>
      </c>
      <c r="Q189" s="33" t="str">
        <f t="shared" si="2"/>
        <v/>
      </c>
    </row>
    <row r="190" ht="15.75" customHeight="1">
      <c r="B190" s="39"/>
      <c r="H190" s="39"/>
      <c r="I190" s="40"/>
      <c r="L190" s="33"/>
      <c r="M190" s="38"/>
      <c r="N190" s="38" t="str">
        <f>IF(OR(F190="",G190=""),"",MAX(F190*VLOOKUP(G190,SETUP_RATES!$A:$H,3,FALSE),VLOOKUP(G190,SETUP_RATES!$A:$H,2,FALSE)))</f>
        <v/>
      </c>
      <c r="O190" s="38" t="str">
        <f>IF(OR(J190="",G190=""),"",J190*VLOOKUP(G190,SETUP_RATES!$A:$H,6,FALSE))</f>
        <v/>
      </c>
      <c r="P190" s="38" t="str">
        <f t="shared" si="1"/>
        <v/>
      </c>
      <c r="Q190" s="33" t="str">
        <f t="shared" si="2"/>
        <v/>
      </c>
    </row>
    <row r="191" ht="15.75" customHeight="1">
      <c r="B191" s="39"/>
      <c r="H191" s="39"/>
      <c r="I191" s="40"/>
      <c r="L191" s="33"/>
      <c r="M191" s="38"/>
      <c r="N191" s="38" t="str">
        <f>IF(OR(F191="",G191=""),"",MAX(F191*VLOOKUP(G191,SETUP_RATES!$A:$H,3,FALSE),VLOOKUP(G191,SETUP_RATES!$A:$H,2,FALSE)))</f>
        <v/>
      </c>
      <c r="O191" s="38" t="str">
        <f>IF(OR(J191="",G191=""),"",J191*VLOOKUP(G191,SETUP_RATES!$A:$H,6,FALSE))</f>
        <v/>
      </c>
      <c r="P191" s="38" t="str">
        <f t="shared" si="1"/>
        <v/>
      </c>
      <c r="Q191" s="33" t="str">
        <f t="shared" si="2"/>
        <v/>
      </c>
    </row>
    <row r="192" ht="15.75" customHeight="1">
      <c r="B192" s="39"/>
      <c r="H192" s="39"/>
      <c r="I192" s="40"/>
      <c r="L192" s="33"/>
      <c r="M192" s="38"/>
      <c r="N192" s="38" t="str">
        <f>IF(OR(F192="",G192=""),"",MAX(F192*VLOOKUP(G192,SETUP_RATES!$A:$H,3,FALSE),VLOOKUP(G192,SETUP_RATES!$A:$H,2,FALSE)))</f>
        <v/>
      </c>
      <c r="O192" s="38" t="str">
        <f>IF(OR(J192="",G192=""),"",J192*VLOOKUP(G192,SETUP_RATES!$A:$H,6,FALSE))</f>
        <v/>
      </c>
      <c r="P192" s="38" t="str">
        <f t="shared" si="1"/>
        <v/>
      </c>
      <c r="Q192" s="33" t="str">
        <f t="shared" si="2"/>
        <v/>
      </c>
    </row>
    <row r="193" ht="15.75" customHeight="1">
      <c r="B193" s="39"/>
      <c r="H193" s="39"/>
      <c r="I193" s="40"/>
      <c r="L193" s="33"/>
      <c r="M193" s="38"/>
      <c r="N193" s="38" t="str">
        <f>IF(OR(F193="",G193=""),"",MAX(F193*VLOOKUP(G193,SETUP_RATES!$A:$H,3,FALSE),VLOOKUP(G193,SETUP_RATES!$A:$H,2,FALSE)))</f>
        <v/>
      </c>
      <c r="O193" s="38" t="str">
        <f>IF(OR(J193="",G193=""),"",J193*VLOOKUP(G193,SETUP_RATES!$A:$H,6,FALSE))</f>
        <v/>
      </c>
      <c r="P193" s="38" t="str">
        <f t="shared" si="1"/>
        <v/>
      </c>
      <c r="Q193" s="33" t="str">
        <f t="shared" si="2"/>
        <v/>
      </c>
    </row>
    <row r="194" ht="15.75" customHeight="1">
      <c r="B194" s="39"/>
      <c r="H194" s="39"/>
      <c r="I194" s="40"/>
      <c r="L194" s="33"/>
      <c r="M194" s="38"/>
      <c r="N194" s="38" t="str">
        <f>IF(OR(F194="",G194=""),"",MAX(F194*VLOOKUP(G194,SETUP_RATES!$A:$H,3,FALSE),VLOOKUP(G194,SETUP_RATES!$A:$H,2,FALSE)))</f>
        <v/>
      </c>
      <c r="O194" s="38" t="str">
        <f>IF(OR(J194="",G194=""),"",J194*VLOOKUP(G194,SETUP_RATES!$A:$H,6,FALSE))</f>
        <v/>
      </c>
      <c r="P194" s="38" t="str">
        <f t="shared" si="1"/>
        <v/>
      </c>
      <c r="Q194" s="33" t="str">
        <f t="shared" si="2"/>
        <v/>
      </c>
    </row>
    <row r="195" ht="15.75" customHeight="1">
      <c r="B195" s="39"/>
      <c r="H195" s="39"/>
      <c r="I195" s="40"/>
      <c r="L195" s="33"/>
      <c r="M195" s="38"/>
      <c r="N195" s="38" t="str">
        <f>IF(OR(F195="",G195=""),"",MAX(F195*VLOOKUP(G195,SETUP_RATES!$A:$H,3,FALSE),VLOOKUP(G195,SETUP_RATES!$A:$H,2,FALSE)))</f>
        <v/>
      </c>
      <c r="O195" s="38" t="str">
        <f>IF(OR(J195="",G195=""),"",J195*VLOOKUP(G195,SETUP_RATES!$A:$H,6,FALSE))</f>
        <v/>
      </c>
      <c r="P195" s="38" t="str">
        <f t="shared" si="1"/>
        <v/>
      </c>
      <c r="Q195" s="33" t="str">
        <f t="shared" si="2"/>
        <v/>
      </c>
    </row>
    <row r="196" ht="15.75" customHeight="1">
      <c r="B196" s="39"/>
      <c r="H196" s="39"/>
      <c r="I196" s="40"/>
      <c r="L196" s="33"/>
      <c r="M196" s="38"/>
      <c r="N196" s="38" t="str">
        <f>IF(OR(F196="",G196=""),"",MAX(F196*VLOOKUP(G196,SETUP_RATES!$A:$H,3,FALSE),VLOOKUP(G196,SETUP_RATES!$A:$H,2,FALSE)))</f>
        <v/>
      </c>
      <c r="O196" s="38" t="str">
        <f>IF(OR(J196="",G196=""),"",J196*VLOOKUP(G196,SETUP_RATES!$A:$H,6,FALSE))</f>
        <v/>
      </c>
      <c r="P196" s="38" t="str">
        <f t="shared" si="1"/>
        <v/>
      </c>
      <c r="Q196" s="33" t="str">
        <f t="shared" si="2"/>
        <v/>
      </c>
    </row>
    <row r="197" ht="15.75" customHeight="1">
      <c r="B197" s="39"/>
      <c r="H197" s="39"/>
      <c r="I197" s="40"/>
      <c r="L197" s="33"/>
      <c r="M197" s="38"/>
      <c r="N197" s="38" t="str">
        <f>IF(OR(F197="",G197=""),"",MAX(F197*VLOOKUP(G197,SETUP_RATES!$A:$H,3,FALSE),VLOOKUP(G197,SETUP_RATES!$A:$H,2,FALSE)))</f>
        <v/>
      </c>
      <c r="O197" s="38" t="str">
        <f>IF(OR(J197="",G197=""),"",J197*VLOOKUP(G197,SETUP_RATES!$A:$H,6,FALSE))</f>
        <v/>
      </c>
      <c r="P197" s="38" t="str">
        <f t="shared" si="1"/>
        <v/>
      </c>
      <c r="Q197" s="33" t="str">
        <f t="shared" si="2"/>
        <v/>
      </c>
    </row>
    <row r="198" ht="15.75" customHeight="1">
      <c r="B198" s="39"/>
      <c r="H198" s="39"/>
      <c r="I198" s="40"/>
      <c r="L198" s="33"/>
      <c r="M198" s="38"/>
      <c r="N198" s="38" t="str">
        <f>IF(OR(F198="",G198=""),"",MAX(F198*VLOOKUP(G198,SETUP_RATES!$A:$H,3,FALSE),VLOOKUP(G198,SETUP_RATES!$A:$H,2,FALSE)))</f>
        <v/>
      </c>
      <c r="O198" s="38" t="str">
        <f>IF(OR(J198="",G198=""),"",J198*VLOOKUP(G198,SETUP_RATES!$A:$H,6,FALSE))</f>
        <v/>
      </c>
      <c r="P198" s="38" t="str">
        <f t="shared" si="1"/>
        <v/>
      </c>
      <c r="Q198" s="33" t="str">
        <f t="shared" si="2"/>
        <v/>
      </c>
    </row>
    <row r="199" ht="15.75" customHeight="1">
      <c r="B199" s="39"/>
      <c r="H199" s="39"/>
      <c r="I199" s="40"/>
      <c r="L199" s="33"/>
      <c r="M199" s="38"/>
      <c r="N199" s="38" t="str">
        <f>IF(OR(F199="",G199=""),"",MAX(F199*VLOOKUP(G199,SETUP_RATES!$A:$H,3,FALSE),VLOOKUP(G199,SETUP_RATES!$A:$H,2,FALSE)))</f>
        <v/>
      </c>
      <c r="O199" s="38" t="str">
        <f>IF(OR(J199="",G199=""),"",J199*VLOOKUP(G199,SETUP_RATES!$A:$H,6,FALSE))</f>
        <v/>
      </c>
      <c r="P199" s="38" t="str">
        <f t="shared" si="1"/>
        <v/>
      </c>
      <c r="Q199" s="33" t="str">
        <f t="shared" si="2"/>
        <v/>
      </c>
    </row>
    <row r="200" ht="15.75" customHeight="1">
      <c r="B200" s="39"/>
      <c r="H200" s="39"/>
      <c r="I200" s="40"/>
      <c r="L200" s="33"/>
      <c r="M200" s="38"/>
      <c r="N200" s="38" t="str">
        <f>IF(OR(F200="",G200=""),"",MAX(F200*VLOOKUP(G200,SETUP_RATES!$A:$H,3,FALSE),VLOOKUP(G200,SETUP_RATES!$A:$H,2,FALSE)))</f>
        <v/>
      </c>
      <c r="O200" s="38" t="str">
        <f>IF(OR(J200="",G200=""),"",J200*VLOOKUP(G200,SETUP_RATES!$A:$H,6,FALSE))</f>
        <v/>
      </c>
      <c r="P200" s="38" t="str">
        <f t="shared" si="1"/>
        <v/>
      </c>
      <c r="Q200" s="33" t="str">
        <f t="shared" si="2"/>
        <v/>
      </c>
    </row>
    <row r="201" ht="15.75" customHeight="1">
      <c r="B201" s="39"/>
      <c r="H201" s="39"/>
      <c r="I201" s="40"/>
      <c r="L201" s="33"/>
      <c r="M201" s="38"/>
      <c r="N201" s="38" t="str">
        <f>IF(OR(F201="",G201=""),"",MAX(F201*VLOOKUP(G201,SETUP_RATES!$A:$H,3,FALSE),VLOOKUP(G201,SETUP_RATES!$A:$H,2,FALSE)))</f>
        <v/>
      </c>
      <c r="O201" s="38" t="str">
        <f>IF(OR(J201="",G201=""),"",J201*VLOOKUP(G201,SETUP_RATES!$A:$H,6,FALSE))</f>
        <v/>
      </c>
      <c r="P201" s="38" t="str">
        <f t="shared" si="1"/>
        <v/>
      </c>
      <c r="Q201" s="33" t="str">
        <f t="shared" si="2"/>
        <v/>
      </c>
    </row>
    <row r="202" ht="15.75" customHeight="1">
      <c r="B202" s="39"/>
      <c r="H202" s="39"/>
      <c r="I202" s="40"/>
      <c r="L202" s="33"/>
      <c r="M202" s="38"/>
      <c r="N202" s="38" t="str">
        <f>IF(OR(F202="",G202=""),"",MAX(F202*VLOOKUP(G202,SETUP_RATES!$A:$H,3,FALSE),VLOOKUP(G202,SETUP_RATES!$A:$H,2,FALSE)))</f>
        <v/>
      </c>
      <c r="O202" s="38" t="str">
        <f>IF(OR(J202="",G202=""),"",J202*VLOOKUP(G202,SETUP_RATES!$A:$H,6,FALSE))</f>
        <v/>
      </c>
      <c r="P202" s="38" t="str">
        <f t="shared" si="1"/>
        <v/>
      </c>
      <c r="Q202" s="33" t="str">
        <f t="shared" si="2"/>
        <v/>
      </c>
    </row>
    <row r="203" ht="15.75" customHeight="1">
      <c r="B203" s="39"/>
      <c r="H203" s="39"/>
      <c r="I203" s="40"/>
      <c r="L203" s="33"/>
      <c r="M203" s="38"/>
      <c r="N203" s="38" t="str">
        <f>IF(OR(F203="",G203=""),"",MAX(F203*VLOOKUP(G203,SETUP_RATES!$A:$H,3,FALSE),VLOOKUP(G203,SETUP_RATES!$A:$H,2,FALSE)))</f>
        <v/>
      </c>
      <c r="O203" s="38" t="str">
        <f>IF(OR(J203="",G203=""),"",J203*VLOOKUP(G203,SETUP_RATES!$A:$H,6,FALSE))</f>
        <v/>
      </c>
      <c r="P203" s="38" t="str">
        <f t="shared" si="1"/>
        <v/>
      </c>
      <c r="Q203" s="33" t="str">
        <f t="shared" si="2"/>
        <v/>
      </c>
    </row>
    <row r="204" ht="15.75" customHeight="1">
      <c r="B204" s="39"/>
      <c r="H204" s="39"/>
      <c r="I204" s="40"/>
      <c r="L204" s="33"/>
      <c r="M204" s="38"/>
      <c r="N204" s="38" t="str">
        <f>IF(OR(F204="",G204=""),"",MAX(F204*VLOOKUP(G204,SETUP_RATES!$A:$H,3,FALSE),VLOOKUP(G204,SETUP_RATES!$A:$H,2,FALSE)))</f>
        <v/>
      </c>
      <c r="O204" s="38" t="str">
        <f>IF(OR(J204="",G204=""),"",J204*VLOOKUP(G204,SETUP_RATES!$A:$H,6,FALSE))</f>
        <v/>
      </c>
      <c r="P204" s="38" t="str">
        <f t="shared" si="1"/>
        <v/>
      </c>
      <c r="Q204" s="33" t="str">
        <f t="shared" si="2"/>
        <v/>
      </c>
    </row>
    <row r="205" ht="15.75" customHeight="1">
      <c r="B205" s="39"/>
      <c r="H205" s="39"/>
      <c r="I205" s="40"/>
      <c r="L205" s="33"/>
      <c r="M205" s="38"/>
      <c r="N205" s="38" t="str">
        <f>IF(OR(F205="",G205=""),"",MAX(F205*VLOOKUP(G205,SETUP_RATES!$A:$H,3,FALSE),VLOOKUP(G205,SETUP_RATES!$A:$H,2,FALSE)))</f>
        <v/>
      </c>
      <c r="O205" s="38" t="str">
        <f>IF(OR(J205="",G205=""),"",J205*VLOOKUP(G205,SETUP_RATES!$A:$H,6,FALSE))</f>
        <v/>
      </c>
      <c r="P205" s="38" t="str">
        <f t="shared" si="1"/>
        <v/>
      </c>
      <c r="Q205" s="33" t="str">
        <f t="shared" si="2"/>
        <v/>
      </c>
    </row>
    <row r="206" ht="15.75" customHeight="1">
      <c r="B206" s="39"/>
      <c r="H206" s="39"/>
      <c r="I206" s="40"/>
      <c r="L206" s="33"/>
      <c r="M206" s="38"/>
      <c r="N206" s="38" t="str">
        <f>IF(OR(F206="",G206=""),"",MAX(F206*VLOOKUP(G206,SETUP_RATES!$A:$H,3,FALSE),VLOOKUP(G206,SETUP_RATES!$A:$H,2,FALSE)))</f>
        <v/>
      </c>
      <c r="O206" s="38" t="str">
        <f>IF(OR(J206="",G206=""),"",J206*VLOOKUP(G206,SETUP_RATES!$A:$H,6,FALSE))</f>
        <v/>
      </c>
      <c r="P206" s="38" t="str">
        <f t="shared" si="1"/>
        <v/>
      </c>
      <c r="Q206" s="33" t="str">
        <f t="shared" si="2"/>
        <v/>
      </c>
    </row>
    <row r="207" ht="15.75" customHeight="1">
      <c r="B207" s="39"/>
      <c r="H207" s="39"/>
      <c r="I207" s="40"/>
      <c r="L207" s="33"/>
      <c r="M207" s="38"/>
      <c r="N207" s="38" t="str">
        <f>IF(OR(F207="",G207=""),"",MAX(F207*VLOOKUP(G207,SETUP_RATES!$A:$H,3,FALSE),VLOOKUP(G207,SETUP_RATES!$A:$H,2,FALSE)))</f>
        <v/>
      </c>
      <c r="O207" s="38" t="str">
        <f>IF(OR(J207="",G207=""),"",J207*VLOOKUP(G207,SETUP_RATES!$A:$H,6,FALSE))</f>
        <v/>
      </c>
      <c r="P207" s="38" t="str">
        <f t="shared" si="1"/>
        <v/>
      </c>
      <c r="Q207" s="33" t="str">
        <f t="shared" si="2"/>
        <v/>
      </c>
    </row>
    <row r="208" ht="15.75" customHeight="1">
      <c r="B208" s="39"/>
      <c r="H208" s="39"/>
      <c r="I208" s="40"/>
      <c r="L208" s="33"/>
      <c r="M208" s="38"/>
      <c r="N208" s="38" t="str">
        <f>IF(OR(F208="",G208=""),"",MAX(F208*VLOOKUP(G208,SETUP_RATES!$A:$H,3,FALSE),VLOOKUP(G208,SETUP_RATES!$A:$H,2,FALSE)))</f>
        <v/>
      </c>
      <c r="O208" s="38" t="str">
        <f>IF(OR(J208="",G208=""),"",J208*VLOOKUP(G208,SETUP_RATES!$A:$H,6,FALSE))</f>
        <v/>
      </c>
      <c r="P208" s="38" t="str">
        <f t="shared" si="1"/>
        <v/>
      </c>
      <c r="Q208" s="33" t="str">
        <f t="shared" si="2"/>
        <v/>
      </c>
    </row>
    <row r="209" ht="15.75" customHeight="1">
      <c r="B209" s="39"/>
      <c r="H209" s="39"/>
      <c r="I209" s="40"/>
      <c r="L209" s="33"/>
      <c r="M209" s="38"/>
      <c r="N209" s="38" t="str">
        <f>IF(OR(F209="",G209=""),"",MAX(F209*VLOOKUP(G209,SETUP_RATES!$A:$H,3,FALSE),VLOOKUP(G209,SETUP_RATES!$A:$H,2,FALSE)))</f>
        <v/>
      </c>
      <c r="O209" s="38" t="str">
        <f>IF(OR(J209="",G209=""),"",J209*VLOOKUP(G209,SETUP_RATES!$A:$H,6,FALSE))</f>
        <v/>
      </c>
      <c r="P209" s="38" t="str">
        <f t="shared" si="1"/>
        <v/>
      </c>
      <c r="Q209" s="33" t="str">
        <f t="shared" si="2"/>
        <v/>
      </c>
    </row>
    <row r="210" ht="15.75" customHeight="1">
      <c r="B210" s="39"/>
      <c r="H210" s="39"/>
      <c r="I210" s="40"/>
      <c r="L210" s="33"/>
      <c r="M210" s="38"/>
      <c r="N210" s="38" t="str">
        <f>IF(OR(F210="",G210=""),"",MAX(F210*VLOOKUP(G210,SETUP_RATES!$A:$H,3,FALSE),VLOOKUP(G210,SETUP_RATES!$A:$H,2,FALSE)))</f>
        <v/>
      </c>
      <c r="O210" s="38" t="str">
        <f>IF(OR(J210="",G210=""),"",J210*VLOOKUP(G210,SETUP_RATES!$A:$H,6,FALSE))</f>
        <v/>
      </c>
      <c r="P210" s="38" t="str">
        <f t="shared" si="1"/>
        <v/>
      </c>
      <c r="Q210" s="33" t="str">
        <f t="shared" si="2"/>
        <v/>
      </c>
    </row>
    <row r="211" ht="15.75" customHeight="1">
      <c r="B211" s="39"/>
      <c r="H211" s="39"/>
      <c r="I211" s="40"/>
      <c r="L211" s="33"/>
      <c r="M211" s="38"/>
      <c r="N211" s="38" t="str">
        <f>IF(OR(F211="",G211=""),"",MAX(F211*VLOOKUP(G211,SETUP_RATES!$A:$H,3,FALSE),VLOOKUP(G211,SETUP_RATES!$A:$H,2,FALSE)))</f>
        <v/>
      </c>
      <c r="O211" s="38" t="str">
        <f>IF(OR(J211="",G211=""),"",J211*VLOOKUP(G211,SETUP_RATES!$A:$H,6,FALSE))</f>
        <v/>
      </c>
      <c r="P211" s="38" t="str">
        <f t="shared" si="1"/>
        <v/>
      </c>
      <c r="Q211" s="33" t="str">
        <f t="shared" si="2"/>
        <v/>
      </c>
    </row>
    <row r="212" ht="15.75" customHeight="1">
      <c r="B212" s="39"/>
      <c r="H212" s="39"/>
      <c r="I212" s="40"/>
      <c r="L212" s="33"/>
      <c r="M212" s="38"/>
      <c r="N212" s="38" t="str">
        <f>IF(OR(F212="",G212=""),"",MAX(F212*VLOOKUP(G212,SETUP_RATES!$A:$H,3,FALSE),VLOOKUP(G212,SETUP_RATES!$A:$H,2,FALSE)))</f>
        <v/>
      </c>
      <c r="O212" s="38" t="str">
        <f>IF(OR(J212="",G212=""),"",J212*VLOOKUP(G212,SETUP_RATES!$A:$H,6,FALSE))</f>
        <v/>
      </c>
      <c r="P212" s="38" t="str">
        <f t="shared" si="1"/>
        <v/>
      </c>
      <c r="Q212" s="33" t="str">
        <f t="shared" si="2"/>
        <v/>
      </c>
    </row>
    <row r="213" ht="15.75" customHeight="1">
      <c r="B213" s="39"/>
      <c r="H213" s="39"/>
      <c r="I213" s="40"/>
      <c r="L213" s="33"/>
      <c r="M213" s="38"/>
      <c r="N213" s="38" t="str">
        <f>IF(OR(F213="",G213=""),"",MAX(F213*VLOOKUP(G213,SETUP_RATES!$A:$H,3,FALSE),VLOOKUP(G213,SETUP_RATES!$A:$H,2,FALSE)))</f>
        <v/>
      </c>
      <c r="O213" s="38" t="str">
        <f>IF(OR(J213="",G213=""),"",J213*VLOOKUP(G213,SETUP_RATES!$A:$H,6,FALSE))</f>
        <v/>
      </c>
      <c r="P213" s="38" t="str">
        <f t="shared" si="1"/>
        <v/>
      </c>
      <c r="Q213" s="33" t="str">
        <f t="shared" si="2"/>
        <v/>
      </c>
    </row>
    <row r="214" ht="15.75" customHeight="1">
      <c r="B214" s="39"/>
      <c r="H214" s="39"/>
      <c r="I214" s="40"/>
      <c r="L214" s="33"/>
      <c r="M214" s="38"/>
      <c r="N214" s="38" t="str">
        <f>IF(OR(F214="",G214=""),"",MAX(F214*VLOOKUP(G214,SETUP_RATES!$A:$H,3,FALSE),VLOOKUP(G214,SETUP_RATES!$A:$H,2,FALSE)))</f>
        <v/>
      </c>
      <c r="O214" s="38" t="str">
        <f>IF(OR(J214="",G214=""),"",J214*VLOOKUP(G214,SETUP_RATES!$A:$H,6,FALSE))</f>
        <v/>
      </c>
      <c r="P214" s="38" t="str">
        <f t="shared" si="1"/>
        <v/>
      </c>
      <c r="Q214" s="33" t="str">
        <f t="shared" si="2"/>
        <v/>
      </c>
    </row>
    <row r="215" ht="15.75" customHeight="1">
      <c r="B215" s="39"/>
      <c r="H215" s="39"/>
      <c r="I215" s="40"/>
      <c r="L215" s="33"/>
      <c r="M215" s="38"/>
      <c r="N215" s="38" t="str">
        <f>IF(OR(F215="",G215=""),"",MAX(F215*VLOOKUP(G215,SETUP_RATES!$A:$H,3,FALSE),VLOOKUP(G215,SETUP_RATES!$A:$H,2,FALSE)))</f>
        <v/>
      </c>
      <c r="O215" s="38" t="str">
        <f>IF(OR(J215="",G215=""),"",J215*VLOOKUP(G215,SETUP_RATES!$A:$H,6,FALSE))</f>
        <v/>
      </c>
      <c r="P215" s="38" t="str">
        <f t="shared" si="1"/>
        <v/>
      </c>
      <c r="Q215" s="33" t="str">
        <f t="shared" si="2"/>
        <v/>
      </c>
    </row>
    <row r="216" ht="15.75" customHeight="1">
      <c r="B216" s="39"/>
      <c r="H216" s="39"/>
      <c r="I216" s="40"/>
      <c r="L216" s="33"/>
      <c r="M216" s="38"/>
      <c r="N216" s="38" t="str">
        <f>IF(OR(F216="",G216=""),"",MAX(F216*VLOOKUP(G216,SETUP_RATES!$A:$H,3,FALSE),VLOOKUP(G216,SETUP_RATES!$A:$H,2,FALSE)))</f>
        <v/>
      </c>
      <c r="O216" s="38" t="str">
        <f>IF(OR(J216="",G216=""),"",J216*VLOOKUP(G216,SETUP_RATES!$A:$H,6,FALSE))</f>
        <v/>
      </c>
      <c r="P216" s="38" t="str">
        <f t="shared" si="1"/>
        <v/>
      </c>
      <c r="Q216" s="33" t="str">
        <f t="shared" si="2"/>
        <v/>
      </c>
    </row>
    <row r="217" ht="15.75" customHeight="1">
      <c r="B217" s="39"/>
      <c r="H217" s="39"/>
      <c r="I217" s="40"/>
      <c r="L217" s="33"/>
      <c r="M217" s="38"/>
      <c r="N217" s="38" t="str">
        <f>IF(OR(F217="",G217=""),"",MAX(F217*VLOOKUP(G217,SETUP_RATES!$A:$H,3,FALSE),VLOOKUP(G217,SETUP_RATES!$A:$H,2,FALSE)))</f>
        <v/>
      </c>
      <c r="O217" s="38" t="str">
        <f>IF(OR(J217="",G217=""),"",J217*VLOOKUP(G217,SETUP_RATES!$A:$H,6,FALSE))</f>
        <v/>
      </c>
      <c r="P217" s="38" t="str">
        <f t="shared" si="1"/>
        <v/>
      </c>
      <c r="Q217" s="33" t="str">
        <f t="shared" si="2"/>
        <v/>
      </c>
    </row>
    <row r="218" ht="15.75" customHeight="1">
      <c r="B218" s="39"/>
      <c r="H218" s="39"/>
      <c r="I218" s="40"/>
      <c r="L218" s="33"/>
      <c r="M218" s="38"/>
      <c r="N218" s="38" t="str">
        <f>IF(OR(F218="",G218=""),"",MAX(F218*VLOOKUP(G218,SETUP_RATES!$A:$H,3,FALSE),VLOOKUP(G218,SETUP_RATES!$A:$H,2,FALSE)))</f>
        <v/>
      </c>
      <c r="O218" s="38" t="str">
        <f>IF(OR(J218="",G218=""),"",J218*VLOOKUP(G218,SETUP_RATES!$A:$H,6,FALSE))</f>
        <v/>
      </c>
      <c r="P218" s="38" t="str">
        <f t="shared" si="1"/>
        <v/>
      </c>
      <c r="Q218" s="33" t="str">
        <f t="shared" si="2"/>
        <v/>
      </c>
    </row>
    <row r="219" ht="15.75" customHeight="1">
      <c r="B219" s="39"/>
      <c r="H219" s="39"/>
      <c r="I219" s="40"/>
      <c r="L219" s="33"/>
      <c r="M219" s="38"/>
      <c r="N219" s="38" t="str">
        <f>IF(OR(F219="",G219=""),"",MAX(F219*VLOOKUP(G219,SETUP_RATES!$A:$H,3,FALSE),VLOOKUP(G219,SETUP_RATES!$A:$H,2,FALSE)))</f>
        <v/>
      </c>
      <c r="O219" s="38" t="str">
        <f>IF(OR(J219="",G219=""),"",J219*VLOOKUP(G219,SETUP_RATES!$A:$H,6,FALSE))</f>
        <v/>
      </c>
      <c r="P219" s="38" t="str">
        <f t="shared" si="1"/>
        <v/>
      </c>
      <c r="Q219" s="33" t="str">
        <f t="shared" si="2"/>
        <v/>
      </c>
    </row>
    <row r="220" ht="15.75" customHeight="1">
      <c r="B220" s="39"/>
      <c r="H220" s="39"/>
      <c r="I220" s="40"/>
      <c r="L220" s="33"/>
      <c r="M220" s="38"/>
      <c r="N220" s="38" t="str">
        <f>IF(OR(F220="",G220=""),"",MAX(F220*VLOOKUP(G220,SETUP_RATES!$A:$H,3,FALSE),VLOOKUP(G220,SETUP_RATES!$A:$H,2,FALSE)))</f>
        <v/>
      </c>
      <c r="O220" s="38" t="str">
        <f>IF(OR(J220="",G220=""),"",J220*VLOOKUP(G220,SETUP_RATES!$A:$H,6,FALSE))</f>
        <v/>
      </c>
      <c r="P220" s="38" t="str">
        <f t="shared" si="1"/>
        <v/>
      </c>
      <c r="Q220" s="33" t="str">
        <f t="shared" si="2"/>
        <v/>
      </c>
    </row>
    <row r="221" ht="15.75" customHeight="1">
      <c r="B221" s="39"/>
      <c r="H221" s="39"/>
      <c r="I221" s="40"/>
      <c r="L221" s="33"/>
      <c r="M221" s="38"/>
      <c r="N221" s="38" t="str">
        <f>IF(OR(F221="",G221=""),"",MAX(F221*VLOOKUP(G221,SETUP_RATES!$A:$H,3,FALSE),VLOOKUP(G221,SETUP_RATES!$A:$H,2,FALSE)))</f>
        <v/>
      </c>
      <c r="O221" s="38" t="str">
        <f>IF(OR(J221="",G221=""),"",J221*VLOOKUP(G221,SETUP_RATES!$A:$H,6,FALSE))</f>
        <v/>
      </c>
      <c r="P221" s="38" t="str">
        <f t="shared" si="1"/>
        <v/>
      </c>
      <c r="Q221" s="33" t="str">
        <f t="shared" si="2"/>
        <v/>
      </c>
    </row>
    <row r="222" ht="15.75" customHeight="1">
      <c r="B222" s="39"/>
      <c r="H222" s="39"/>
      <c r="I222" s="40"/>
      <c r="L222" s="33"/>
      <c r="M222" s="38"/>
      <c r="N222" s="38" t="str">
        <f>IF(OR(F222="",G222=""),"",MAX(F222*VLOOKUP(G222,SETUP_RATES!$A:$H,3,FALSE),VLOOKUP(G222,SETUP_RATES!$A:$H,2,FALSE)))</f>
        <v/>
      </c>
      <c r="O222" s="38" t="str">
        <f>IF(OR(J222="",G222=""),"",J222*VLOOKUP(G222,SETUP_RATES!$A:$H,6,FALSE))</f>
        <v/>
      </c>
      <c r="P222" s="38" t="str">
        <f t="shared" si="1"/>
        <v/>
      </c>
      <c r="Q222" s="33" t="str">
        <f t="shared" si="2"/>
        <v/>
      </c>
    </row>
    <row r="223" ht="15.75" customHeight="1">
      <c r="B223" s="39"/>
      <c r="H223" s="39"/>
      <c r="I223" s="40"/>
      <c r="L223" s="33"/>
      <c r="M223" s="38"/>
      <c r="N223" s="38" t="str">
        <f>IF(OR(F223="",G223=""),"",MAX(F223*VLOOKUP(G223,SETUP_RATES!$A:$H,3,FALSE),VLOOKUP(G223,SETUP_RATES!$A:$H,2,FALSE)))</f>
        <v/>
      </c>
      <c r="O223" s="38" t="str">
        <f>IF(OR(J223="",G223=""),"",J223*VLOOKUP(G223,SETUP_RATES!$A:$H,6,FALSE))</f>
        <v/>
      </c>
      <c r="P223" s="38" t="str">
        <f t="shared" si="1"/>
        <v/>
      </c>
      <c r="Q223" s="33" t="str">
        <f t="shared" si="2"/>
        <v/>
      </c>
    </row>
    <row r="224" ht="15.75" customHeight="1">
      <c r="B224" s="39"/>
      <c r="H224" s="39"/>
      <c r="I224" s="40"/>
      <c r="L224" s="33"/>
      <c r="M224" s="38"/>
      <c r="N224" s="38" t="str">
        <f>IF(OR(F224="",G224=""),"",MAX(F224*VLOOKUP(G224,SETUP_RATES!$A:$H,3,FALSE),VLOOKUP(G224,SETUP_RATES!$A:$H,2,FALSE)))</f>
        <v/>
      </c>
      <c r="O224" s="38" t="str">
        <f>IF(OR(J224="",G224=""),"",J224*VLOOKUP(G224,SETUP_RATES!$A:$H,6,FALSE))</f>
        <v/>
      </c>
      <c r="P224" s="38" t="str">
        <f t="shared" si="1"/>
        <v/>
      </c>
      <c r="Q224" s="33" t="str">
        <f t="shared" si="2"/>
        <v/>
      </c>
    </row>
    <row r="225" ht="15.75" customHeight="1">
      <c r="B225" s="39"/>
      <c r="H225" s="39"/>
      <c r="I225" s="40"/>
      <c r="L225" s="33"/>
      <c r="M225" s="38"/>
      <c r="N225" s="38" t="str">
        <f>IF(OR(F225="",G225=""),"",MAX(F225*VLOOKUP(G225,SETUP_RATES!$A:$H,3,FALSE),VLOOKUP(G225,SETUP_RATES!$A:$H,2,FALSE)))</f>
        <v/>
      </c>
      <c r="O225" s="38" t="str">
        <f>IF(OR(J225="",G225=""),"",J225*VLOOKUP(G225,SETUP_RATES!$A:$H,6,FALSE))</f>
        <v/>
      </c>
      <c r="P225" s="38" t="str">
        <f t="shared" si="1"/>
        <v/>
      </c>
      <c r="Q225" s="33" t="str">
        <f t="shared" si="2"/>
        <v/>
      </c>
    </row>
    <row r="226" ht="15.75" customHeight="1">
      <c r="B226" s="39"/>
      <c r="H226" s="39"/>
      <c r="I226" s="40"/>
      <c r="L226" s="33"/>
      <c r="M226" s="38"/>
      <c r="N226" s="38" t="str">
        <f>IF(OR(F226="",G226=""),"",MAX(F226*VLOOKUP(G226,SETUP_RATES!$A:$H,3,FALSE),VLOOKUP(G226,SETUP_RATES!$A:$H,2,FALSE)))</f>
        <v/>
      </c>
      <c r="O226" s="38" t="str">
        <f>IF(OR(J226="",G226=""),"",J226*VLOOKUP(G226,SETUP_RATES!$A:$H,6,FALSE))</f>
        <v/>
      </c>
      <c r="P226" s="38" t="str">
        <f t="shared" si="1"/>
        <v/>
      </c>
      <c r="Q226" s="33" t="str">
        <f t="shared" si="2"/>
        <v/>
      </c>
    </row>
    <row r="227" ht="15.75" customHeight="1">
      <c r="B227" s="39"/>
      <c r="H227" s="39"/>
      <c r="I227" s="40"/>
      <c r="L227" s="33"/>
      <c r="M227" s="38"/>
      <c r="N227" s="38" t="str">
        <f>IF(OR(F227="",G227=""),"",MAX(F227*VLOOKUP(G227,SETUP_RATES!$A:$H,3,FALSE),VLOOKUP(G227,SETUP_RATES!$A:$H,2,FALSE)))</f>
        <v/>
      </c>
      <c r="O227" s="38" t="str">
        <f>IF(OR(J227="",G227=""),"",J227*VLOOKUP(G227,SETUP_RATES!$A:$H,6,FALSE))</f>
        <v/>
      </c>
      <c r="P227" s="38" t="str">
        <f t="shared" si="1"/>
        <v/>
      </c>
      <c r="Q227" s="33" t="str">
        <f t="shared" si="2"/>
        <v/>
      </c>
    </row>
    <row r="228" ht="15.75" customHeight="1">
      <c r="B228" s="39"/>
      <c r="H228" s="39"/>
      <c r="I228" s="40"/>
      <c r="L228" s="33"/>
      <c r="M228" s="38"/>
      <c r="N228" s="38" t="str">
        <f>IF(OR(F228="",G228=""),"",MAX(F228*VLOOKUP(G228,SETUP_RATES!$A:$H,3,FALSE),VLOOKUP(G228,SETUP_RATES!$A:$H,2,FALSE)))</f>
        <v/>
      </c>
      <c r="O228" s="38" t="str">
        <f>IF(OR(J228="",G228=""),"",J228*VLOOKUP(G228,SETUP_RATES!$A:$H,6,FALSE))</f>
        <v/>
      </c>
      <c r="P228" s="38" t="str">
        <f t="shared" si="1"/>
        <v/>
      </c>
      <c r="Q228" s="33" t="str">
        <f t="shared" si="2"/>
        <v/>
      </c>
    </row>
    <row r="229" ht="15.75" customHeight="1">
      <c r="B229" s="39"/>
      <c r="H229" s="39"/>
      <c r="I229" s="40"/>
      <c r="L229" s="33"/>
      <c r="M229" s="38"/>
      <c r="N229" s="38" t="str">
        <f>IF(OR(F229="",G229=""),"",MAX(F229*VLOOKUP(G229,SETUP_RATES!$A:$H,3,FALSE),VLOOKUP(G229,SETUP_RATES!$A:$H,2,FALSE)))</f>
        <v/>
      </c>
      <c r="O229" s="38" t="str">
        <f>IF(OR(J229="",G229=""),"",J229*VLOOKUP(G229,SETUP_RATES!$A:$H,6,FALSE))</f>
        <v/>
      </c>
      <c r="P229" s="38" t="str">
        <f t="shared" si="1"/>
        <v/>
      </c>
      <c r="Q229" s="33" t="str">
        <f t="shared" si="2"/>
        <v/>
      </c>
    </row>
    <row r="230" ht="15.75" customHeight="1">
      <c r="B230" s="39"/>
      <c r="H230" s="39"/>
      <c r="I230" s="40"/>
      <c r="L230" s="33"/>
      <c r="M230" s="38"/>
      <c r="N230" s="38" t="str">
        <f>IF(OR(F230="",G230=""),"",MAX(F230*VLOOKUP(G230,SETUP_RATES!$A:$H,3,FALSE),VLOOKUP(G230,SETUP_RATES!$A:$H,2,FALSE)))</f>
        <v/>
      </c>
      <c r="O230" s="38" t="str">
        <f>IF(OR(J230="",G230=""),"",J230*VLOOKUP(G230,SETUP_RATES!$A:$H,6,FALSE))</f>
        <v/>
      </c>
      <c r="P230" s="38" t="str">
        <f t="shared" si="1"/>
        <v/>
      </c>
      <c r="Q230" s="33" t="str">
        <f t="shared" si="2"/>
        <v/>
      </c>
    </row>
    <row r="231" ht="15.75" customHeight="1">
      <c r="B231" s="39"/>
      <c r="H231" s="39"/>
      <c r="I231" s="40"/>
      <c r="L231" s="33"/>
      <c r="M231" s="38"/>
      <c r="N231" s="38" t="str">
        <f>IF(OR(F231="",G231=""),"",MAX(F231*VLOOKUP(G231,SETUP_RATES!$A:$H,3,FALSE),VLOOKUP(G231,SETUP_RATES!$A:$H,2,FALSE)))</f>
        <v/>
      </c>
      <c r="O231" s="38" t="str">
        <f>IF(OR(J231="",G231=""),"",J231*VLOOKUP(G231,SETUP_RATES!$A:$H,6,FALSE))</f>
        <v/>
      </c>
      <c r="P231" s="38" t="str">
        <f t="shared" si="1"/>
        <v/>
      </c>
      <c r="Q231" s="33" t="str">
        <f t="shared" si="2"/>
        <v/>
      </c>
    </row>
    <row r="232" ht="15.75" customHeight="1">
      <c r="B232" s="39"/>
      <c r="H232" s="39"/>
      <c r="I232" s="40"/>
      <c r="L232" s="33"/>
      <c r="M232" s="38"/>
      <c r="N232" s="38" t="str">
        <f>IF(OR(F232="",G232=""),"",MAX(F232*VLOOKUP(G232,SETUP_RATES!$A:$H,3,FALSE),VLOOKUP(G232,SETUP_RATES!$A:$H,2,FALSE)))</f>
        <v/>
      </c>
      <c r="O232" s="38" t="str">
        <f>IF(OR(J232="",G232=""),"",J232*VLOOKUP(G232,SETUP_RATES!$A:$H,6,FALSE))</f>
        <v/>
      </c>
      <c r="P232" s="38" t="str">
        <f t="shared" si="1"/>
        <v/>
      </c>
      <c r="Q232" s="33" t="str">
        <f t="shared" si="2"/>
        <v/>
      </c>
    </row>
    <row r="233" ht="15.75" customHeight="1">
      <c r="B233" s="39"/>
      <c r="H233" s="39"/>
      <c r="I233" s="40"/>
      <c r="L233" s="33"/>
      <c r="M233" s="38"/>
      <c r="N233" s="38" t="str">
        <f>IF(OR(F233="",G233=""),"",MAX(F233*VLOOKUP(G233,SETUP_RATES!$A:$H,3,FALSE),VLOOKUP(G233,SETUP_RATES!$A:$H,2,FALSE)))</f>
        <v/>
      </c>
      <c r="O233" s="38" t="str">
        <f>IF(OR(J233="",G233=""),"",J233*VLOOKUP(G233,SETUP_RATES!$A:$H,6,FALSE))</f>
        <v/>
      </c>
      <c r="P233" s="38" t="str">
        <f t="shared" si="1"/>
        <v/>
      </c>
      <c r="Q233" s="33" t="str">
        <f t="shared" si="2"/>
        <v/>
      </c>
    </row>
    <row r="234" ht="15.75" customHeight="1">
      <c r="B234" s="39"/>
      <c r="H234" s="39"/>
      <c r="I234" s="40"/>
      <c r="L234" s="33"/>
      <c r="M234" s="38"/>
      <c r="N234" s="38" t="str">
        <f>IF(OR(F234="",G234=""),"",MAX(F234*VLOOKUP(G234,SETUP_RATES!$A:$H,3,FALSE),VLOOKUP(G234,SETUP_RATES!$A:$H,2,FALSE)))</f>
        <v/>
      </c>
      <c r="O234" s="38" t="str">
        <f>IF(OR(J234="",G234=""),"",J234*VLOOKUP(G234,SETUP_RATES!$A:$H,6,FALSE))</f>
        <v/>
      </c>
      <c r="P234" s="38" t="str">
        <f t="shared" si="1"/>
        <v/>
      </c>
      <c r="Q234" s="33" t="str">
        <f t="shared" si="2"/>
        <v/>
      </c>
    </row>
    <row r="235" ht="15.75" customHeight="1">
      <c r="B235" s="39"/>
      <c r="H235" s="39"/>
      <c r="I235" s="40"/>
      <c r="L235" s="33"/>
      <c r="M235" s="38"/>
      <c r="N235" s="38" t="str">
        <f>IF(OR(F235="",G235=""),"",MAX(F235*VLOOKUP(G235,SETUP_RATES!$A:$H,3,FALSE),VLOOKUP(G235,SETUP_RATES!$A:$H,2,FALSE)))</f>
        <v/>
      </c>
      <c r="O235" s="38" t="str">
        <f>IF(OR(J235="",G235=""),"",J235*VLOOKUP(G235,SETUP_RATES!$A:$H,6,FALSE))</f>
        <v/>
      </c>
      <c r="P235" s="38" t="str">
        <f t="shared" si="1"/>
        <v/>
      </c>
      <c r="Q235" s="33" t="str">
        <f t="shared" si="2"/>
        <v/>
      </c>
    </row>
    <row r="236" ht="15.75" customHeight="1">
      <c r="B236" s="39"/>
      <c r="H236" s="39"/>
      <c r="I236" s="40"/>
      <c r="L236" s="33"/>
      <c r="M236" s="38"/>
      <c r="N236" s="38" t="str">
        <f>IF(OR(F236="",G236=""),"",MAX(F236*VLOOKUP(G236,SETUP_RATES!$A:$H,3,FALSE),VLOOKUP(G236,SETUP_RATES!$A:$H,2,FALSE)))</f>
        <v/>
      </c>
      <c r="O236" s="38" t="str">
        <f>IF(OR(J236="",G236=""),"",J236*VLOOKUP(G236,SETUP_RATES!$A:$H,6,FALSE))</f>
        <v/>
      </c>
      <c r="P236" s="38" t="str">
        <f t="shared" si="1"/>
        <v/>
      </c>
      <c r="Q236" s="33" t="str">
        <f t="shared" si="2"/>
        <v/>
      </c>
    </row>
    <row r="237" ht="15.75" customHeight="1">
      <c r="B237" s="39"/>
      <c r="H237" s="39"/>
      <c r="I237" s="40"/>
      <c r="L237" s="33"/>
      <c r="M237" s="38"/>
      <c r="N237" s="38" t="str">
        <f>IF(OR(F237="",G237=""),"",MAX(F237*VLOOKUP(G237,SETUP_RATES!$A:$H,3,FALSE),VLOOKUP(G237,SETUP_RATES!$A:$H,2,FALSE)))</f>
        <v/>
      </c>
      <c r="O237" s="38" t="str">
        <f>IF(OR(J237="",G237=""),"",J237*VLOOKUP(G237,SETUP_RATES!$A:$H,6,FALSE))</f>
        <v/>
      </c>
      <c r="P237" s="38" t="str">
        <f t="shared" si="1"/>
        <v/>
      </c>
      <c r="Q237" s="33" t="str">
        <f t="shared" si="2"/>
        <v/>
      </c>
    </row>
    <row r="238" ht="15.75" customHeight="1">
      <c r="B238" s="39"/>
      <c r="H238" s="39"/>
      <c r="I238" s="40"/>
      <c r="L238" s="33"/>
      <c r="M238" s="38"/>
      <c r="N238" s="38" t="str">
        <f>IF(OR(F238="",G238=""),"",MAX(F238*VLOOKUP(G238,SETUP_RATES!$A:$H,3,FALSE),VLOOKUP(G238,SETUP_RATES!$A:$H,2,FALSE)))</f>
        <v/>
      </c>
      <c r="O238" s="38" t="str">
        <f>IF(OR(J238="",G238=""),"",J238*VLOOKUP(G238,SETUP_RATES!$A:$H,6,FALSE))</f>
        <v/>
      </c>
      <c r="P238" s="38" t="str">
        <f t="shared" si="1"/>
        <v/>
      </c>
      <c r="Q238" s="33" t="str">
        <f t="shared" si="2"/>
        <v/>
      </c>
    </row>
    <row r="239" ht="15.75" customHeight="1">
      <c r="B239" s="39"/>
      <c r="H239" s="39"/>
      <c r="I239" s="40"/>
      <c r="L239" s="33"/>
      <c r="M239" s="38"/>
      <c r="N239" s="38" t="str">
        <f>IF(OR(F239="",G239=""),"",MAX(F239*VLOOKUP(G239,SETUP_RATES!$A:$H,3,FALSE),VLOOKUP(G239,SETUP_RATES!$A:$H,2,FALSE)))</f>
        <v/>
      </c>
      <c r="O239" s="38" t="str">
        <f>IF(OR(J239="",G239=""),"",J239*VLOOKUP(G239,SETUP_RATES!$A:$H,6,FALSE))</f>
        <v/>
      </c>
      <c r="P239" s="38" t="str">
        <f t="shared" si="1"/>
        <v/>
      </c>
      <c r="Q239" s="33" t="str">
        <f t="shared" si="2"/>
        <v/>
      </c>
    </row>
    <row r="240" ht="15.75" customHeight="1">
      <c r="B240" s="39"/>
      <c r="H240" s="39"/>
      <c r="I240" s="40"/>
      <c r="L240" s="33"/>
      <c r="M240" s="38"/>
      <c r="N240" s="38" t="str">
        <f>IF(OR(F240="",G240=""),"",MAX(F240*VLOOKUP(G240,SETUP_RATES!$A:$H,3,FALSE),VLOOKUP(G240,SETUP_RATES!$A:$H,2,FALSE)))</f>
        <v/>
      </c>
      <c r="O240" s="38" t="str">
        <f>IF(OR(J240="",G240=""),"",J240*VLOOKUP(G240,SETUP_RATES!$A:$H,6,FALSE))</f>
        <v/>
      </c>
      <c r="P240" s="38" t="str">
        <f t="shared" si="1"/>
        <v/>
      </c>
      <c r="Q240" s="33" t="str">
        <f t="shared" si="2"/>
        <v/>
      </c>
    </row>
    <row r="241" ht="15.75" customHeight="1">
      <c r="B241" s="39"/>
      <c r="H241" s="39"/>
      <c r="I241" s="40"/>
      <c r="L241" s="33"/>
      <c r="M241" s="38"/>
      <c r="N241" s="38" t="str">
        <f>IF(OR(F241="",G241=""),"",MAX(F241*VLOOKUP(G241,SETUP_RATES!$A:$H,3,FALSE),VLOOKUP(G241,SETUP_RATES!$A:$H,2,FALSE)))</f>
        <v/>
      </c>
      <c r="O241" s="38" t="str">
        <f>IF(OR(J241="",G241=""),"",J241*VLOOKUP(G241,SETUP_RATES!$A:$H,6,FALSE))</f>
        <v/>
      </c>
      <c r="P241" s="38" t="str">
        <f t="shared" si="1"/>
        <v/>
      </c>
      <c r="Q241" s="33" t="str">
        <f t="shared" si="2"/>
        <v/>
      </c>
    </row>
    <row r="242" ht="15.75" customHeight="1">
      <c r="B242" s="39"/>
      <c r="H242" s="39"/>
      <c r="I242" s="40"/>
      <c r="L242" s="33"/>
      <c r="M242" s="38"/>
      <c r="N242" s="38" t="str">
        <f>IF(OR(F242="",G242=""),"",MAX(F242*VLOOKUP(G242,SETUP_RATES!$A:$H,3,FALSE),VLOOKUP(G242,SETUP_RATES!$A:$H,2,FALSE)))</f>
        <v/>
      </c>
      <c r="O242" s="38" t="str">
        <f>IF(OR(J242="",G242=""),"",J242*VLOOKUP(G242,SETUP_RATES!$A:$H,6,FALSE))</f>
        <v/>
      </c>
      <c r="P242" s="38" t="str">
        <f t="shared" si="1"/>
        <v/>
      </c>
      <c r="Q242" s="33" t="str">
        <f t="shared" si="2"/>
        <v/>
      </c>
    </row>
    <row r="243" ht="15.75" customHeight="1">
      <c r="B243" s="39"/>
      <c r="H243" s="39"/>
      <c r="I243" s="40"/>
      <c r="L243" s="33"/>
      <c r="M243" s="38"/>
      <c r="N243" s="38" t="str">
        <f>IF(OR(F243="",G243=""),"",MAX(F243*VLOOKUP(G243,SETUP_RATES!$A:$H,3,FALSE),VLOOKUP(G243,SETUP_RATES!$A:$H,2,FALSE)))</f>
        <v/>
      </c>
      <c r="O243" s="38" t="str">
        <f>IF(OR(J243="",G243=""),"",J243*VLOOKUP(G243,SETUP_RATES!$A:$H,6,FALSE))</f>
        <v/>
      </c>
      <c r="P243" s="38" t="str">
        <f t="shared" si="1"/>
        <v/>
      </c>
      <c r="Q243" s="33" t="str">
        <f t="shared" si="2"/>
        <v/>
      </c>
    </row>
    <row r="244" ht="15.75" customHeight="1">
      <c r="B244" s="39"/>
      <c r="H244" s="39"/>
      <c r="I244" s="40"/>
      <c r="L244" s="33"/>
      <c r="M244" s="38"/>
      <c r="N244" s="38" t="str">
        <f>IF(OR(F244="",G244=""),"",MAX(F244*VLOOKUP(G244,SETUP_RATES!$A:$H,3,FALSE),VLOOKUP(G244,SETUP_RATES!$A:$H,2,FALSE)))</f>
        <v/>
      </c>
      <c r="O244" s="38" t="str">
        <f>IF(OR(J244="",G244=""),"",J244*VLOOKUP(G244,SETUP_RATES!$A:$H,6,FALSE))</f>
        <v/>
      </c>
      <c r="P244" s="38" t="str">
        <f t="shared" si="1"/>
        <v/>
      </c>
      <c r="Q244" s="33" t="str">
        <f t="shared" si="2"/>
        <v/>
      </c>
    </row>
    <row r="245" ht="15.75" customHeight="1">
      <c r="B245" s="39"/>
      <c r="H245" s="39"/>
      <c r="I245" s="40"/>
      <c r="L245" s="33"/>
      <c r="M245" s="38"/>
      <c r="N245" s="38" t="str">
        <f>IF(OR(F245="",G245=""),"",MAX(F245*VLOOKUP(G245,SETUP_RATES!$A:$H,3,FALSE),VLOOKUP(G245,SETUP_RATES!$A:$H,2,FALSE)))</f>
        <v/>
      </c>
      <c r="O245" s="38" t="str">
        <f>IF(OR(J245="",G245=""),"",J245*VLOOKUP(G245,SETUP_RATES!$A:$H,6,FALSE))</f>
        <v/>
      </c>
      <c r="P245" s="38" t="str">
        <f t="shared" si="1"/>
        <v/>
      </c>
      <c r="Q245" s="33" t="str">
        <f t="shared" si="2"/>
        <v/>
      </c>
    </row>
    <row r="246" ht="15.75" customHeight="1">
      <c r="B246" s="39"/>
      <c r="H246" s="39"/>
      <c r="I246" s="40"/>
      <c r="L246" s="33"/>
      <c r="M246" s="38"/>
      <c r="N246" s="38" t="str">
        <f>IF(OR(F246="",G246=""),"",MAX(F246*VLOOKUP(G246,SETUP_RATES!$A:$H,3,FALSE),VLOOKUP(G246,SETUP_RATES!$A:$H,2,FALSE)))</f>
        <v/>
      </c>
      <c r="O246" s="38" t="str">
        <f>IF(OR(J246="",G246=""),"",J246*VLOOKUP(G246,SETUP_RATES!$A:$H,6,FALSE))</f>
        <v/>
      </c>
      <c r="P246" s="38" t="str">
        <f t="shared" si="1"/>
        <v/>
      </c>
      <c r="Q246" s="33" t="str">
        <f t="shared" si="2"/>
        <v/>
      </c>
    </row>
    <row r="247" ht="15.75" customHeight="1">
      <c r="B247" s="39"/>
      <c r="H247" s="39"/>
      <c r="I247" s="40"/>
      <c r="L247" s="33"/>
      <c r="M247" s="38"/>
      <c r="N247" s="38" t="str">
        <f>IF(OR(F247="",G247=""),"",MAX(F247*VLOOKUP(G247,SETUP_RATES!$A:$H,3,FALSE),VLOOKUP(G247,SETUP_RATES!$A:$H,2,FALSE)))</f>
        <v/>
      </c>
      <c r="O247" s="38" t="str">
        <f>IF(OR(J247="",G247=""),"",J247*VLOOKUP(G247,SETUP_RATES!$A:$H,6,FALSE))</f>
        <v/>
      </c>
      <c r="P247" s="38" t="str">
        <f t="shared" si="1"/>
        <v/>
      </c>
      <c r="Q247" s="33" t="str">
        <f t="shared" si="2"/>
        <v/>
      </c>
    </row>
    <row r="248" ht="15.75" customHeight="1">
      <c r="B248" s="39"/>
      <c r="H248" s="39"/>
      <c r="I248" s="40"/>
      <c r="L248" s="33"/>
      <c r="M248" s="38"/>
      <c r="N248" s="38" t="str">
        <f>IF(OR(F248="",G248=""),"",MAX(F248*VLOOKUP(G248,SETUP_RATES!$A:$H,3,FALSE),VLOOKUP(G248,SETUP_RATES!$A:$H,2,FALSE)))</f>
        <v/>
      </c>
      <c r="O248" s="38" t="str">
        <f>IF(OR(J248="",G248=""),"",J248*VLOOKUP(G248,SETUP_RATES!$A:$H,6,FALSE))</f>
        <v/>
      </c>
      <c r="P248" s="38" t="str">
        <f t="shared" si="1"/>
        <v/>
      </c>
      <c r="Q248" s="33" t="str">
        <f t="shared" si="2"/>
        <v/>
      </c>
    </row>
    <row r="249" ht="15.75" customHeight="1">
      <c r="B249" s="39"/>
      <c r="H249" s="39"/>
      <c r="I249" s="40"/>
      <c r="L249" s="33"/>
      <c r="M249" s="38"/>
      <c r="N249" s="38" t="str">
        <f>IF(OR(F249="",G249=""),"",MAX(F249*VLOOKUP(G249,SETUP_RATES!$A:$H,3,FALSE),VLOOKUP(G249,SETUP_RATES!$A:$H,2,FALSE)))</f>
        <v/>
      </c>
      <c r="O249" s="38" t="str">
        <f>IF(OR(J249="",G249=""),"",J249*VLOOKUP(G249,SETUP_RATES!$A:$H,6,FALSE))</f>
        <v/>
      </c>
      <c r="P249" s="38" t="str">
        <f t="shared" si="1"/>
        <v/>
      </c>
      <c r="Q249" s="33" t="str">
        <f t="shared" si="2"/>
        <v/>
      </c>
    </row>
    <row r="250" ht="15.75" customHeight="1">
      <c r="B250" s="39"/>
      <c r="H250" s="39"/>
      <c r="I250" s="40"/>
      <c r="L250" s="33"/>
      <c r="M250" s="38"/>
      <c r="N250" s="38" t="str">
        <f>IF(OR(F250="",G250=""),"",MAX(F250*VLOOKUP(G250,SETUP_RATES!$A:$H,3,FALSE),VLOOKUP(G250,SETUP_RATES!$A:$H,2,FALSE)))</f>
        <v/>
      </c>
      <c r="O250" s="38" t="str">
        <f>IF(OR(J250="",G250=""),"",J250*VLOOKUP(G250,SETUP_RATES!$A:$H,6,FALSE))</f>
        <v/>
      </c>
      <c r="P250" s="38" t="str">
        <f t="shared" si="1"/>
        <v/>
      </c>
      <c r="Q250" s="33" t="str">
        <f t="shared" si="2"/>
        <v/>
      </c>
    </row>
    <row r="251" ht="15.75" customHeight="1">
      <c r="B251" s="39"/>
      <c r="H251" s="39"/>
      <c r="I251" s="40"/>
      <c r="L251" s="33"/>
      <c r="M251" s="38"/>
      <c r="N251" s="38" t="str">
        <f>IF(OR(F251="",G251=""),"",MAX(F251*VLOOKUP(G251,SETUP_RATES!$A:$H,3,FALSE),VLOOKUP(G251,SETUP_RATES!$A:$H,2,FALSE)))</f>
        <v/>
      </c>
      <c r="O251" s="38" t="str">
        <f>IF(OR(J251="",G251=""),"",J251*VLOOKUP(G251,SETUP_RATES!$A:$H,6,FALSE))</f>
        <v/>
      </c>
      <c r="P251" s="38" t="str">
        <f t="shared" si="1"/>
        <v/>
      </c>
      <c r="Q251" s="33" t="str">
        <f t="shared" si="2"/>
        <v/>
      </c>
    </row>
    <row r="252" ht="15.75" customHeight="1">
      <c r="B252" s="39"/>
      <c r="H252" s="39"/>
      <c r="I252" s="40"/>
      <c r="L252" s="33"/>
      <c r="M252" s="38"/>
      <c r="N252" s="38" t="str">
        <f>IF(OR(F252="",G252=""),"",MAX(F252*VLOOKUP(G252,SETUP_RATES!$A:$H,3,FALSE),VLOOKUP(G252,SETUP_RATES!$A:$H,2,FALSE)))</f>
        <v/>
      </c>
      <c r="O252" s="38" t="str">
        <f>IF(OR(J252="",G252=""),"",J252*VLOOKUP(G252,SETUP_RATES!$A:$H,6,FALSE))</f>
        <v/>
      </c>
      <c r="P252" s="38" t="str">
        <f t="shared" si="1"/>
        <v/>
      </c>
      <c r="Q252" s="33" t="str">
        <f t="shared" si="2"/>
        <v/>
      </c>
    </row>
    <row r="253" ht="15.75" customHeight="1">
      <c r="B253" s="39"/>
      <c r="H253" s="39"/>
      <c r="I253" s="40"/>
      <c r="L253" s="33"/>
      <c r="M253" s="38"/>
      <c r="N253" s="38" t="str">
        <f>IF(OR(F253="",G253=""),"",MAX(F253*VLOOKUP(G253,SETUP_RATES!$A:$H,3,FALSE),VLOOKUP(G253,SETUP_RATES!$A:$H,2,FALSE)))</f>
        <v/>
      </c>
      <c r="O253" s="38" t="str">
        <f>IF(OR(J253="",G253=""),"",J253*VLOOKUP(G253,SETUP_RATES!$A:$H,6,FALSE))</f>
        <v/>
      </c>
      <c r="P253" s="38" t="str">
        <f t="shared" si="1"/>
        <v/>
      </c>
      <c r="Q253" s="33" t="str">
        <f t="shared" si="2"/>
        <v/>
      </c>
    </row>
    <row r="254" ht="15.75" customHeight="1">
      <c r="B254" s="39"/>
      <c r="H254" s="39"/>
      <c r="I254" s="40"/>
      <c r="L254" s="33"/>
      <c r="M254" s="38"/>
      <c r="N254" s="38" t="str">
        <f>IF(OR(F254="",G254=""),"",MAX(F254*VLOOKUP(G254,SETUP_RATES!$A:$H,3,FALSE),VLOOKUP(G254,SETUP_RATES!$A:$H,2,FALSE)))</f>
        <v/>
      </c>
      <c r="O254" s="38" t="str">
        <f>IF(OR(J254="",G254=""),"",J254*VLOOKUP(G254,SETUP_RATES!$A:$H,6,FALSE))</f>
        <v/>
      </c>
      <c r="P254" s="38" t="str">
        <f t="shared" si="1"/>
        <v/>
      </c>
      <c r="Q254" s="33" t="str">
        <f t="shared" si="2"/>
        <v/>
      </c>
    </row>
    <row r="255" ht="15.75" customHeight="1">
      <c r="B255" s="39"/>
      <c r="H255" s="39"/>
      <c r="I255" s="40"/>
      <c r="L255" s="33"/>
      <c r="M255" s="38"/>
      <c r="N255" s="38" t="str">
        <f>IF(OR(F255="",G255=""),"",MAX(F255*VLOOKUP(G255,SETUP_RATES!$A:$H,3,FALSE),VLOOKUP(G255,SETUP_RATES!$A:$H,2,FALSE)))</f>
        <v/>
      </c>
      <c r="O255" s="38" t="str">
        <f>IF(OR(J255="",G255=""),"",J255*VLOOKUP(G255,SETUP_RATES!$A:$H,6,FALSE))</f>
        <v/>
      </c>
      <c r="P255" s="38" t="str">
        <f t="shared" si="1"/>
        <v/>
      </c>
      <c r="Q255" s="33" t="str">
        <f t="shared" si="2"/>
        <v/>
      </c>
    </row>
    <row r="256" ht="15.75" customHeight="1">
      <c r="B256" s="39"/>
      <c r="H256" s="39"/>
      <c r="I256" s="40"/>
      <c r="L256" s="33"/>
      <c r="M256" s="38"/>
      <c r="N256" s="38" t="str">
        <f>IF(OR(F256="",G256=""),"",MAX(F256*VLOOKUP(G256,SETUP_RATES!$A:$H,3,FALSE),VLOOKUP(G256,SETUP_RATES!$A:$H,2,FALSE)))</f>
        <v/>
      </c>
      <c r="O256" s="38" t="str">
        <f>IF(OR(J256="",G256=""),"",J256*VLOOKUP(G256,SETUP_RATES!$A:$H,6,FALSE))</f>
        <v/>
      </c>
      <c r="P256" s="38" t="str">
        <f t="shared" si="1"/>
        <v/>
      </c>
      <c r="Q256" s="33" t="str">
        <f t="shared" si="2"/>
        <v/>
      </c>
    </row>
    <row r="257" ht="15.75" customHeight="1">
      <c r="B257" s="39"/>
      <c r="H257" s="39"/>
      <c r="I257" s="40"/>
      <c r="L257" s="33"/>
      <c r="M257" s="38"/>
      <c r="N257" s="38" t="str">
        <f>IF(OR(F257="",G257=""),"",MAX(F257*VLOOKUP(G257,SETUP_RATES!$A:$H,3,FALSE),VLOOKUP(G257,SETUP_RATES!$A:$H,2,FALSE)))</f>
        <v/>
      </c>
      <c r="O257" s="38" t="str">
        <f>IF(OR(J257="",G257=""),"",J257*VLOOKUP(G257,SETUP_RATES!$A:$H,6,FALSE))</f>
        <v/>
      </c>
      <c r="P257" s="38" t="str">
        <f t="shared" si="1"/>
        <v/>
      </c>
      <c r="Q257" s="33" t="str">
        <f t="shared" si="2"/>
        <v/>
      </c>
    </row>
    <row r="258" ht="15.75" customHeight="1">
      <c r="B258" s="39"/>
      <c r="H258" s="39"/>
      <c r="I258" s="40"/>
      <c r="L258" s="33"/>
      <c r="M258" s="38"/>
      <c r="N258" s="38" t="str">
        <f>IF(OR(F258="",G258=""),"",MAX(F258*VLOOKUP(G258,SETUP_RATES!$A:$H,3,FALSE),VLOOKUP(G258,SETUP_RATES!$A:$H,2,FALSE)))</f>
        <v/>
      </c>
      <c r="O258" s="38" t="str">
        <f>IF(OR(J258="",G258=""),"",J258*VLOOKUP(G258,SETUP_RATES!$A:$H,6,FALSE))</f>
        <v/>
      </c>
      <c r="P258" s="38" t="str">
        <f t="shared" si="1"/>
        <v/>
      </c>
      <c r="Q258" s="33" t="str">
        <f t="shared" si="2"/>
        <v/>
      </c>
    </row>
    <row r="259" ht="15.75" customHeight="1">
      <c r="B259" s="39"/>
      <c r="H259" s="39"/>
      <c r="I259" s="40"/>
      <c r="L259" s="33"/>
      <c r="M259" s="38"/>
      <c r="N259" s="38" t="str">
        <f>IF(OR(F259="",G259=""),"",MAX(F259*VLOOKUP(G259,SETUP_RATES!$A:$H,3,FALSE),VLOOKUP(G259,SETUP_RATES!$A:$H,2,FALSE)))</f>
        <v/>
      </c>
      <c r="O259" s="38" t="str">
        <f>IF(OR(J259="",G259=""),"",J259*VLOOKUP(G259,SETUP_RATES!$A:$H,6,FALSE))</f>
        <v/>
      </c>
      <c r="P259" s="38" t="str">
        <f t="shared" si="1"/>
        <v/>
      </c>
      <c r="Q259" s="33" t="str">
        <f t="shared" si="2"/>
        <v/>
      </c>
    </row>
    <row r="260" ht="15.75" customHeight="1">
      <c r="B260" s="39"/>
      <c r="H260" s="39"/>
      <c r="I260" s="40"/>
      <c r="L260" s="33"/>
      <c r="M260" s="38"/>
      <c r="N260" s="38" t="str">
        <f>IF(OR(F260="",G260=""),"",MAX(F260*VLOOKUP(G260,SETUP_RATES!$A:$H,3,FALSE),VLOOKUP(G260,SETUP_RATES!$A:$H,2,FALSE)))</f>
        <v/>
      </c>
      <c r="O260" s="38" t="str">
        <f>IF(OR(J260="",G260=""),"",J260*VLOOKUP(G260,SETUP_RATES!$A:$H,6,FALSE))</f>
        <v/>
      </c>
      <c r="P260" s="38" t="str">
        <f t="shared" si="1"/>
        <v/>
      </c>
      <c r="Q260" s="33" t="str">
        <f t="shared" si="2"/>
        <v/>
      </c>
    </row>
    <row r="261" ht="15.75" customHeight="1">
      <c r="B261" s="39"/>
      <c r="H261" s="39"/>
      <c r="I261" s="40"/>
      <c r="L261" s="33"/>
      <c r="M261" s="38"/>
      <c r="N261" s="38" t="str">
        <f>IF(OR(F261="",G261=""),"",MAX(F261*VLOOKUP(G261,SETUP_RATES!$A:$H,3,FALSE),VLOOKUP(G261,SETUP_RATES!$A:$H,2,FALSE)))</f>
        <v/>
      </c>
      <c r="O261" s="38" t="str">
        <f>IF(OR(J261="",G261=""),"",J261*VLOOKUP(G261,SETUP_RATES!$A:$H,6,FALSE))</f>
        <v/>
      </c>
      <c r="P261" s="38" t="str">
        <f t="shared" si="1"/>
        <v/>
      </c>
      <c r="Q261" s="33" t="str">
        <f t="shared" si="2"/>
        <v/>
      </c>
    </row>
    <row r="262" ht="15.75" customHeight="1">
      <c r="B262" s="39"/>
      <c r="H262" s="39"/>
      <c r="I262" s="40"/>
      <c r="L262" s="33"/>
      <c r="M262" s="38"/>
      <c r="N262" s="38" t="str">
        <f>IF(OR(F262="",G262=""),"",MAX(F262*VLOOKUP(G262,SETUP_RATES!$A:$H,3,FALSE),VLOOKUP(G262,SETUP_RATES!$A:$H,2,FALSE)))</f>
        <v/>
      </c>
      <c r="O262" s="38" t="str">
        <f>IF(OR(J262="",G262=""),"",J262*VLOOKUP(G262,SETUP_RATES!$A:$H,6,FALSE))</f>
        <v/>
      </c>
      <c r="P262" s="38" t="str">
        <f t="shared" si="1"/>
        <v/>
      </c>
      <c r="Q262" s="33" t="str">
        <f t="shared" si="2"/>
        <v/>
      </c>
    </row>
    <row r="263" ht="15.75" customHeight="1">
      <c r="B263" s="39"/>
      <c r="H263" s="39"/>
      <c r="I263" s="40"/>
      <c r="L263" s="33"/>
      <c r="M263" s="38"/>
      <c r="N263" s="38" t="str">
        <f>IF(OR(F263="",G263=""),"",MAX(F263*VLOOKUP(G263,SETUP_RATES!$A:$H,3,FALSE),VLOOKUP(G263,SETUP_RATES!$A:$H,2,FALSE)))</f>
        <v/>
      </c>
      <c r="O263" s="38" t="str">
        <f>IF(OR(J263="",G263=""),"",J263*VLOOKUP(G263,SETUP_RATES!$A:$H,6,FALSE))</f>
        <v/>
      </c>
      <c r="P263" s="38" t="str">
        <f t="shared" si="1"/>
        <v/>
      </c>
      <c r="Q263" s="33" t="str">
        <f t="shared" si="2"/>
        <v/>
      </c>
    </row>
    <row r="264" ht="15.75" customHeight="1">
      <c r="B264" s="39"/>
      <c r="H264" s="39"/>
      <c r="I264" s="40"/>
      <c r="L264" s="33"/>
      <c r="M264" s="38"/>
      <c r="N264" s="38" t="str">
        <f>IF(OR(F264="",G264=""),"",MAX(F264*VLOOKUP(G264,SETUP_RATES!$A:$H,3,FALSE),VLOOKUP(G264,SETUP_RATES!$A:$H,2,FALSE)))</f>
        <v/>
      </c>
      <c r="O264" s="38" t="str">
        <f>IF(OR(J264="",G264=""),"",J264*VLOOKUP(G264,SETUP_RATES!$A:$H,6,FALSE))</f>
        <v/>
      </c>
      <c r="P264" s="38" t="str">
        <f t="shared" si="1"/>
        <v/>
      </c>
      <c r="Q264" s="33" t="str">
        <f t="shared" si="2"/>
        <v/>
      </c>
    </row>
    <row r="265" ht="15.75" customHeight="1">
      <c r="B265" s="39"/>
      <c r="H265" s="39"/>
      <c r="I265" s="40"/>
      <c r="L265" s="33"/>
      <c r="M265" s="38"/>
      <c r="N265" s="38" t="str">
        <f>IF(OR(F265="",G265=""),"",MAX(F265*VLOOKUP(G265,SETUP_RATES!$A:$H,3,FALSE),VLOOKUP(G265,SETUP_RATES!$A:$H,2,FALSE)))</f>
        <v/>
      </c>
      <c r="O265" s="38" t="str">
        <f>IF(OR(J265="",G265=""),"",J265*VLOOKUP(G265,SETUP_RATES!$A:$H,6,FALSE))</f>
        <v/>
      </c>
      <c r="P265" s="38" t="str">
        <f t="shared" si="1"/>
        <v/>
      </c>
      <c r="Q265" s="33" t="str">
        <f t="shared" si="2"/>
        <v/>
      </c>
    </row>
    <row r="266" ht="15.75" customHeight="1">
      <c r="B266" s="39"/>
      <c r="H266" s="39"/>
      <c r="I266" s="40"/>
      <c r="L266" s="33"/>
      <c r="M266" s="38"/>
      <c r="N266" s="38" t="str">
        <f>IF(OR(F266="",G266=""),"",MAX(F266*VLOOKUP(G266,SETUP_RATES!$A:$H,3,FALSE),VLOOKUP(G266,SETUP_RATES!$A:$H,2,FALSE)))</f>
        <v/>
      </c>
      <c r="O266" s="38" t="str">
        <f>IF(OR(J266="",G266=""),"",J266*VLOOKUP(G266,SETUP_RATES!$A:$H,6,FALSE))</f>
        <v/>
      </c>
      <c r="P266" s="38" t="str">
        <f t="shared" si="1"/>
        <v/>
      </c>
      <c r="Q266" s="33" t="str">
        <f t="shared" si="2"/>
        <v/>
      </c>
    </row>
    <row r="267" ht="15.75" customHeight="1">
      <c r="B267" s="39"/>
      <c r="H267" s="39"/>
      <c r="I267" s="40"/>
      <c r="L267" s="33"/>
      <c r="M267" s="38"/>
      <c r="N267" s="38" t="str">
        <f>IF(OR(F267="",G267=""),"",MAX(F267*VLOOKUP(G267,SETUP_RATES!$A:$H,3,FALSE),VLOOKUP(G267,SETUP_RATES!$A:$H,2,FALSE)))</f>
        <v/>
      </c>
      <c r="O267" s="38" t="str">
        <f>IF(OR(J267="",G267=""),"",J267*VLOOKUP(G267,SETUP_RATES!$A:$H,6,FALSE))</f>
        <v/>
      </c>
      <c r="P267" s="38" t="str">
        <f t="shared" si="1"/>
        <v/>
      </c>
      <c r="Q267" s="33" t="str">
        <f t="shared" si="2"/>
        <v/>
      </c>
    </row>
    <row r="268" ht="15.75" customHeight="1">
      <c r="B268" s="39"/>
      <c r="H268" s="39"/>
      <c r="I268" s="40"/>
      <c r="L268" s="33"/>
      <c r="M268" s="38"/>
      <c r="N268" s="38" t="str">
        <f>IF(OR(F268="",G268=""),"",MAX(F268*VLOOKUP(G268,SETUP_RATES!$A:$H,3,FALSE),VLOOKUP(G268,SETUP_RATES!$A:$H,2,FALSE)))</f>
        <v/>
      </c>
      <c r="O268" s="38" t="str">
        <f>IF(OR(J268="",G268=""),"",J268*VLOOKUP(G268,SETUP_RATES!$A:$H,6,FALSE))</f>
        <v/>
      </c>
      <c r="P268" s="38" t="str">
        <f t="shared" si="1"/>
        <v/>
      </c>
      <c r="Q268" s="33" t="str">
        <f t="shared" si="2"/>
        <v/>
      </c>
    </row>
    <row r="269" ht="15.75" customHeight="1">
      <c r="B269" s="39"/>
      <c r="H269" s="39"/>
      <c r="I269" s="40"/>
      <c r="L269" s="33"/>
      <c r="M269" s="38"/>
      <c r="N269" s="38" t="str">
        <f>IF(OR(F269="",G269=""),"",MAX(F269*VLOOKUP(G269,SETUP_RATES!$A:$H,3,FALSE),VLOOKUP(G269,SETUP_RATES!$A:$H,2,FALSE)))</f>
        <v/>
      </c>
      <c r="O269" s="38" t="str">
        <f>IF(OR(J269="",G269=""),"",J269*VLOOKUP(G269,SETUP_RATES!$A:$H,6,FALSE))</f>
        <v/>
      </c>
      <c r="P269" s="38" t="str">
        <f t="shared" si="1"/>
        <v/>
      </c>
      <c r="Q269" s="33" t="str">
        <f t="shared" si="2"/>
        <v/>
      </c>
    </row>
    <row r="270" ht="15.75" customHeight="1">
      <c r="B270" s="39"/>
      <c r="H270" s="39"/>
      <c r="I270" s="40"/>
      <c r="L270" s="33"/>
      <c r="M270" s="38"/>
      <c r="N270" s="38" t="str">
        <f>IF(OR(F270="",G270=""),"",MAX(F270*VLOOKUP(G270,SETUP_RATES!$A:$H,3,FALSE),VLOOKUP(G270,SETUP_RATES!$A:$H,2,FALSE)))</f>
        <v/>
      </c>
      <c r="O270" s="38" t="str">
        <f>IF(OR(J270="",G270=""),"",J270*VLOOKUP(G270,SETUP_RATES!$A:$H,6,FALSE))</f>
        <v/>
      </c>
      <c r="P270" s="38" t="str">
        <f t="shared" si="1"/>
        <v/>
      </c>
      <c r="Q270" s="33" t="str">
        <f t="shared" si="2"/>
        <v/>
      </c>
    </row>
    <row r="271" ht="15.75" customHeight="1">
      <c r="B271" s="39"/>
      <c r="H271" s="39"/>
      <c r="I271" s="40"/>
      <c r="L271" s="33"/>
      <c r="M271" s="38"/>
      <c r="N271" s="38" t="str">
        <f>IF(OR(F271="",G271=""),"",MAX(F271*VLOOKUP(G271,SETUP_RATES!$A:$H,3,FALSE),VLOOKUP(G271,SETUP_RATES!$A:$H,2,FALSE)))</f>
        <v/>
      </c>
      <c r="O271" s="38" t="str">
        <f>IF(OR(J271="",G271=""),"",J271*VLOOKUP(G271,SETUP_RATES!$A:$H,6,FALSE))</f>
        <v/>
      </c>
      <c r="P271" s="38" t="str">
        <f t="shared" si="1"/>
        <v/>
      </c>
      <c r="Q271" s="33" t="str">
        <f t="shared" si="2"/>
        <v/>
      </c>
    </row>
    <row r="272" ht="15.75" customHeight="1">
      <c r="B272" s="39"/>
      <c r="H272" s="39"/>
      <c r="I272" s="40"/>
      <c r="L272" s="33"/>
      <c r="M272" s="38"/>
      <c r="N272" s="38" t="str">
        <f>IF(OR(F272="",G272=""),"",MAX(F272*VLOOKUP(G272,SETUP_RATES!$A:$H,3,FALSE),VLOOKUP(G272,SETUP_RATES!$A:$H,2,FALSE)))</f>
        <v/>
      </c>
      <c r="O272" s="38" t="str">
        <f>IF(OR(J272="",G272=""),"",J272*VLOOKUP(G272,SETUP_RATES!$A:$H,6,FALSE))</f>
        <v/>
      </c>
      <c r="P272" s="38" t="str">
        <f t="shared" si="1"/>
        <v/>
      </c>
      <c r="Q272" s="33" t="str">
        <f t="shared" si="2"/>
        <v/>
      </c>
    </row>
    <row r="273" ht="15.75" customHeight="1">
      <c r="B273" s="39"/>
      <c r="H273" s="39"/>
      <c r="I273" s="40"/>
      <c r="L273" s="33"/>
      <c r="M273" s="38"/>
      <c r="N273" s="38" t="str">
        <f>IF(OR(F273="",G273=""),"",MAX(F273*VLOOKUP(G273,SETUP_RATES!$A:$H,3,FALSE),VLOOKUP(G273,SETUP_RATES!$A:$H,2,FALSE)))</f>
        <v/>
      </c>
      <c r="O273" s="38" t="str">
        <f>IF(OR(J273="",G273=""),"",J273*VLOOKUP(G273,SETUP_RATES!$A:$H,6,FALSE))</f>
        <v/>
      </c>
      <c r="P273" s="38" t="str">
        <f t="shared" si="1"/>
        <v/>
      </c>
      <c r="Q273" s="33" t="str">
        <f t="shared" si="2"/>
        <v/>
      </c>
    </row>
    <row r="274" ht="15.75" customHeight="1">
      <c r="B274" s="39"/>
      <c r="H274" s="39"/>
      <c r="I274" s="40"/>
      <c r="L274" s="33"/>
      <c r="M274" s="38"/>
      <c r="N274" s="38" t="str">
        <f>IF(OR(F274="",G274=""),"",MAX(F274*VLOOKUP(G274,SETUP_RATES!$A:$H,3,FALSE),VLOOKUP(G274,SETUP_RATES!$A:$H,2,FALSE)))</f>
        <v/>
      </c>
      <c r="O274" s="38" t="str">
        <f>IF(OR(J274="",G274=""),"",J274*VLOOKUP(G274,SETUP_RATES!$A:$H,6,FALSE))</f>
        <v/>
      </c>
      <c r="P274" s="38" t="str">
        <f t="shared" si="1"/>
        <v/>
      </c>
      <c r="Q274" s="33" t="str">
        <f t="shared" si="2"/>
        <v/>
      </c>
    </row>
    <row r="275" ht="15.75" customHeight="1">
      <c r="B275" s="39"/>
      <c r="H275" s="39"/>
      <c r="I275" s="40"/>
      <c r="L275" s="33"/>
      <c r="M275" s="38"/>
      <c r="N275" s="38" t="str">
        <f>IF(OR(F275="",G275=""),"",MAX(F275*VLOOKUP(G275,SETUP_RATES!$A:$H,3,FALSE),VLOOKUP(G275,SETUP_RATES!$A:$H,2,FALSE)))</f>
        <v/>
      </c>
      <c r="O275" s="38" t="str">
        <f>IF(OR(J275="",G275=""),"",J275*VLOOKUP(G275,SETUP_RATES!$A:$H,6,FALSE))</f>
        <v/>
      </c>
      <c r="P275" s="38" t="str">
        <f t="shared" si="1"/>
        <v/>
      </c>
      <c r="Q275" s="33" t="str">
        <f t="shared" si="2"/>
        <v/>
      </c>
    </row>
    <row r="276" ht="15.75" customHeight="1">
      <c r="B276" s="39"/>
      <c r="H276" s="39"/>
      <c r="I276" s="40"/>
      <c r="L276" s="33"/>
      <c r="M276" s="38"/>
      <c r="N276" s="38" t="str">
        <f>IF(OR(F276="",G276=""),"",MAX(F276*VLOOKUP(G276,SETUP_RATES!$A:$H,3,FALSE),VLOOKUP(G276,SETUP_RATES!$A:$H,2,FALSE)))</f>
        <v/>
      </c>
      <c r="O276" s="38" t="str">
        <f>IF(OR(J276="",G276=""),"",J276*VLOOKUP(G276,SETUP_RATES!$A:$H,6,FALSE))</f>
        <v/>
      </c>
      <c r="P276" s="38" t="str">
        <f t="shared" si="1"/>
        <v/>
      </c>
      <c r="Q276" s="33" t="str">
        <f t="shared" si="2"/>
        <v/>
      </c>
    </row>
    <row r="277" ht="15.75" customHeight="1">
      <c r="B277" s="39"/>
      <c r="H277" s="39"/>
      <c r="I277" s="40"/>
      <c r="L277" s="33"/>
      <c r="M277" s="38"/>
      <c r="N277" s="38" t="str">
        <f>IF(OR(F277="",G277=""),"",MAX(F277*VLOOKUP(G277,SETUP_RATES!$A:$H,3,FALSE),VLOOKUP(G277,SETUP_RATES!$A:$H,2,FALSE)))</f>
        <v/>
      </c>
      <c r="O277" s="38" t="str">
        <f>IF(OR(J277="",G277=""),"",J277*VLOOKUP(G277,SETUP_RATES!$A:$H,6,FALSE))</f>
        <v/>
      </c>
      <c r="P277" s="38" t="str">
        <f t="shared" si="1"/>
        <v/>
      </c>
      <c r="Q277" s="33" t="str">
        <f t="shared" si="2"/>
        <v/>
      </c>
    </row>
    <row r="278" ht="15.75" customHeight="1">
      <c r="B278" s="39"/>
      <c r="H278" s="39"/>
      <c r="I278" s="40"/>
      <c r="L278" s="33"/>
      <c r="M278" s="38"/>
      <c r="N278" s="38" t="str">
        <f>IF(OR(F278="",G278=""),"",MAX(F278*VLOOKUP(G278,SETUP_RATES!$A:$H,3,FALSE),VLOOKUP(G278,SETUP_RATES!$A:$H,2,FALSE)))</f>
        <v/>
      </c>
      <c r="O278" s="38" t="str">
        <f>IF(OR(J278="",G278=""),"",J278*VLOOKUP(G278,SETUP_RATES!$A:$H,6,FALSE))</f>
        <v/>
      </c>
      <c r="P278" s="38" t="str">
        <f t="shared" si="1"/>
        <v/>
      </c>
      <c r="Q278" s="33" t="str">
        <f t="shared" si="2"/>
        <v/>
      </c>
    </row>
    <row r="279" ht="15.75" customHeight="1">
      <c r="B279" s="39"/>
      <c r="H279" s="39"/>
      <c r="I279" s="40"/>
      <c r="L279" s="33"/>
      <c r="M279" s="38"/>
      <c r="N279" s="38" t="str">
        <f>IF(OR(F279="",G279=""),"",MAX(F279*VLOOKUP(G279,SETUP_RATES!$A:$H,3,FALSE),VLOOKUP(G279,SETUP_RATES!$A:$H,2,FALSE)))</f>
        <v/>
      </c>
      <c r="O279" s="38" t="str">
        <f>IF(OR(J279="",G279=""),"",J279*VLOOKUP(G279,SETUP_RATES!$A:$H,6,FALSE))</f>
        <v/>
      </c>
      <c r="P279" s="38" t="str">
        <f t="shared" si="1"/>
        <v/>
      </c>
      <c r="Q279" s="33" t="str">
        <f t="shared" si="2"/>
        <v/>
      </c>
    </row>
    <row r="280" ht="15.75" customHeight="1">
      <c r="B280" s="39"/>
      <c r="H280" s="39"/>
      <c r="I280" s="40"/>
      <c r="L280" s="33"/>
      <c r="M280" s="38"/>
      <c r="N280" s="38" t="str">
        <f>IF(OR(F280="",G280=""),"",MAX(F280*VLOOKUP(G280,SETUP_RATES!$A:$H,3,FALSE),VLOOKUP(G280,SETUP_RATES!$A:$H,2,FALSE)))</f>
        <v/>
      </c>
      <c r="O280" s="38" t="str">
        <f>IF(OR(J280="",G280=""),"",J280*VLOOKUP(G280,SETUP_RATES!$A:$H,6,FALSE))</f>
        <v/>
      </c>
      <c r="P280" s="38" t="str">
        <f t="shared" si="1"/>
        <v/>
      </c>
      <c r="Q280" s="33" t="str">
        <f t="shared" si="2"/>
        <v/>
      </c>
    </row>
    <row r="281" ht="15.75" customHeight="1">
      <c r="B281" s="39"/>
      <c r="H281" s="39"/>
      <c r="I281" s="40"/>
      <c r="L281" s="33"/>
      <c r="M281" s="38"/>
      <c r="N281" s="38" t="str">
        <f>IF(OR(F281="",G281=""),"",MAX(F281*VLOOKUP(G281,SETUP_RATES!$A:$H,3,FALSE),VLOOKUP(G281,SETUP_RATES!$A:$H,2,FALSE)))</f>
        <v/>
      </c>
      <c r="O281" s="38" t="str">
        <f>IF(OR(J281="",G281=""),"",J281*VLOOKUP(G281,SETUP_RATES!$A:$H,6,FALSE))</f>
        <v/>
      </c>
      <c r="P281" s="38" t="str">
        <f t="shared" si="1"/>
        <v/>
      </c>
      <c r="Q281" s="33" t="str">
        <f t="shared" si="2"/>
        <v/>
      </c>
    </row>
    <row r="282" ht="15.75" customHeight="1">
      <c r="B282" s="39"/>
      <c r="H282" s="39"/>
      <c r="I282" s="40"/>
      <c r="L282" s="33"/>
      <c r="M282" s="38"/>
      <c r="N282" s="38" t="str">
        <f>IF(OR(F282="",G282=""),"",MAX(F282*VLOOKUP(G282,SETUP_RATES!$A:$H,3,FALSE),VLOOKUP(G282,SETUP_RATES!$A:$H,2,FALSE)))</f>
        <v/>
      </c>
      <c r="O282" s="38" t="str">
        <f>IF(OR(J282="",G282=""),"",J282*VLOOKUP(G282,SETUP_RATES!$A:$H,6,FALSE))</f>
        <v/>
      </c>
      <c r="P282" s="38" t="str">
        <f t="shared" si="1"/>
        <v/>
      </c>
      <c r="Q282" s="33" t="str">
        <f t="shared" si="2"/>
        <v/>
      </c>
    </row>
    <row r="283" ht="15.75" customHeight="1">
      <c r="B283" s="39"/>
      <c r="H283" s="39"/>
      <c r="I283" s="40"/>
      <c r="L283" s="33"/>
      <c r="M283" s="38"/>
      <c r="N283" s="38" t="str">
        <f>IF(OR(F283="",G283=""),"",MAX(F283*VLOOKUP(G283,SETUP_RATES!$A:$H,3,FALSE),VLOOKUP(G283,SETUP_RATES!$A:$H,2,FALSE)))</f>
        <v/>
      </c>
      <c r="O283" s="38" t="str">
        <f>IF(OR(J283="",G283=""),"",J283*VLOOKUP(G283,SETUP_RATES!$A:$H,6,FALSE))</f>
        <v/>
      </c>
      <c r="P283" s="38" t="str">
        <f t="shared" si="1"/>
        <v/>
      </c>
      <c r="Q283" s="33" t="str">
        <f t="shared" si="2"/>
        <v/>
      </c>
    </row>
    <row r="284" ht="15.75" customHeight="1">
      <c r="B284" s="39"/>
      <c r="H284" s="39"/>
      <c r="I284" s="40"/>
      <c r="L284" s="33"/>
      <c r="M284" s="38"/>
      <c r="N284" s="38" t="str">
        <f>IF(OR(F284="",G284=""),"",MAX(F284*VLOOKUP(G284,SETUP_RATES!$A:$H,3,FALSE),VLOOKUP(G284,SETUP_RATES!$A:$H,2,FALSE)))</f>
        <v/>
      </c>
      <c r="O284" s="38" t="str">
        <f>IF(OR(J284="",G284=""),"",J284*VLOOKUP(G284,SETUP_RATES!$A:$H,6,FALSE))</f>
        <v/>
      </c>
      <c r="P284" s="38" t="str">
        <f t="shared" si="1"/>
        <v/>
      </c>
      <c r="Q284" s="33" t="str">
        <f t="shared" si="2"/>
        <v/>
      </c>
    </row>
    <row r="285" ht="15.75" customHeight="1">
      <c r="B285" s="39"/>
      <c r="H285" s="39"/>
      <c r="I285" s="40"/>
      <c r="L285" s="33"/>
      <c r="M285" s="38"/>
      <c r="N285" s="38" t="str">
        <f>IF(OR(F285="",G285=""),"",MAX(F285*VLOOKUP(G285,SETUP_RATES!$A:$H,3,FALSE),VLOOKUP(G285,SETUP_RATES!$A:$H,2,FALSE)))</f>
        <v/>
      </c>
      <c r="O285" s="38" t="str">
        <f>IF(OR(J285="",G285=""),"",J285*VLOOKUP(G285,SETUP_RATES!$A:$H,6,FALSE))</f>
        <v/>
      </c>
      <c r="P285" s="38" t="str">
        <f t="shared" si="1"/>
        <v/>
      </c>
      <c r="Q285" s="33" t="str">
        <f t="shared" si="2"/>
        <v/>
      </c>
    </row>
    <row r="286" ht="15.75" customHeight="1">
      <c r="B286" s="39"/>
      <c r="H286" s="39"/>
      <c r="I286" s="40"/>
      <c r="L286" s="33"/>
      <c r="M286" s="38"/>
      <c r="N286" s="38" t="str">
        <f>IF(OR(F286="",G286=""),"",MAX(F286*VLOOKUP(G286,SETUP_RATES!$A:$H,3,FALSE),VLOOKUP(G286,SETUP_RATES!$A:$H,2,FALSE)))</f>
        <v/>
      </c>
      <c r="O286" s="38" t="str">
        <f>IF(OR(J286="",G286=""),"",J286*VLOOKUP(G286,SETUP_RATES!$A:$H,6,FALSE))</f>
        <v/>
      </c>
      <c r="P286" s="38" t="str">
        <f t="shared" si="1"/>
        <v/>
      </c>
      <c r="Q286" s="33" t="str">
        <f t="shared" si="2"/>
        <v/>
      </c>
    </row>
    <row r="287" ht="15.75" customHeight="1">
      <c r="B287" s="39"/>
      <c r="H287" s="39"/>
      <c r="I287" s="40"/>
      <c r="L287" s="33"/>
      <c r="M287" s="38"/>
      <c r="N287" s="38" t="str">
        <f>IF(OR(F287="",G287=""),"",MAX(F287*VLOOKUP(G287,SETUP_RATES!$A:$H,3,FALSE),VLOOKUP(G287,SETUP_RATES!$A:$H,2,FALSE)))</f>
        <v/>
      </c>
      <c r="O287" s="38" t="str">
        <f>IF(OR(J287="",G287=""),"",J287*VLOOKUP(G287,SETUP_RATES!$A:$H,6,FALSE))</f>
        <v/>
      </c>
      <c r="P287" s="38" t="str">
        <f t="shared" si="1"/>
        <v/>
      </c>
      <c r="Q287" s="33" t="str">
        <f t="shared" si="2"/>
        <v/>
      </c>
    </row>
    <row r="288" ht="15.75" customHeight="1">
      <c r="B288" s="39"/>
      <c r="H288" s="39"/>
      <c r="I288" s="40"/>
      <c r="L288" s="33"/>
      <c r="M288" s="38"/>
      <c r="N288" s="38" t="str">
        <f>IF(OR(F288="",G288=""),"",MAX(F288*VLOOKUP(G288,SETUP_RATES!$A:$H,3,FALSE),VLOOKUP(G288,SETUP_RATES!$A:$H,2,FALSE)))</f>
        <v/>
      </c>
      <c r="O288" s="38" t="str">
        <f>IF(OR(J288="",G288=""),"",J288*VLOOKUP(G288,SETUP_RATES!$A:$H,6,FALSE))</f>
        <v/>
      </c>
      <c r="P288" s="38" t="str">
        <f t="shared" si="1"/>
        <v/>
      </c>
      <c r="Q288" s="33" t="str">
        <f t="shared" si="2"/>
        <v/>
      </c>
    </row>
    <row r="289" ht="15.75" customHeight="1">
      <c r="B289" s="39"/>
      <c r="H289" s="39"/>
      <c r="I289" s="40"/>
      <c r="L289" s="33"/>
      <c r="M289" s="38"/>
      <c r="N289" s="38" t="str">
        <f>IF(OR(F289="",G289=""),"",MAX(F289*VLOOKUP(G289,SETUP_RATES!$A:$H,3,FALSE),VLOOKUP(G289,SETUP_RATES!$A:$H,2,FALSE)))</f>
        <v/>
      </c>
      <c r="O289" s="38" t="str">
        <f>IF(OR(J289="",G289=""),"",J289*VLOOKUP(G289,SETUP_RATES!$A:$H,6,FALSE))</f>
        <v/>
      </c>
      <c r="P289" s="38" t="str">
        <f t="shared" si="1"/>
        <v/>
      </c>
      <c r="Q289" s="33" t="str">
        <f t="shared" si="2"/>
        <v/>
      </c>
    </row>
    <row r="290" ht="15.75" customHeight="1">
      <c r="B290" s="39"/>
      <c r="H290" s="39"/>
      <c r="I290" s="40"/>
      <c r="L290" s="33"/>
      <c r="M290" s="38"/>
      <c r="N290" s="38" t="str">
        <f>IF(OR(F290="",G290=""),"",MAX(F290*VLOOKUP(G290,SETUP_RATES!$A:$H,3,FALSE),VLOOKUP(G290,SETUP_RATES!$A:$H,2,FALSE)))</f>
        <v/>
      </c>
      <c r="O290" s="38" t="str">
        <f>IF(OR(J290="",G290=""),"",J290*VLOOKUP(G290,SETUP_RATES!$A:$H,6,FALSE))</f>
        <v/>
      </c>
      <c r="P290" s="38" t="str">
        <f t="shared" si="1"/>
        <v/>
      </c>
      <c r="Q290" s="33" t="str">
        <f t="shared" si="2"/>
        <v/>
      </c>
    </row>
    <row r="291" ht="15.75" customHeight="1">
      <c r="B291" s="39"/>
      <c r="H291" s="39"/>
      <c r="I291" s="40"/>
      <c r="L291" s="33"/>
      <c r="M291" s="38"/>
      <c r="N291" s="38" t="str">
        <f>IF(OR(F291="",G291=""),"",MAX(F291*VLOOKUP(G291,SETUP_RATES!$A:$H,3,FALSE),VLOOKUP(G291,SETUP_RATES!$A:$H,2,FALSE)))</f>
        <v/>
      </c>
      <c r="O291" s="38" t="str">
        <f>IF(OR(J291="",G291=""),"",J291*VLOOKUP(G291,SETUP_RATES!$A:$H,6,FALSE))</f>
        <v/>
      </c>
      <c r="P291" s="38" t="str">
        <f t="shared" si="1"/>
        <v/>
      </c>
      <c r="Q291" s="33" t="str">
        <f t="shared" si="2"/>
        <v/>
      </c>
    </row>
    <row r="292" ht="15.75" customHeight="1">
      <c r="B292" s="39"/>
      <c r="H292" s="39"/>
      <c r="I292" s="40"/>
      <c r="L292" s="33"/>
      <c r="M292" s="38"/>
      <c r="N292" s="38" t="str">
        <f>IF(OR(F292="",G292=""),"",MAX(F292*VLOOKUP(G292,SETUP_RATES!$A:$H,3,FALSE),VLOOKUP(G292,SETUP_RATES!$A:$H,2,FALSE)))</f>
        <v/>
      </c>
      <c r="O292" s="38" t="str">
        <f>IF(OR(J292="",G292=""),"",J292*VLOOKUP(G292,SETUP_RATES!$A:$H,6,FALSE))</f>
        <v/>
      </c>
      <c r="P292" s="38" t="str">
        <f t="shared" si="1"/>
        <v/>
      </c>
      <c r="Q292" s="33" t="str">
        <f t="shared" si="2"/>
        <v/>
      </c>
    </row>
    <row r="293" ht="15.75" customHeight="1">
      <c r="B293" s="39"/>
      <c r="H293" s="39"/>
      <c r="I293" s="40"/>
      <c r="L293" s="33"/>
      <c r="M293" s="38"/>
      <c r="N293" s="38" t="str">
        <f>IF(OR(F293="",G293=""),"",MAX(F293*VLOOKUP(G293,SETUP_RATES!$A:$H,3,FALSE),VLOOKUP(G293,SETUP_RATES!$A:$H,2,FALSE)))</f>
        <v/>
      </c>
      <c r="O293" s="38" t="str">
        <f>IF(OR(J293="",G293=""),"",J293*VLOOKUP(G293,SETUP_RATES!$A:$H,6,FALSE))</f>
        <v/>
      </c>
      <c r="P293" s="38" t="str">
        <f t="shared" si="1"/>
        <v/>
      </c>
      <c r="Q293" s="33" t="str">
        <f t="shared" si="2"/>
        <v/>
      </c>
    </row>
    <row r="294" ht="15.75" customHeight="1">
      <c r="B294" s="39"/>
      <c r="H294" s="39"/>
      <c r="I294" s="40"/>
      <c r="L294" s="33"/>
      <c r="M294" s="38"/>
      <c r="N294" s="38" t="str">
        <f>IF(OR(F294="",G294=""),"",MAX(F294*VLOOKUP(G294,SETUP_RATES!$A:$H,3,FALSE),VLOOKUP(G294,SETUP_RATES!$A:$H,2,FALSE)))</f>
        <v/>
      </c>
      <c r="O294" s="38" t="str">
        <f>IF(OR(J294="",G294=""),"",J294*VLOOKUP(G294,SETUP_RATES!$A:$H,6,FALSE))</f>
        <v/>
      </c>
      <c r="P294" s="38" t="str">
        <f t="shared" si="1"/>
        <v/>
      </c>
      <c r="Q294" s="33" t="str">
        <f t="shared" si="2"/>
        <v/>
      </c>
    </row>
    <row r="295" ht="15.75" customHeight="1">
      <c r="B295" s="39"/>
      <c r="H295" s="39"/>
      <c r="I295" s="40"/>
      <c r="L295" s="33"/>
      <c r="M295" s="38"/>
      <c r="N295" s="38" t="str">
        <f>IF(OR(F295="",G295=""),"",MAX(F295*VLOOKUP(G295,SETUP_RATES!$A:$H,3,FALSE),VLOOKUP(G295,SETUP_RATES!$A:$H,2,FALSE)))</f>
        <v/>
      </c>
      <c r="O295" s="38" t="str">
        <f>IF(OR(J295="",G295=""),"",J295*VLOOKUP(G295,SETUP_RATES!$A:$H,6,FALSE))</f>
        <v/>
      </c>
      <c r="P295" s="38" t="str">
        <f t="shared" si="1"/>
        <v/>
      </c>
      <c r="Q295" s="33" t="str">
        <f t="shared" si="2"/>
        <v/>
      </c>
    </row>
    <row r="296" ht="15.75" customHeight="1">
      <c r="B296" s="39"/>
      <c r="H296" s="39"/>
      <c r="I296" s="40"/>
      <c r="L296" s="33"/>
      <c r="M296" s="38"/>
      <c r="N296" s="38" t="str">
        <f>IF(OR(F296="",G296=""),"",MAX(F296*VLOOKUP(G296,SETUP_RATES!$A:$H,3,FALSE),VLOOKUP(G296,SETUP_RATES!$A:$H,2,FALSE)))</f>
        <v/>
      </c>
      <c r="O296" s="38" t="str">
        <f>IF(OR(J296="",G296=""),"",J296*VLOOKUP(G296,SETUP_RATES!$A:$H,6,FALSE))</f>
        <v/>
      </c>
      <c r="P296" s="38" t="str">
        <f t="shared" si="1"/>
        <v/>
      </c>
      <c r="Q296" s="33" t="str">
        <f t="shared" si="2"/>
        <v/>
      </c>
    </row>
    <row r="297" ht="15.75" customHeight="1">
      <c r="B297" s="39"/>
      <c r="H297" s="39"/>
      <c r="I297" s="40"/>
      <c r="L297" s="33"/>
      <c r="M297" s="38"/>
      <c r="N297" s="38" t="str">
        <f>IF(OR(F297="",G297=""),"",MAX(F297*VLOOKUP(G297,SETUP_RATES!$A:$H,3,FALSE),VLOOKUP(G297,SETUP_RATES!$A:$H,2,FALSE)))</f>
        <v/>
      </c>
      <c r="O297" s="38" t="str">
        <f>IF(OR(J297="",G297=""),"",J297*VLOOKUP(G297,SETUP_RATES!$A:$H,6,FALSE))</f>
        <v/>
      </c>
      <c r="P297" s="38" t="str">
        <f t="shared" si="1"/>
        <v/>
      </c>
      <c r="Q297" s="33" t="str">
        <f t="shared" si="2"/>
        <v/>
      </c>
    </row>
    <row r="298" ht="15.75" customHeight="1">
      <c r="B298" s="39"/>
      <c r="H298" s="39"/>
      <c r="I298" s="40"/>
      <c r="L298" s="33"/>
      <c r="M298" s="38"/>
      <c r="N298" s="38" t="str">
        <f>IF(OR(F298="",G298=""),"",MAX(F298*VLOOKUP(G298,SETUP_RATES!$A:$H,3,FALSE),VLOOKUP(G298,SETUP_RATES!$A:$H,2,FALSE)))</f>
        <v/>
      </c>
      <c r="O298" s="38" t="str">
        <f>IF(OR(J298="",G298=""),"",J298*VLOOKUP(G298,SETUP_RATES!$A:$H,6,FALSE))</f>
        <v/>
      </c>
      <c r="P298" s="38" t="str">
        <f t="shared" si="1"/>
        <v/>
      </c>
      <c r="Q298" s="33" t="str">
        <f t="shared" si="2"/>
        <v/>
      </c>
    </row>
    <row r="299" ht="15.75" customHeight="1">
      <c r="B299" s="39"/>
      <c r="H299" s="39"/>
      <c r="I299" s="40"/>
      <c r="L299" s="33"/>
      <c r="M299" s="38"/>
      <c r="N299" s="38" t="str">
        <f>IF(OR(F299="",G299=""),"",MAX(F299*VLOOKUP(G299,SETUP_RATES!$A:$H,3,FALSE),VLOOKUP(G299,SETUP_RATES!$A:$H,2,FALSE)))</f>
        <v/>
      </c>
      <c r="O299" s="38" t="str">
        <f>IF(OR(J299="",G299=""),"",J299*VLOOKUP(G299,SETUP_RATES!$A:$H,6,FALSE))</f>
        <v/>
      </c>
      <c r="P299" s="38" t="str">
        <f t="shared" si="1"/>
        <v/>
      </c>
      <c r="Q299" s="33" t="str">
        <f t="shared" si="2"/>
        <v/>
      </c>
    </row>
    <row r="300" ht="15.75" customHeight="1">
      <c r="B300" s="39"/>
      <c r="H300" s="39"/>
      <c r="I300" s="40"/>
      <c r="L300" s="33"/>
      <c r="M300" s="38"/>
      <c r="N300" s="38" t="str">
        <f>IF(OR(F300="",G300=""),"",MAX(F300*VLOOKUP(G300,SETUP_RATES!$A:$H,3,FALSE),VLOOKUP(G300,SETUP_RATES!$A:$H,2,FALSE)))</f>
        <v/>
      </c>
      <c r="O300" s="38" t="str">
        <f>IF(OR(J300="",G300=""),"",J300*VLOOKUP(G300,SETUP_RATES!$A:$H,6,FALSE))</f>
        <v/>
      </c>
      <c r="P300" s="38" t="str">
        <f t="shared" si="1"/>
        <v/>
      </c>
      <c r="Q300" s="33" t="str">
        <f t="shared" si="2"/>
        <v/>
      </c>
    </row>
    <row r="301" ht="15.75" customHeight="1">
      <c r="B301" s="39"/>
      <c r="H301" s="39"/>
      <c r="I301" s="40"/>
      <c r="L301" s="33"/>
      <c r="M301" s="38"/>
      <c r="N301" s="38" t="str">
        <f>IF(OR(F301="",G301=""),"",MAX(F301*VLOOKUP(G301,SETUP_RATES!$A:$H,3,FALSE),VLOOKUP(G301,SETUP_RATES!$A:$H,2,FALSE)))</f>
        <v/>
      </c>
      <c r="O301" s="38" t="str">
        <f>IF(OR(J301="",G301=""),"",J301*VLOOKUP(G301,SETUP_RATES!$A:$H,6,FALSE))</f>
        <v/>
      </c>
      <c r="P301" s="38" t="str">
        <f t="shared" si="1"/>
        <v/>
      </c>
      <c r="Q301" s="33" t="str">
        <f t="shared" si="2"/>
        <v/>
      </c>
    </row>
    <row r="302" ht="15.75" customHeight="1">
      <c r="B302" s="39"/>
      <c r="H302" s="39"/>
      <c r="I302" s="40"/>
      <c r="L302" s="33"/>
      <c r="M302" s="38"/>
      <c r="N302" s="38" t="str">
        <f>IF(OR(F302="",G302=""),"",MAX(F302*VLOOKUP(G302,SETUP_RATES!$A:$H,3,FALSE),VLOOKUP(G302,SETUP_RATES!$A:$H,2,FALSE)))</f>
        <v/>
      </c>
      <c r="O302" s="38" t="str">
        <f>IF(OR(J302="",G302=""),"",J302*VLOOKUP(G302,SETUP_RATES!$A:$H,6,FALSE))</f>
        <v/>
      </c>
      <c r="P302" s="38" t="str">
        <f t="shared" si="1"/>
        <v/>
      </c>
      <c r="Q302" s="33" t="str">
        <f t="shared" si="2"/>
        <v/>
      </c>
    </row>
    <row r="303" ht="15.75" customHeight="1">
      <c r="B303" s="39"/>
      <c r="H303" s="39"/>
      <c r="I303" s="40"/>
      <c r="L303" s="33"/>
      <c r="M303" s="38"/>
      <c r="N303" s="38" t="str">
        <f>IF(OR(F303="",G303=""),"",MAX(F303*VLOOKUP(G303,SETUP_RATES!$A:$H,3,FALSE),VLOOKUP(G303,SETUP_RATES!$A:$H,2,FALSE)))</f>
        <v/>
      </c>
      <c r="O303" s="38" t="str">
        <f>IF(OR(J303="",G303=""),"",J303*VLOOKUP(G303,SETUP_RATES!$A:$H,6,FALSE))</f>
        <v/>
      </c>
      <c r="P303" s="38" t="str">
        <f t="shared" si="1"/>
        <v/>
      </c>
      <c r="Q303" s="33" t="str">
        <f t="shared" si="2"/>
        <v/>
      </c>
    </row>
    <row r="304" ht="15.75" customHeight="1">
      <c r="B304" s="39"/>
      <c r="H304" s="39"/>
      <c r="I304" s="40"/>
      <c r="L304" s="33"/>
      <c r="M304" s="38"/>
      <c r="N304" s="38" t="str">
        <f>IF(OR(F304="",G304=""),"",MAX(F304*VLOOKUP(G304,SETUP_RATES!$A:$H,3,FALSE),VLOOKUP(G304,SETUP_RATES!$A:$H,2,FALSE)))</f>
        <v/>
      </c>
      <c r="O304" s="38" t="str">
        <f>IF(OR(J304="",G304=""),"",J304*VLOOKUP(G304,SETUP_RATES!$A:$H,6,FALSE))</f>
        <v/>
      </c>
      <c r="P304" s="38" t="str">
        <f t="shared" si="1"/>
        <v/>
      </c>
      <c r="Q304" s="33" t="str">
        <f t="shared" si="2"/>
        <v/>
      </c>
    </row>
    <row r="305" ht="15.75" customHeight="1">
      <c r="B305" s="39"/>
      <c r="H305" s="39"/>
      <c r="I305" s="40"/>
      <c r="L305" s="33"/>
      <c r="M305" s="38"/>
      <c r="N305" s="38" t="str">
        <f>IF(OR(F305="",G305=""),"",MAX(F305*VLOOKUP(G305,SETUP_RATES!$A:$H,3,FALSE),VLOOKUP(G305,SETUP_RATES!$A:$H,2,FALSE)))</f>
        <v/>
      </c>
      <c r="O305" s="38" t="str">
        <f>IF(OR(J305="",G305=""),"",J305*VLOOKUP(G305,SETUP_RATES!$A:$H,6,FALSE))</f>
        <v/>
      </c>
      <c r="P305" s="38" t="str">
        <f t="shared" si="1"/>
        <v/>
      </c>
      <c r="Q305" s="33" t="str">
        <f t="shared" si="2"/>
        <v/>
      </c>
    </row>
    <row r="306" ht="15.75" customHeight="1">
      <c r="B306" s="39"/>
      <c r="H306" s="39"/>
      <c r="I306" s="40"/>
      <c r="L306" s="33"/>
      <c r="M306" s="38"/>
      <c r="N306" s="38" t="str">
        <f>IF(OR(F306="",G306=""),"",MAX(F306*VLOOKUP(G306,SETUP_RATES!$A:$H,3,FALSE),VLOOKUP(G306,SETUP_RATES!$A:$H,2,FALSE)))</f>
        <v/>
      </c>
      <c r="O306" s="38" t="str">
        <f>IF(OR(J306="",G306=""),"",J306*VLOOKUP(G306,SETUP_RATES!$A:$H,6,FALSE))</f>
        <v/>
      </c>
      <c r="P306" s="38" t="str">
        <f t="shared" si="1"/>
        <v/>
      </c>
      <c r="Q306" s="33" t="str">
        <f t="shared" si="2"/>
        <v/>
      </c>
    </row>
    <row r="307" ht="15.75" customHeight="1">
      <c r="B307" s="39"/>
      <c r="H307" s="39"/>
      <c r="I307" s="40"/>
      <c r="L307" s="33"/>
      <c r="M307" s="38"/>
      <c r="N307" s="38" t="str">
        <f>IF(OR(F307="",G307=""),"",MAX(F307*VLOOKUP(G307,SETUP_RATES!$A:$H,3,FALSE),VLOOKUP(G307,SETUP_RATES!$A:$H,2,FALSE)))</f>
        <v/>
      </c>
      <c r="O307" s="38" t="str">
        <f>IF(OR(J307="",G307=""),"",J307*VLOOKUP(G307,SETUP_RATES!$A:$H,6,FALSE))</f>
        <v/>
      </c>
      <c r="P307" s="38" t="str">
        <f t="shared" si="1"/>
        <v/>
      </c>
      <c r="Q307" s="33" t="str">
        <f t="shared" si="2"/>
        <v/>
      </c>
    </row>
    <row r="308" ht="15.75" customHeight="1">
      <c r="B308" s="39"/>
      <c r="H308" s="39"/>
      <c r="I308" s="40"/>
      <c r="L308" s="33"/>
      <c r="M308" s="38"/>
      <c r="N308" s="38" t="str">
        <f>IF(OR(F308="",G308=""),"",MAX(F308*VLOOKUP(G308,SETUP_RATES!$A:$H,3,FALSE),VLOOKUP(G308,SETUP_RATES!$A:$H,2,FALSE)))</f>
        <v/>
      </c>
      <c r="O308" s="38" t="str">
        <f>IF(OR(J308="",G308=""),"",J308*VLOOKUP(G308,SETUP_RATES!$A:$H,6,FALSE))</f>
        <v/>
      </c>
      <c r="P308" s="38" t="str">
        <f t="shared" si="1"/>
        <v/>
      </c>
      <c r="Q308" s="33" t="str">
        <f t="shared" si="2"/>
        <v/>
      </c>
    </row>
    <row r="309" ht="15.75" customHeight="1">
      <c r="B309" s="39"/>
      <c r="H309" s="39"/>
      <c r="I309" s="40"/>
      <c r="L309" s="33"/>
      <c r="M309" s="38"/>
      <c r="N309" s="38" t="str">
        <f>IF(OR(F309="",G309=""),"",MAX(F309*VLOOKUP(G309,SETUP_RATES!$A:$H,3,FALSE),VLOOKUP(G309,SETUP_RATES!$A:$H,2,FALSE)))</f>
        <v/>
      </c>
      <c r="O309" s="38" t="str">
        <f>IF(OR(J309="",G309=""),"",J309*VLOOKUP(G309,SETUP_RATES!$A:$H,6,FALSE))</f>
        <v/>
      </c>
      <c r="P309" s="38" t="str">
        <f t="shared" si="1"/>
        <v/>
      </c>
      <c r="Q309" s="33" t="str">
        <f t="shared" si="2"/>
        <v/>
      </c>
    </row>
    <row r="310" ht="15.75" customHeight="1">
      <c r="B310" s="39"/>
      <c r="H310" s="39"/>
      <c r="I310" s="40"/>
      <c r="L310" s="33"/>
      <c r="M310" s="38"/>
      <c r="N310" s="38" t="str">
        <f>IF(OR(F310="",G310=""),"",MAX(F310*VLOOKUP(G310,SETUP_RATES!$A:$H,3,FALSE),VLOOKUP(G310,SETUP_RATES!$A:$H,2,FALSE)))</f>
        <v/>
      </c>
      <c r="O310" s="38" t="str">
        <f>IF(OR(J310="",G310=""),"",J310*VLOOKUP(G310,SETUP_RATES!$A:$H,6,FALSE))</f>
        <v/>
      </c>
      <c r="P310" s="38" t="str">
        <f t="shared" si="1"/>
        <v/>
      </c>
      <c r="Q310" s="33" t="str">
        <f t="shared" si="2"/>
        <v/>
      </c>
    </row>
    <row r="311" ht="15.75" customHeight="1">
      <c r="B311" s="39"/>
      <c r="H311" s="39"/>
      <c r="I311" s="40"/>
      <c r="L311" s="33"/>
      <c r="M311" s="38"/>
      <c r="N311" s="38" t="str">
        <f>IF(OR(F311="",G311=""),"",MAX(F311*VLOOKUP(G311,SETUP_RATES!$A:$H,3,FALSE),VLOOKUP(G311,SETUP_RATES!$A:$H,2,FALSE)))</f>
        <v/>
      </c>
      <c r="O311" s="38" t="str">
        <f>IF(OR(J311="",G311=""),"",J311*VLOOKUP(G311,SETUP_RATES!$A:$H,6,FALSE))</f>
        <v/>
      </c>
      <c r="P311" s="38" t="str">
        <f t="shared" si="1"/>
        <v/>
      </c>
      <c r="Q311" s="33" t="str">
        <f t="shared" si="2"/>
        <v/>
      </c>
    </row>
    <row r="312" ht="15.75" customHeight="1">
      <c r="B312" s="39"/>
      <c r="H312" s="39"/>
      <c r="I312" s="40"/>
      <c r="L312" s="33"/>
      <c r="M312" s="38"/>
      <c r="N312" s="38" t="str">
        <f>IF(OR(F312="",G312=""),"",MAX(F312*VLOOKUP(G312,SETUP_RATES!$A:$H,3,FALSE),VLOOKUP(G312,SETUP_RATES!$A:$H,2,FALSE)))</f>
        <v/>
      </c>
      <c r="O312" s="38" t="str">
        <f>IF(OR(J312="",G312=""),"",J312*VLOOKUP(G312,SETUP_RATES!$A:$H,6,FALSE))</f>
        <v/>
      </c>
      <c r="P312" s="38" t="str">
        <f t="shared" si="1"/>
        <v/>
      </c>
      <c r="Q312" s="33" t="str">
        <f t="shared" si="2"/>
        <v/>
      </c>
    </row>
    <row r="313" ht="15.75" customHeight="1">
      <c r="B313" s="39"/>
      <c r="H313" s="39"/>
      <c r="I313" s="40"/>
      <c r="L313" s="33"/>
      <c r="M313" s="38"/>
      <c r="N313" s="38" t="str">
        <f>IF(OR(F313="",G313=""),"",MAX(F313*VLOOKUP(G313,SETUP_RATES!$A:$H,3,FALSE),VLOOKUP(G313,SETUP_RATES!$A:$H,2,FALSE)))</f>
        <v/>
      </c>
      <c r="O313" s="38" t="str">
        <f>IF(OR(J313="",G313=""),"",J313*VLOOKUP(G313,SETUP_RATES!$A:$H,6,FALSE))</f>
        <v/>
      </c>
      <c r="P313" s="38" t="str">
        <f t="shared" si="1"/>
        <v/>
      </c>
      <c r="Q313" s="33" t="str">
        <f t="shared" si="2"/>
        <v/>
      </c>
    </row>
    <row r="314" ht="15.75" customHeight="1">
      <c r="B314" s="39"/>
      <c r="H314" s="39"/>
      <c r="I314" s="40"/>
      <c r="L314" s="33"/>
      <c r="M314" s="38"/>
      <c r="N314" s="38" t="str">
        <f>IF(OR(F314="",G314=""),"",MAX(F314*VLOOKUP(G314,SETUP_RATES!$A:$H,3,FALSE),VLOOKUP(G314,SETUP_RATES!$A:$H,2,FALSE)))</f>
        <v/>
      </c>
      <c r="O314" s="38" t="str">
        <f>IF(OR(J314="",G314=""),"",J314*VLOOKUP(G314,SETUP_RATES!$A:$H,6,FALSE))</f>
        <v/>
      </c>
      <c r="P314" s="38" t="str">
        <f t="shared" si="1"/>
        <v/>
      </c>
      <c r="Q314" s="33" t="str">
        <f t="shared" si="2"/>
        <v/>
      </c>
    </row>
    <row r="315" ht="15.75" customHeight="1">
      <c r="B315" s="39"/>
      <c r="H315" s="39"/>
      <c r="I315" s="40"/>
      <c r="L315" s="33"/>
      <c r="M315" s="38"/>
      <c r="N315" s="38" t="str">
        <f>IF(OR(F315="",G315=""),"",MAX(F315*VLOOKUP(G315,SETUP_RATES!$A:$H,3,FALSE),VLOOKUP(G315,SETUP_RATES!$A:$H,2,FALSE)))</f>
        <v/>
      </c>
      <c r="O315" s="38" t="str">
        <f>IF(OR(J315="",G315=""),"",J315*VLOOKUP(G315,SETUP_RATES!$A:$H,6,FALSE))</f>
        <v/>
      </c>
      <c r="P315" s="38" t="str">
        <f t="shared" si="1"/>
        <v/>
      </c>
      <c r="Q315" s="33" t="str">
        <f t="shared" si="2"/>
        <v/>
      </c>
    </row>
    <row r="316" ht="15.75" customHeight="1">
      <c r="B316" s="39"/>
      <c r="H316" s="39"/>
      <c r="I316" s="40"/>
      <c r="L316" s="33"/>
      <c r="M316" s="38"/>
      <c r="N316" s="38" t="str">
        <f>IF(OR(F316="",G316=""),"",MAX(F316*VLOOKUP(G316,SETUP_RATES!$A:$H,3,FALSE),VLOOKUP(G316,SETUP_RATES!$A:$H,2,FALSE)))</f>
        <v/>
      </c>
      <c r="O316" s="38" t="str">
        <f>IF(OR(J316="",G316=""),"",J316*VLOOKUP(G316,SETUP_RATES!$A:$H,6,FALSE))</f>
        <v/>
      </c>
      <c r="P316" s="38" t="str">
        <f t="shared" si="1"/>
        <v/>
      </c>
      <c r="Q316" s="33" t="str">
        <f t="shared" si="2"/>
        <v/>
      </c>
    </row>
    <row r="317" ht="15.75" customHeight="1">
      <c r="B317" s="39"/>
      <c r="H317" s="39"/>
      <c r="I317" s="40"/>
      <c r="L317" s="33"/>
      <c r="M317" s="38"/>
      <c r="N317" s="38" t="str">
        <f>IF(OR(F317="",G317=""),"",MAX(F317*VLOOKUP(G317,SETUP_RATES!$A:$H,3,FALSE),VLOOKUP(G317,SETUP_RATES!$A:$H,2,FALSE)))</f>
        <v/>
      </c>
      <c r="O317" s="38" t="str">
        <f>IF(OR(J317="",G317=""),"",J317*VLOOKUP(G317,SETUP_RATES!$A:$H,6,FALSE))</f>
        <v/>
      </c>
      <c r="P317" s="38" t="str">
        <f t="shared" si="1"/>
        <v/>
      </c>
      <c r="Q317" s="33" t="str">
        <f t="shared" si="2"/>
        <v/>
      </c>
    </row>
    <row r="318" ht="15.75" customHeight="1">
      <c r="B318" s="39"/>
      <c r="H318" s="39"/>
      <c r="I318" s="40"/>
      <c r="L318" s="33"/>
      <c r="M318" s="38"/>
      <c r="N318" s="38" t="str">
        <f>IF(OR(F318="",G318=""),"",MAX(F318*VLOOKUP(G318,SETUP_RATES!$A:$H,3,FALSE),VLOOKUP(G318,SETUP_RATES!$A:$H,2,FALSE)))</f>
        <v/>
      </c>
      <c r="O318" s="38" t="str">
        <f>IF(OR(J318="",G318=""),"",J318*VLOOKUP(G318,SETUP_RATES!$A:$H,6,FALSE))</f>
        <v/>
      </c>
      <c r="P318" s="38" t="str">
        <f t="shared" si="1"/>
        <v/>
      </c>
      <c r="Q318" s="33" t="str">
        <f t="shared" si="2"/>
        <v/>
      </c>
    </row>
    <row r="319" ht="15.75" customHeight="1">
      <c r="B319" s="39"/>
      <c r="H319" s="39"/>
      <c r="I319" s="40"/>
      <c r="L319" s="33"/>
      <c r="M319" s="38"/>
      <c r="N319" s="38" t="str">
        <f>IF(OR(F319="",G319=""),"",MAX(F319*VLOOKUP(G319,SETUP_RATES!$A:$H,3,FALSE),VLOOKUP(G319,SETUP_RATES!$A:$H,2,FALSE)))</f>
        <v/>
      </c>
      <c r="O319" s="38" t="str">
        <f>IF(OR(J319="",G319=""),"",J319*VLOOKUP(G319,SETUP_RATES!$A:$H,6,FALSE))</f>
        <v/>
      </c>
      <c r="P319" s="38" t="str">
        <f t="shared" si="1"/>
        <v/>
      </c>
      <c r="Q319" s="33" t="str">
        <f t="shared" si="2"/>
        <v/>
      </c>
    </row>
    <row r="320" ht="15.75" customHeight="1">
      <c r="B320" s="39"/>
      <c r="H320" s="39"/>
      <c r="I320" s="40"/>
      <c r="L320" s="33"/>
      <c r="M320" s="38"/>
      <c r="N320" s="38" t="str">
        <f>IF(OR(F320="",G320=""),"",MAX(F320*VLOOKUP(G320,SETUP_RATES!$A:$H,3,FALSE),VLOOKUP(G320,SETUP_RATES!$A:$H,2,FALSE)))</f>
        <v/>
      </c>
      <c r="O320" s="38" t="str">
        <f>IF(OR(J320="",G320=""),"",J320*VLOOKUP(G320,SETUP_RATES!$A:$H,6,FALSE))</f>
        <v/>
      </c>
      <c r="P320" s="38" t="str">
        <f t="shared" si="1"/>
        <v/>
      </c>
      <c r="Q320" s="33" t="str">
        <f t="shared" si="2"/>
        <v/>
      </c>
    </row>
    <row r="321" ht="15.75" customHeight="1">
      <c r="B321" s="39"/>
      <c r="H321" s="39"/>
      <c r="I321" s="40"/>
      <c r="L321" s="33"/>
      <c r="M321" s="38"/>
      <c r="N321" s="38" t="str">
        <f>IF(OR(F321="",G321=""),"",MAX(F321*VLOOKUP(G321,SETUP_RATES!$A:$H,3,FALSE),VLOOKUP(G321,SETUP_RATES!$A:$H,2,FALSE)))</f>
        <v/>
      </c>
      <c r="O321" s="38" t="str">
        <f>IF(OR(J321="",G321=""),"",J321*VLOOKUP(G321,SETUP_RATES!$A:$H,6,FALSE))</f>
        <v/>
      </c>
      <c r="P321" s="38" t="str">
        <f t="shared" si="1"/>
        <v/>
      </c>
      <c r="Q321" s="33" t="str">
        <f t="shared" si="2"/>
        <v/>
      </c>
    </row>
    <row r="322" ht="15.75" customHeight="1">
      <c r="B322" s="39"/>
      <c r="H322" s="39"/>
      <c r="I322" s="40"/>
      <c r="L322" s="33"/>
      <c r="M322" s="38"/>
      <c r="N322" s="38" t="str">
        <f>IF(OR(F322="",G322=""),"",MAX(F322*VLOOKUP(G322,SETUP_RATES!$A:$H,3,FALSE),VLOOKUP(G322,SETUP_RATES!$A:$H,2,FALSE)))</f>
        <v/>
      </c>
      <c r="O322" s="38" t="str">
        <f>IF(OR(J322="",G322=""),"",J322*VLOOKUP(G322,SETUP_RATES!$A:$H,6,FALSE))</f>
        <v/>
      </c>
      <c r="P322" s="38" t="str">
        <f t="shared" si="1"/>
        <v/>
      </c>
      <c r="Q322" s="33" t="str">
        <f t="shared" si="2"/>
        <v/>
      </c>
    </row>
    <row r="323" ht="15.75" customHeight="1">
      <c r="B323" s="39"/>
      <c r="H323" s="39"/>
      <c r="I323" s="40"/>
      <c r="L323" s="33"/>
      <c r="M323" s="38"/>
      <c r="N323" s="38" t="str">
        <f>IF(OR(F323="",G323=""),"",MAX(F323*VLOOKUP(G323,SETUP_RATES!$A:$H,3,FALSE),VLOOKUP(G323,SETUP_RATES!$A:$H,2,FALSE)))</f>
        <v/>
      </c>
      <c r="O323" s="38" t="str">
        <f>IF(OR(J323="",G323=""),"",J323*VLOOKUP(G323,SETUP_RATES!$A:$H,6,FALSE))</f>
        <v/>
      </c>
      <c r="P323" s="38" t="str">
        <f t="shared" si="1"/>
        <v/>
      </c>
      <c r="Q323" s="33" t="str">
        <f t="shared" si="2"/>
        <v/>
      </c>
    </row>
    <row r="324" ht="15.75" customHeight="1">
      <c r="B324" s="39"/>
      <c r="H324" s="39"/>
      <c r="I324" s="40"/>
      <c r="L324" s="33"/>
      <c r="M324" s="38"/>
      <c r="N324" s="38" t="str">
        <f>IF(OR(F324="",G324=""),"",MAX(F324*VLOOKUP(G324,SETUP_RATES!$A:$H,3,FALSE),VLOOKUP(G324,SETUP_RATES!$A:$H,2,FALSE)))</f>
        <v/>
      </c>
      <c r="O324" s="38" t="str">
        <f>IF(OR(J324="",G324=""),"",J324*VLOOKUP(G324,SETUP_RATES!$A:$H,6,FALSE))</f>
        <v/>
      </c>
      <c r="P324" s="38" t="str">
        <f t="shared" si="1"/>
        <v/>
      </c>
      <c r="Q324" s="33" t="str">
        <f t="shared" si="2"/>
        <v/>
      </c>
    </row>
    <row r="325" ht="15.75" customHeight="1">
      <c r="B325" s="39"/>
      <c r="H325" s="39"/>
      <c r="I325" s="40"/>
      <c r="L325" s="33"/>
      <c r="M325" s="38"/>
      <c r="N325" s="38" t="str">
        <f>IF(OR(F325="",G325=""),"",MAX(F325*VLOOKUP(G325,SETUP_RATES!$A:$H,3,FALSE),VLOOKUP(G325,SETUP_RATES!$A:$H,2,FALSE)))</f>
        <v/>
      </c>
      <c r="O325" s="38" t="str">
        <f>IF(OR(J325="",G325=""),"",J325*VLOOKUP(G325,SETUP_RATES!$A:$H,6,FALSE))</f>
        <v/>
      </c>
      <c r="P325" s="38" t="str">
        <f t="shared" si="1"/>
        <v/>
      </c>
      <c r="Q325" s="33" t="str">
        <f t="shared" si="2"/>
        <v/>
      </c>
    </row>
    <row r="326" ht="15.75" customHeight="1">
      <c r="B326" s="39"/>
      <c r="H326" s="39"/>
      <c r="I326" s="40"/>
      <c r="L326" s="33"/>
      <c r="M326" s="38"/>
      <c r="N326" s="38" t="str">
        <f>IF(OR(F326="",G326=""),"",MAX(F326*VLOOKUP(G326,SETUP_RATES!$A:$H,3,FALSE),VLOOKUP(G326,SETUP_RATES!$A:$H,2,FALSE)))</f>
        <v/>
      </c>
      <c r="O326" s="38" t="str">
        <f>IF(OR(J326="",G326=""),"",J326*VLOOKUP(G326,SETUP_RATES!$A:$H,6,FALSE))</f>
        <v/>
      </c>
      <c r="P326" s="38" t="str">
        <f t="shared" si="1"/>
        <v/>
      </c>
      <c r="Q326" s="33" t="str">
        <f t="shared" si="2"/>
        <v/>
      </c>
    </row>
    <row r="327" ht="15.75" customHeight="1">
      <c r="B327" s="39"/>
      <c r="H327" s="39"/>
      <c r="I327" s="40"/>
      <c r="L327" s="33"/>
      <c r="M327" s="38"/>
      <c r="N327" s="38" t="str">
        <f>IF(OR(F327="",G327=""),"",MAX(F327*VLOOKUP(G327,SETUP_RATES!$A:$H,3,FALSE),VLOOKUP(G327,SETUP_RATES!$A:$H,2,FALSE)))</f>
        <v/>
      </c>
      <c r="O327" s="38" t="str">
        <f>IF(OR(J327="",G327=""),"",J327*VLOOKUP(G327,SETUP_RATES!$A:$H,6,FALSE))</f>
        <v/>
      </c>
      <c r="P327" s="38" t="str">
        <f t="shared" si="1"/>
        <v/>
      </c>
      <c r="Q327" s="33" t="str">
        <f t="shared" si="2"/>
        <v/>
      </c>
    </row>
    <row r="328" ht="15.75" customHeight="1">
      <c r="B328" s="39"/>
      <c r="H328" s="39"/>
      <c r="I328" s="40"/>
      <c r="L328" s="33"/>
      <c r="M328" s="38"/>
      <c r="N328" s="38" t="str">
        <f>IF(OR(F328="",G328=""),"",MAX(F328*VLOOKUP(G328,SETUP_RATES!$A:$H,3,FALSE),VLOOKUP(G328,SETUP_RATES!$A:$H,2,FALSE)))</f>
        <v/>
      </c>
      <c r="O328" s="38" t="str">
        <f>IF(OR(J328="",G328=""),"",J328*VLOOKUP(G328,SETUP_RATES!$A:$H,6,FALSE))</f>
        <v/>
      </c>
      <c r="P328" s="38" t="str">
        <f t="shared" si="1"/>
        <v/>
      </c>
      <c r="Q328" s="33" t="str">
        <f t="shared" si="2"/>
        <v/>
      </c>
    </row>
    <row r="329" ht="15.75" customHeight="1">
      <c r="B329" s="39"/>
      <c r="H329" s="39"/>
      <c r="I329" s="40"/>
      <c r="L329" s="33"/>
      <c r="M329" s="38"/>
      <c r="N329" s="38" t="str">
        <f>IF(OR(F329="",G329=""),"",MAX(F329*VLOOKUP(G329,SETUP_RATES!$A:$H,3,FALSE),VLOOKUP(G329,SETUP_RATES!$A:$H,2,FALSE)))</f>
        <v/>
      </c>
      <c r="O329" s="38" t="str">
        <f>IF(OR(J329="",G329=""),"",J329*VLOOKUP(G329,SETUP_RATES!$A:$H,6,FALSE))</f>
        <v/>
      </c>
      <c r="P329" s="38" t="str">
        <f t="shared" si="1"/>
        <v/>
      </c>
      <c r="Q329" s="33" t="str">
        <f t="shared" si="2"/>
        <v/>
      </c>
    </row>
    <row r="330" ht="15.75" customHeight="1">
      <c r="B330" s="39"/>
      <c r="H330" s="39"/>
      <c r="I330" s="40"/>
      <c r="L330" s="33"/>
      <c r="M330" s="38"/>
      <c r="N330" s="38" t="str">
        <f>IF(OR(F330="",G330=""),"",MAX(F330*VLOOKUP(G330,SETUP_RATES!$A:$H,3,FALSE),VLOOKUP(G330,SETUP_RATES!$A:$H,2,FALSE)))</f>
        <v/>
      </c>
      <c r="O330" s="38" t="str">
        <f>IF(OR(J330="",G330=""),"",J330*VLOOKUP(G330,SETUP_RATES!$A:$H,6,FALSE))</f>
        <v/>
      </c>
      <c r="P330" s="38" t="str">
        <f t="shared" si="1"/>
        <v/>
      </c>
      <c r="Q330" s="33" t="str">
        <f t="shared" si="2"/>
        <v/>
      </c>
    </row>
    <row r="331" ht="15.75" customHeight="1">
      <c r="B331" s="39"/>
      <c r="H331" s="39"/>
      <c r="I331" s="40"/>
      <c r="L331" s="33"/>
      <c r="M331" s="38"/>
      <c r="N331" s="38" t="str">
        <f>IF(OR(F331="",G331=""),"",MAX(F331*VLOOKUP(G331,SETUP_RATES!$A:$H,3,FALSE),VLOOKUP(G331,SETUP_RATES!$A:$H,2,FALSE)))</f>
        <v/>
      </c>
      <c r="O331" s="38" t="str">
        <f>IF(OR(J331="",G331=""),"",J331*VLOOKUP(G331,SETUP_RATES!$A:$H,6,FALSE))</f>
        <v/>
      </c>
      <c r="P331" s="38" t="str">
        <f t="shared" si="1"/>
        <v/>
      </c>
      <c r="Q331" s="33" t="str">
        <f t="shared" si="2"/>
        <v/>
      </c>
    </row>
    <row r="332" ht="15.75" customHeight="1">
      <c r="B332" s="39"/>
      <c r="H332" s="39"/>
      <c r="I332" s="40"/>
      <c r="L332" s="33"/>
      <c r="M332" s="38"/>
      <c r="N332" s="38" t="str">
        <f>IF(OR(F332="",G332=""),"",MAX(F332*VLOOKUP(G332,SETUP_RATES!$A:$H,3,FALSE),VLOOKUP(G332,SETUP_RATES!$A:$H,2,FALSE)))</f>
        <v/>
      </c>
      <c r="O332" s="38" t="str">
        <f>IF(OR(J332="",G332=""),"",J332*VLOOKUP(G332,SETUP_RATES!$A:$H,6,FALSE))</f>
        <v/>
      </c>
      <c r="P332" s="38" t="str">
        <f t="shared" si="1"/>
        <v/>
      </c>
      <c r="Q332" s="33" t="str">
        <f t="shared" si="2"/>
        <v/>
      </c>
    </row>
    <row r="333" ht="15.75" customHeight="1">
      <c r="B333" s="39"/>
      <c r="H333" s="39"/>
      <c r="I333" s="40"/>
      <c r="L333" s="33"/>
      <c r="M333" s="38"/>
      <c r="N333" s="38" t="str">
        <f>IF(OR(F333="",G333=""),"",MAX(F333*VLOOKUP(G333,SETUP_RATES!$A:$H,3,FALSE),VLOOKUP(G333,SETUP_RATES!$A:$H,2,FALSE)))</f>
        <v/>
      </c>
      <c r="O333" s="38" t="str">
        <f>IF(OR(J333="",G333=""),"",J333*VLOOKUP(G333,SETUP_RATES!$A:$H,6,FALSE))</f>
        <v/>
      </c>
      <c r="P333" s="38" t="str">
        <f t="shared" si="1"/>
        <v/>
      </c>
      <c r="Q333" s="33" t="str">
        <f t="shared" si="2"/>
        <v/>
      </c>
    </row>
    <row r="334" ht="15.75" customHeight="1">
      <c r="B334" s="39"/>
      <c r="H334" s="39"/>
      <c r="I334" s="40"/>
      <c r="L334" s="33"/>
      <c r="M334" s="38"/>
      <c r="N334" s="38" t="str">
        <f>IF(OR(F334="",G334=""),"",MAX(F334*VLOOKUP(G334,SETUP_RATES!$A:$H,3,FALSE),VLOOKUP(G334,SETUP_RATES!$A:$H,2,FALSE)))</f>
        <v/>
      </c>
      <c r="O334" s="38" t="str">
        <f>IF(OR(J334="",G334=""),"",J334*VLOOKUP(G334,SETUP_RATES!$A:$H,6,FALSE))</f>
        <v/>
      </c>
      <c r="P334" s="38" t="str">
        <f t="shared" si="1"/>
        <v/>
      </c>
      <c r="Q334" s="33" t="str">
        <f t="shared" si="2"/>
        <v/>
      </c>
    </row>
    <row r="335" ht="15.75" customHeight="1">
      <c r="B335" s="39"/>
      <c r="H335" s="39"/>
      <c r="I335" s="40"/>
      <c r="L335" s="33"/>
      <c r="M335" s="38"/>
      <c r="N335" s="38" t="str">
        <f>IF(OR(F335="",G335=""),"",MAX(F335*VLOOKUP(G335,SETUP_RATES!$A:$H,3,FALSE),VLOOKUP(G335,SETUP_RATES!$A:$H,2,FALSE)))</f>
        <v/>
      </c>
      <c r="O335" s="38" t="str">
        <f>IF(OR(J335="",G335=""),"",J335*VLOOKUP(G335,SETUP_RATES!$A:$H,6,FALSE))</f>
        <v/>
      </c>
      <c r="P335" s="38" t="str">
        <f t="shared" si="1"/>
        <v/>
      </c>
      <c r="Q335" s="33" t="str">
        <f t="shared" si="2"/>
        <v/>
      </c>
    </row>
    <row r="336" ht="15.75" customHeight="1">
      <c r="B336" s="39"/>
      <c r="H336" s="39"/>
      <c r="I336" s="40"/>
      <c r="L336" s="33"/>
      <c r="M336" s="38"/>
      <c r="N336" s="38" t="str">
        <f>IF(OR(F336="",G336=""),"",MAX(F336*VLOOKUP(G336,SETUP_RATES!$A:$H,3,FALSE),VLOOKUP(G336,SETUP_RATES!$A:$H,2,FALSE)))</f>
        <v/>
      </c>
      <c r="O336" s="38" t="str">
        <f>IF(OR(J336="",G336=""),"",J336*VLOOKUP(G336,SETUP_RATES!$A:$H,6,FALSE))</f>
        <v/>
      </c>
      <c r="P336" s="38" t="str">
        <f t="shared" si="1"/>
        <v/>
      </c>
      <c r="Q336" s="33" t="str">
        <f t="shared" si="2"/>
        <v/>
      </c>
    </row>
    <row r="337" ht="15.75" customHeight="1">
      <c r="B337" s="39"/>
      <c r="H337" s="39"/>
      <c r="I337" s="40"/>
      <c r="L337" s="33"/>
      <c r="M337" s="38"/>
      <c r="N337" s="38" t="str">
        <f>IF(OR(F337="",G337=""),"",MAX(F337*VLOOKUP(G337,SETUP_RATES!$A:$H,3,FALSE),VLOOKUP(G337,SETUP_RATES!$A:$H,2,FALSE)))</f>
        <v/>
      </c>
      <c r="O337" s="38" t="str">
        <f>IF(OR(J337="",G337=""),"",J337*VLOOKUP(G337,SETUP_RATES!$A:$H,6,FALSE))</f>
        <v/>
      </c>
      <c r="P337" s="38" t="str">
        <f t="shared" si="1"/>
        <v/>
      </c>
      <c r="Q337" s="33" t="str">
        <f t="shared" si="2"/>
        <v/>
      </c>
    </row>
    <row r="338" ht="15.75" customHeight="1">
      <c r="B338" s="39"/>
      <c r="H338" s="39"/>
      <c r="I338" s="40"/>
      <c r="L338" s="33"/>
      <c r="M338" s="38"/>
      <c r="N338" s="38" t="str">
        <f>IF(OR(F338="",G338=""),"",MAX(F338*VLOOKUP(G338,SETUP_RATES!$A:$H,3,FALSE),VLOOKUP(G338,SETUP_RATES!$A:$H,2,FALSE)))</f>
        <v/>
      </c>
      <c r="O338" s="38" t="str">
        <f>IF(OR(J338="",G338=""),"",J338*VLOOKUP(G338,SETUP_RATES!$A:$H,6,FALSE))</f>
        <v/>
      </c>
      <c r="P338" s="38" t="str">
        <f t="shared" si="1"/>
        <v/>
      </c>
      <c r="Q338" s="33" t="str">
        <f t="shared" si="2"/>
        <v/>
      </c>
    </row>
    <row r="339" ht="15.75" customHeight="1">
      <c r="B339" s="39"/>
      <c r="H339" s="39"/>
      <c r="I339" s="40"/>
      <c r="L339" s="33"/>
      <c r="M339" s="38"/>
      <c r="N339" s="38" t="str">
        <f>IF(OR(F339="",G339=""),"",MAX(F339*VLOOKUP(G339,SETUP_RATES!$A:$H,3,FALSE),VLOOKUP(G339,SETUP_RATES!$A:$H,2,FALSE)))</f>
        <v/>
      </c>
      <c r="O339" s="38" t="str">
        <f>IF(OR(J339="",G339=""),"",J339*VLOOKUP(G339,SETUP_RATES!$A:$H,6,FALSE))</f>
        <v/>
      </c>
      <c r="P339" s="38" t="str">
        <f t="shared" si="1"/>
        <v/>
      </c>
      <c r="Q339" s="33" t="str">
        <f t="shared" si="2"/>
        <v/>
      </c>
    </row>
    <row r="340" ht="15.75" customHeight="1">
      <c r="B340" s="39"/>
      <c r="H340" s="39"/>
      <c r="I340" s="40"/>
      <c r="L340" s="33"/>
      <c r="M340" s="38"/>
      <c r="N340" s="38" t="str">
        <f>IF(OR(F340="",G340=""),"",MAX(F340*VLOOKUP(G340,SETUP_RATES!$A:$H,3,FALSE),VLOOKUP(G340,SETUP_RATES!$A:$H,2,FALSE)))</f>
        <v/>
      </c>
      <c r="O340" s="38" t="str">
        <f>IF(OR(J340="",G340=""),"",J340*VLOOKUP(G340,SETUP_RATES!$A:$H,6,FALSE))</f>
        <v/>
      </c>
      <c r="P340" s="38" t="str">
        <f t="shared" si="1"/>
        <v/>
      </c>
      <c r="Q340" s="33" t="str">
        <f t="shared" si="2"/>
        <v/>
      </c>
    </row>
    <row r="341" ht="15.75" customHeight="1">
      <c r="B341" s="39"/>
      <c r="H341" s="39"/>
      <c r="I341" s="40"/>
      <c r="L341" s="33"/>
      <c r="M341" s="38"/>
      <c r="N341" s="38" t="str">
        <f>IF(OR(F341="",G341=""),"",MAX(F341*VLOOKUP(G341,SETUP_RATES!$A:$H,3,FALSE),VLOOKUP(G341,SETUP_RATES!$A:$H,2,FALSE)))</f>
        <v/>
      </c>
      <c r="O341" s="38" t="str">
        <f>IF(OR(J341="",G341=""),"",J341*VLOOKUP(G341,SETUP_RATES!$A:$H,6,FALSE))</f>
        <v/>
      </c>
      <c r="P341" s="38" t="str">
        <f t="shared" si="1"/>
        <v/>
      </c>
      <c r="Q341" s="33" t="str">
        <f t="shared" si="2"/>
        <v/>
      </c>
    </row>
    <row r="342" ht="15.75" customHeight="1">
      <c r="B342" s="39"/>
      <c r="H342" s="39"/>
      <c r="I342" s="40"/>
      <c r="L342" s="33"/>
      <c r="M342" s="38"/>
      <c r="N342" s="38" t="str">
        <f>IF(OR(F342="",G342=""),"",MAX(F342*VLOOKUP(G342,SETUP_RATES!$A:$H,3,FALSE),VLOOKUP(G342,SETUP_RATES!$A:$H,2,FALSE)))</f>
        <v/>
      </c>
      <c r="O342" s="38" t="str">
        <f>IF(OR(J342="",G342=""),"",J342*VLOOKUP(G342,SETUP_RATES!$A:$H,6,FALSE))</f>
        <v/>
      </c>
      <c r="P342" s="38" t="str">
        <f t="shared" si="1"/>
        <v/>
      </c>
      <c r="Q342" s="33" t="str">
        <f t="shared" si="2"/>
        <v/>
      </c>
    </row>
    <row r="343" ht="15.75" customHeight="1">
      <c r="B343" s="39"/>
      <c r="H343" s="39"/>
      <c r="I343" s="40"/>
      <c r="L343" s="33"/>
      <c r="M343" s="38"/>
      <c r="N343" s="38" t="str">
        <f>IF(OR(F343="",G343=""),"",MAX(F343*VLOOKUP(G343,SETUP_RATES!$A:$H,3,FALSE),VLOOKUP(G343,SETUP_RATES!$A:$H,2,FALSE)))</f>
        <v/>
      </c>
      <c r="O343" s="38" t="str">
        <f>IF(OR(J343="",G343=""),"",J343*VLOOKUP(G343,SETUP_RATES!$A:$H,6,FALSE))</f>
        <v/>
      </c>
      <c r="P343" s="38" t="str">
        <f t="shared" si="1"/>
        <v/>
      </c>
      <c r="Q343" s="33" t="str">
        <f t="shared" si="2"/>
        <v/>
      </c>
    </row>
    <row r="344" ht="15.75" customHeight="1">
      <c r="B344" s="39"/>
      <c r="H344" s="39"/>
      <c r="I344" s="40"/>
      <c r="L344" s="33"/>
      <c r="M344" s="38"/>
      <c r="N344" s="38" t="str">
        <f>IF(OR(F344="",G344=""),"",MAX(F344*VLOOKUP(G344,SETUP_RATES!$A:$H,3,FALSE),VLOOKUP(G344,SETUP_RATES!$A:$H,2,FALSE)))</f>
        <v/>
      </c>
      <c r="O344" s="38" t="str">
        <f>IF(OR(J344="",G344=""),"",J344*VLOOKUP(G344,SETUP_RATES!$A:$H,6,FALSE))</f>
        <v/>
      </c>
      <c r="P344" s="38" t="str">
        <f t="shared" si="1"/>
        <v/>
      </c>
      <c r="Q344" s="33" t="str">
        <f t="shared" si="2"/>
        <v/>
      </c>
    </row>
    <row r="345" ht="15.75" customHeight="1">
      <c r="B345" s="39"/>
      <c r="H345" s="39"/>
      <c r="I345" s="40"/>
      <c r="L345" s="33"/>
      <c r="M345" s="38"/>
      <c r="N345" s="38" t="str">
        <f>IF(OR(F345="",G345=""),"",MAX(F345*VLOOKUP(G345,SETUP_RATES!$A:$H,3,FALSE),VLOOKUP(G345,SETUP_RATES!$A:$H,2,FALSE)))</f>
        <v/>
      </c>
      <c r="O345" s="38" t="str">
        <f>IF(OR(J345="",G345=""),"",J345*VLOOKUP(G345,SETUP_RATES!$A:$H,6,FALSE))</f>
        <v/>
      </c>
      <c r="P345" s="38" t="str">
        <f t="shared" si="1"/>
        <v/>
      </c>
      <c r="Q345" s="33" t="str">
        <f t="shared" si="2"/>
        <v/>
      </c>
    </row>
    <row r="346" ht="15.75" customHeight="1">
      <c r="B346" s="39"/>
      <c r="H346" s="39"/>
      <c r="I346" s="40"/>
      <c r="L346" s="33"/>
      <c r="M346" s="38"/>
      <c r="N346" s="38" t="str">
        <f>IF(OR(F346="",G346=""),"",MAX(F346*VLOOKUP(G346,SETUP_RATES!$A:$H,3,FALSE),VLOOKUP(G346,SETUP_RATES!$A:$H,2,FALSE)))</f>
        <v/>
      </c>
      <c r="O346" s="38" t="str">
        <f>IF(OR(J346="",G346=""),"",J346*VLOOKUP(G346,SETUP_RATES!$A:$H,6,FALSE))</f>
        <v/>
      </c>
      <c r="P346" s="38" t="str">
        <f t="shared" si="1"/>
        <v/>
      </c>
      <c r="Q346" s="33" t="str">
        <f t="shared" si="2"/>
        <v/>
      </c>
    </row>
    <row r="347" ht="15.75" customHeight="1">
      <c r="B347" s="39"/>
      <c r="H347" s="39"/>
      <c r="I347" s="40"/>
      <c r="L347" s="33"/>
      <c r="M347" s="38"/>
      <c r="N347" s="38" t="str">
        <f>IF(OR(F347="",G347=""),"",MAX(F347*VLOOKUP(G347,SETUP_RATES!$A:$H,3,FALSE),VLOOKUP(G347,SETUP_RATES!$A:$H,2,FALSE)))</f>
        <v/>
      </c>
      <c r="O347" s="38" t="str">
        <f>IF(OR(J347="",G347=""),"",J347*VLOOKUP(G347,SETUP_RATES!$A:$H,6,FALSE))</f>
        <v/>
      </c>
      <c r="P347" s="38" t="str">
        <f t="shared" si="1"/>
        <v/>
      </c>
      <c r="Q347" s="33" t="str">
        <f t="shared" si="2"/>
        <v/>
      </c>
    </row>
    <row r="348" ht="15.75" customHeight="1">
      <c r="B348" s="39"/>
      <c r="H348" s="39"/>
      <c r="I348" s="40"/>
      <c r="L348" s="33"/>
      <c r="M348" s="38"/>
      <c r="N348" s="38" t="str">
        <f>IF(OR(F348="",G348=""),"",MAX(F348*VLOOKUP(G348,SETUP_RATES!$A:$H,3,FALSE),VLOOKUP(G348,SETUP_RATES!$A:$H,2,FALSE)))</f>
        <v/>
      </c>
      <c r="O348" s="38" t="str">
        <f>IF(OR(J348="",G348=""),"",J348*VLOOKUP(G348,SETUP_RATES!$A:$H,6,FALSE))</f>
        <v/>
      </c>
      <c r="P348" s="38" t="str">
        <f t="shared" si="1"/>
        <v/>
      </c>
      <c r="Q348" s="33" t="str">
        <f t="shared" si="2"/>
        <v/>
      </c>
    </row>
    <row r="349" ht="15.75" customHeight="1">
      <c r="B349" s="39"/>
      <c r="H349" s="39"/>
      <c r="I349" s="40"/>
      <c r="L349" s="33"/>
      <c r="M349" s="38"/>
      <c r="N349" s="38" t="str">
        <f>IF(OR(F349="",G349=""),"",MAX(F349*VLOOKUP(G349,SETUP_RATES!$A:$H,3,FALSE),VLOOKUP(G349,SETUP_RATES!$A:$H,2,FALSE)))</f>
        <v/>
      </c>
      <c r="O349" s="38" t="str">
        <f>IF(OR(J349="",G349=""),"",J349*VLOOKUP(G349,SETUP_RATES!$A:$H,6,FALSE))</f>
        <v/>
      </c>
      <c r="P349" s="38" t="str">
        <f t="shared" si="1"/>
        <v/>
      </c>
      <c r="Q349" s="33" t="str">
        <f t="shared" si="2"/>
        <v/>
      </c>
    </row>
    <row r="350" ht="15.75" customHeight="1">
      <c r="B350" s="39"/>
      <c r="H350" s="39"/>
      <c r="I350" s="40"/>
      <c r="L350" s="33"/>
      <c r="M350" s="38"/>
      <c r="N350" s="38" t="str">
        <f>IF(OR(F350="",G350=""),"",MAX(F350*VLOOKUP(G350,SETUP_RATES!$A:$H,3,FALSE),VLOOKUP(G350,SETUP_RATES!$A:$H,2,FALSE)))</f>
        <v/>
      </c>
      <c r="O350" s="38" t="str">
        <f>IF(OR(J350="",G350=""),"",J350*VLOOKUP(G350,SETUP_RATES!$A:$H,6,FALSE))</f>
        <v/>
      </c>
      <c r="P350" s="38" t="str">
        <f t="shared" si="1"/>
        <v/>
      </c>
      <c r="Q350" s="33" t="str">
        <f t="shared" si="2"/>
        <v/>
      </c>
    </row>
    <row r="351" ht="15.75" customHeight="1">
      <c r="B351" s="39"/>
      <c r="H351" s="39"/>
      <c r="I351" s="40"/>
      <c r="L351" s="33"/>
      <c r="M351" s="38"/>
      <c r="N351" s="38" t="str">
        <f>IF(OR(F351="",G351=""),"",MAX(F351*VLOOKUP(G351,SETUP_RATES!$A:$H,3,FALSE),VLOOKUP(G351,SETUP_RATES!$A:$H,2,FALSE)))</f>
        <v/>
      </c>
      <c r="O351" s="38" t="str">
        <f>IF(OR(J351="",G351=""),"",J351*VLOOKUP(G351,SETUP_RATES!$A:$H,6,FALSE))</f>
        <v/>
      </c>
      <c r="P351" s="38" t="str">
        <f t="shared" si="1"/>
        <v/>
      </c>
      <c r="Q351" s="33" t="str">
        <f t="shared" si="2"/>
        <v/>
      </c>
    </row>
    <row r="352" ht="15.75" customHeight="1">
      <c r="B352" s="39"/>
      <c r="H352" s="39"/>
      <c r="I352" s="40"/>
      <c r="L352" s="33"/>
      <c r="M352" s="38"/>
      <c r="N352" s="38" t="str">
        <f>IF(OR(F352="",G352=""),"",MAX(F352*VLOOKUP(G352,SETUP_RATES!$A:$H,3,FALSE),VLOOKUP(G352,SETUP_RATES!$A:$H,2,FALSE)))</f>
        <v/>
      </c>
      <c r="O352" s="38" t="str">
        <f>IF(OR(J352="",G352=""),"",J352*VLOOKUP(G352,SETUP_RATES!$A:$H,6,FALSE))</f>
        <v/>
      </c>
      <c r="P352" s="38" t="str">
        <f t="shared" si="1"/>
        <v/>
      </c>
      <c r="Q352" s="33" t="str">
        <f t="shared" si="2"/>
        <v/>
      </c>
    </row>
    <row r="353" ht="15.75" customHeight="1">
      <c r="B353" s="39"/>
      <c r="H353" s="39"/>
      <c r="I353" s="40"/>
      <c r="L353" s="33"/>
      <c r="M353" s="38"/>
      <c r="N353" s="38" t="str">
        <f>IF(OR(F353="",G353=""),"",MAX(F353*VLOOKUP(G353,SETUP_RATES!$A:$H,3,FALSE),VLOOKUP(G353,SETUP_RATES!$A:$H,2,FALSE)))</f>
        <v/>
      </c>
      <c r="O353" s="38" t="str">
        <f>IF(OR(J353="",G353=""),"",J353*VLOOKUP(G353,SETUP_RATES!$A:$H,6,FALSE))</f>
        <v/>
      </c>
      <c r="P353" s="38" t="str">
        <f t="shared" si="1"/>
        <v/>
      </c>
      <c r="Q353" s="33" t="str">
        <f t="shared" si="2"/>
        <v/>
      </c>
    </row>
    <row r="354" ht="15.75" customHeight="1">
      <c r="B354" s="39"/>
      <c r="H354" s="39"/>
      <c r="I354" s="40"/>
      <c r="L354" s="33"/>
      <c r="M354" s="38"/>
      <c r="N354" s="38" t="str">
        <f>IF(OR(F354="",G354=""),"",MAX(F354*VLOOKUP(G354,SETUP_RATES!$A:$H,3,FALSE),VLOOKUP(G354,SETUP_RATES!$A:$H,2,FALSE)))</f>
        <v/>
      </c>
      <c r="O354" s="38" t="str">
        <f>IF(OR(J354="",G354=""),"",J354*VLOOKUP(G354,SETUP_RATES!$A:$H,6,FALSE))</f>
        <v/>
      </c>
      <c r="P354" s="38" t="str">
        <f t="shared" si="1"/>
        <v/>
      </c>
      <c r="Q354" s="33" t="str">
        <f t="shared" si="2"/>
        <v/>
      </c>
    </row>
    <row r="355" ht="15.75" customHeight="1">
      <c r="B355" s="39"/>
      <c r="H355" s="39"/>
      <c r="I355" s="40"/>
      <c r="L355" s="33"/>
      <c r="M355" s="38"/>
      <c r="N355" s="38" t="str">
        <f>IF(OR(F355="",G355=""),"",MAX(F355*VLOOKUP(G355,SETUP_RATES!$A:$H,3,FALSE),VLOOKUP(G355,SETUP_RATES!$A:$H,2,FALSE)))</f>
        <v/>
      </c>
      <c r="O355" s="38" t="str">
        <f>IF(OR(J355="",G355=""),"",J355*VLOOKUP(G355,SETUP_RATES!$A:$H,6,FALSE))</f>
        <v/>
      </c>
      <c r="P355" s="38" t="str">
        <f t="shared" si="1"/>
        <v/>
      </c>
      <c r="Q355" s="33" t="str">
        <f t="shared" si="2"/>
        <v/>
      </c>
    </row>
    <row r="356" ht="15.75" customHeight="1">
      <c r="B356" s="39"/>
      <c r="H356" s="39"/>
      <c r="I356" s="40"/>
      <c r="L356" s="33"/>
      <c r="M356" s="38"/>
      <c r="N356" s="38" t="str">
        <f>IF(OR(F356="",G356=""),"",MAX(F356*VLOOKUP(G356,SETUP_RATES!$A:$H,3,FALSE),VLOOKUP(G356,SETUP_RATES!$A:$H,2,FALSE)))</f>
        <v/>
      </c>
      <c r="O356" s="38" t="str">
        <f>IF(OR(J356="",G356=""),"",J356*VLOOKUP(G356,SETUP_RATES!$A:$H,6,FALSE))</f>
        <v/>
      </c>
      <c r="P356" s="38" t="str">
        <f t="shared" si="1"/>
        <v/>
      </c>
      <c r="Q356" s="33" t="str">
        <f t="shared" si="2"/>
        <v/>
      </c>
    </row>
    <row r="357" ht="15.75" customHeight="1">
      <c r="B357" s="39"/>
      <c r="H357" s="39"/>
      <c r="I357" s="40"/>
      <c r="L357" s="33"/>
      <c r="M357" s="38"/>
      <c r="N357" s="38" t="str">
        <f>IF(OR(F357="",G357=""),"",MAX(F357*VLOOKUP(G357,SETUP_RATES!$A:$H,3,FALSE),VLOOKUP(G357,SETUP_RATES!$A:$H,2,FALSE)))</f>
        <v/>
      </c>
      <c r="O357" s="38" t="str">
        <f>IF(OR(J357="",G357=""),"",J357*VLOOKUP(G357,SETUP_RATES!$A:$H,6,FALSE))</f>
        <v/>
      </c>
      <c r="P357" s="38" t="str">
        <f t="shared" si="1"/>
        <v/>
      </c>
      <c r="Q357" s="33" t="str">
        <f t="shared" si="2"/>
        <v/>
      </c>
    </row>
    <row r="358" ht="15.75" customHeight="1">
      <c r="B358" s="39"/>
      <c r="H358" s="39"/>
      <c r="I358" s="40"/>
      <c r="L358" s="33"/>
      <c r="M358" s="38"/>
      <c r="N358" s="38" t="str">
        <f>IF(OR(F358="",G358=""),"",MAX(F358*VLOOKUP(G358,SETUP_RATES!$A:$H,3,FALSE),VLOOKUP(G358,SETUP_RATES!$A:$H,2,FALSE)))</f>
        <v/>
      </c>
      <c r="O358" s="38" t="str">
        <f>IF(OR(J358="",G358=""),"",J358*VLOOKUP(G358,SETUP_RATES!$A:$H,6,FALSE))</f>
        <v/>
      </c>
      <c r="P358" s="38" t="str">
        <f t="shared" si="1"/>
        <v/>
      </c>
      <c r="Q358" s="33" t="str">
        <f t="shared" si="2"/>
        <v/>
      </c>
    </row>
    <row r="359" ht="15.75" customHeight="1">
      <c r="B359" s="39"/>
      <c r="H359" s="39"/>
      <c r="I359" s="40"/>
      <c r="L359" s="33"/>
      <c r="M359" s="38"/>
      <c r="N359" s="38" t="str">
        <f>IF(OR(F359="",G359=""),"",MAX(F359*VLOOKUP(G359,SETUP_RATES!$A:$H,3,FALSE),VLOOKUP(G359,SETUP_RATES!$A:$H,2,FALSE)))</f>
        <v/>
      </c>
      <c r="O359" s="38" t="str">
        <f>IF(OR(J359="",G359=""),"",J359*VLOOKUP(G359,SETUP_RATES!$A:$H,6,FALSE))</f>
        <v/>
      </c>
      <c r="P359" s="38" t="str">
        <f t="shared" si="1"/>
        <v/>
      </c>
      <c r="Q359" s="33" t="str">
        <f t="shared" si="2"/>
        <v/>
      </c>
    </row>
    <row r="360" ht="15.75" customHeight="1">
      <c r="B360" s="39"/>
      <c r="H360" s="39"/>
      <c r="I360" s="40"/>
      <c r="L360" s="33"/>
      <c r="M360" s="38"/>
      <c r="N360" s="38" t="str">
        <f>IF(OR(F360="",G360=""),"",MAX(F360*VLOOKUP(G360,SETUP_RATES!$A:$H,3,FALSE),VLOOKUP(G360,SETUP_RATES!$A:$H,2,FALSE)))</f>
        <v/>
      </c>
      <c r="O360" s="38" t="str">
        <f>IF(OR(J360="",G360=""),"",J360*VLOOKUP(G360,SETUP_RATES!$A:$H,6,FALSE))</f>
        <v/>
      </c>
      <c r="P360" s="38" t="str">
        <f t="shared" si="1"/>
        <v/>
      </c>
      <c r="Q360" s="33" t="str">
        <f t="shared" si="2"/>
        <v/>
      </c>
    </row>
    <row r="361" ht="15.75" customHeight="1">
      <c r="B361" s="39"/>
      <c r="H361" s="39"/>
      <c r="I361" s="40"/>
      <c r="L361" s="33"/>
      <c r="M361" s="38"/>
      <c r="N361" s="38" t="str">
        <f>IF(OR(F361="",G361=""),"",MAX(F361*VLOOKUP(G361,SETUP_RATES!$A:$H,3,FALSE),VLOOKUP(G361,SETUP_RATES!$A:$H,2,FALSE)))</f>
        <v/>
      </c>
      <c r="O361" s="38" t="str">
        <f>IF(OR(J361="",G361=""),"",J361*VLOOKUP(G361,SETUP_RATES!$A:$H,6,FALSE))</f>
        <v/>
      </c>
      <c r="P361" s="38" t="str">
        <f t="shared" si="1"/>
        <v/>
      </c>
      <c r="Q361" s="33" t="str">
        <f t="shared" si="2"/>
        <v/>
      </c>
    </row>
    <row r="362" ht="15.75" customHeight="1">
      <c r="B362" s="39"/>
      <c r="H362" s="39"/>
      <c r="I362" s="40"/>
      <c r="L362" s="33"/>
      <c r="M362" s="38"/>
      <c r="N362" s="38" t="str">
        <f>IF(OR(F362="",G362=""),"",MAX(F362*VLOOKUP(G362,SETUP_RATES!$A:$H,3,FALSE),VLOOKUP(G362,SETUP_RATES!$A:$H,2,FALSE)))</f>
        <v/>
      </c>
      <c r="O362" s="38" t="str">
        <f>IF(OR(J362="",G362=""),"",J362*VLOOKUP(G362,SETUP_RATES!$A:$H,6,FALSE))</f>
        <v/>
      </c>
      <c r="P362" s="38" t="str">
        <f t="shared" si="1"/>
        <v/>
      </c>
      <c r="Q362" s="33" t="str">
        <f t="shared" si="2"/>
        <v/>
      </c>
    </row>
    <row r="363" ht="15.75" customHeight="1">
      <c r="B363" s="39"/>
      <c r="H363" s="39"/>
      <c r="I363" s="40"/>
      <c r="L363" s="33"/>
      <c r="M363" s="38"/>
      <c r="N363" s="38" t="str">
        <f>IF(OR(F363="",G363=""),"",MAX(F363*VLOOKUP(G363,SETUP_RATES!$A:$H,3,FALSE),VLOOKUP(G363,SETUP_RATES!$A:$H,2,FALSE)))</f>
        <v/>
      </c>
      <c r="O363" s="38" t="str">
        <f>IF(OR(J363="",G363=""),"",J363*VLOOKUP(G363,SETUP_RATES!$A:$H,6,FALSE))</f>
        <v/>
      </c>
      <c r="P363" s="38" t="str">
        <f t="shared" si="1"/>
        <v/>
      </c>
      <c r="Q363" s="33" t="str">
        <f t="shared" si="2"/>
        <v/>
      </c>
    </row>
    <row r="364" ht="15.75" customHeight="1">
      <c r="B364" s="39"/>
      <c r="H364" s="39"/>
      <c r="I364" s="40"/>
      <c r="L364" s="33"/>
      <c r="M364" s="38"/>
      <c r="N364" s="38" t="str">
        <f>IF(OR(F364="",G364=""),"",MAX(F364*VLOOKUP(G364,SETUP_RATES!$A:$H,3,FALSE),VLOOKUP(G364,SETUP_RATES!$A:$H,2,FALSE)))</f>
        <v/>
      </c>
      <c r="O364" s="38" t="str">
        <f>IF(OR(J364="",G364=""),"",J364*VLOOKUP(G364,SETUP_RATES!$A:$H,6,FALSE))</f>
        <v/>
      </c>
      <c r="P364" s="38" t="str">
        <f t="shared" si="1"/>
        <v/>
      </c>
      <c r="Q364" s="33" t="str">
        <f t="shared" si="2"/>
        <v/>
      </c>
    </row>
    <row r="365" ht="15.75" customHeight="1">
      <c r="B365" s="39"/>
      <c r="H365" s="39"/>
      <c r="I365" s="40"/>
      <c r="L365" s="33"/>
      <c r="M365" s="38"/>
      <c r="N365" s="38" t="str">
        <f>IF(OR(F365="",G365=""),"",MAX(F365*VLOOKUP(G365,SETUP_RATES!$A:$H,3,FALSE),VLOOKUP(G365,SETUP_RATES!$A:$H,2,FALSE)))</f>
        <v/>
      </c>
      <c r="O365" s="38" t="str">
        <f>IF(OR(J365="",G365=""),"",J365*VLOOKUP(G365,SETUP_RATES!$A:$H,6,FALSE))</f>
        <v/>
      </c>
      <c r="P365" s="38" t="str">
        <f t="shared" si="1"/>
        <v/>
      </c>
      <c r="Q365" s="33" t="str">
        <f t="shared" si="2"/>
        <v/>
      </c>
    </row>
    <row r="366" ht="15.75" customHeight="1">
      <c r="B366" s="39"/>
      <c r="H366" s="39"/>
      <c r="I366" s="40"/>
      <c r="L366" s="33"/>
      <c r="M366" s="38"/>
      <c r="N366" s="38" t="str">
        <f>IF(OR(F366="",G366=""),"",MAX(F366*VLOOKUP(G366,SETUP_RATES!$A:$H,3,FALSE),VLOOKUP(G366,SETUP_RATES!$A:$H,2,FALSE)))</f>
        <v/>
      </c>
      <c r="O366" s="38" t="str">
        <f>IF(OR(J366="",G366=""),"",J366*VLOOKUP(G366,SETUP_RATES!$A:$H,6,FALSE))</f>
        <v/>
      </c>
      <c r="P366" s="38" t="str">
        <f t="shared" si="1"/>
        <v/>
      </c>
      <c r="Q366" s="33" t="str">
        <f t="shared" si="2"/>
        <v/>
      </c>
    </row>
    <row r="367" ht="15.75" customHeight="1">
      <c r="B367" s="39"/>
      <c r="H367" s="39"/>
      <c r="I367" s="40"/>
      <c r="L367" s="33"/>
      <c r="M367" s="38"/>
      <c r="N367" s="38" t="str">
        <f>IF(OR(F367="",G367=""),"",MAX(F367*VLOOKUP(G367,SETUP_RATES!$A:$H,3,FALSE),VLOOKUP(G367,SETUP_RATES!$A:$H,2,FALSE)))</f>
        <v/>
      </c>
      <c r="O367" s="38" t="str">
        <f>IF(OR(J367="",G367=""),"",J367*VLOOKUP(G367,SETUP_RATES!$A:$H,6,FALSE))</f>
        <v/>
      </c>
      <c r="P367" s="38" t="str">
        <f t="shared" si="1"/>
        <v/>
      </c>
      <c r="Q367" s="33" t="str">
        <f t="shared" si="2"/>
        <v/>
      </c>
    </row>
    <row r="368" ht="15.75" customHeight="1">
      <c r="B368" s="39"/>
      <c r="H368" s="39"/>
      <c r="I368" s="40"/>
      <c r="L368" s="33"/>
      <c r="M368" s="38"/>
      <c r="N368" s="38" t="str">
        <f>IF(OR(F368="",G368=""),"",MAX(F368*VLOOKUP(G368,SETUP_RATES!$A:$H,3,FALSE),VLOOKUP(G368,SETUP_RATES!$A:$H,2,FALSE)))</f>
        <v/>
      </c>
      <c r="O368" s="38" t="str">
        <f>IF(OR(J368="",G368=""),"",J368*VLOOKUP(G368,SETUP_RATES!$A:$H,6,FALSE))</f>
        <v/>
      </c>
      <c r="P368" s="38" t="str">
        <f t="shared" si="1"/>
        <v/>
      </c>
      <c r="Q368" s="33" t="str">
        <f t="shared" si="2"/>
        <v/>
      </c>
    </row>
    <row r="369" ht="15.75" customHeight="1">
      <c r="B369" s="39"/>
      <c r="H369" s="39"/>
      <c r="I369" s="40"/>
      <c r="L369" s="33"/>
      <c r="M369" s="38"/>
      <c r="N369" s="38" t="str">
        <f>IF(OR(F369="",G369=""),"",MAX(F369*VLOOKUP(G369,SETUP_RATES!$A:$H,3,FALSE),VLOOKUP(G369,SETUP_RATES!$A:$H,2,FALSE)))</f>
        <v/>
      </c>
      <c r="O369" s="38" t="str">
        <f>IF(OR(J369="",G369=""),"",J369*VLOOKUP(G369,SETUP_RATES!$A:$H,6,FALSE))</f>
        <v/>
      </c>
      <c r="P369" s="38" t="str">
        <f t="shared" si="1"/>
        <v/>
      </c>
      <c r="Q369" s="33" t="str">
        <f t="shared" si="2"/>
        <v/>
      </c>
    </row>
    <row r="370" ht="15.75" customHeight="1">
      <c r="B370" s="39"/>
      <c r="H370" s="39"/>
      <c r="I370" s="40"/>
      <c r="L370" s="33"/>
      <c r="M370" s="38"/>
      <c r="N370" s="38" t="str">
        <f>IF(OR(F370="",G370=""),"",MAX(F370*VLOOKUP(G370,SETUP_RATES!$A:$H,3,FALSE),VLOOKUP(G370,SETUP_RATES!$A:$H,2,FALSE)))</f>
        <v/>
      </c>
      <c r="O370" s="38" t="str">
        <f>IF(OR(J370="",G370=""),"",J370*VLOOKUP(G370,SETUP_RATES!$A:$H,6,FALSE))</f>
        <v/>
      </c>
      <c r="P370" s="38" t="str">
        <f t="shared" si="1"/>
        <v/>
      </c>
      <c r="Q370" s="33" t="str">
        <f t="shared" si="2"/>
        <v/>
      </c>
    </row>
    <row r="371" ht="15.75" customHeight="1">
      <c r="B371" s="39"/>
      <c r="H371" s="39"/>
      <c r="I371" s="40"/>
      <c r="L371" s="33"/>
      <c r="M371" s="38"/>
      <c r="N371" s="38" t="str">
        <f>IF(OR(F371="",G371=""),"",MAX(F371*VLOOKUP(G371,SETUP_RATES!$A:$H,3,FALSE),VLOOKUP(G371,SETUP_RATES!$A:$H,2,FALSE)))</f>
        <v/>
      </c>
      <c r="O371" s="38" t="str">
        <f>IF(OR(J371="",G371=""),"",J371*VLOOKUP(G371,SETUP_RATES!$A:$H,6,FALSE))</f>
        <v/>
      </c>
      <c r="P371" s="38" t="str">
        <f t="shared" si="1"/>
        <v/>
      </c>
      <c r="Q371" s="33" t="str">
        <f t="shared" si="2"/>
        <v/>
      </c>
    </row>
    <row r="372" ht="15.75" customHeight="1">
      <c r="B372" s="39"/>
      <c r="H372" s="39"/>
      <c r="I372" s="40"/>
      <c r="L372" s="33"/>
      <c r="M372" s="38"/>
      <c r="N372" s="38" t="str">
        <f>IF(OR(F372="",G372=""),"",MAX(F372*VLOOKUP(G372,SETUP_RATES!$A:$H,3,FALSE),VLOOKUP(G372,SETUP_RATES!$A:$H,2,FALSE)))</f>
        <v/>
      </c>
      <c r="O372" s="38" t="str">
        <f>IF(OR(J372="",G372=""),"",J372*VLOOKUP(G372,SETUP_RATES!$A:$H,6,FALSE))</f>
        <v/>
      </c>
      <c r="P372" s="38" t="str">
        <f t="shared" si="1"/>
        <v/>
      </c>
      <c r="Q372" s="33" t="str">
        <f t="shared" si="2"/>
        <v/>
      </c>
    </row>
    <row r="373" ht="15.75" customHeight="1">
      <c r="B373" s="39"/>
      <c r="H373" s="39"/>
      <c r="I373" s="40"/>
      <c r="L373" s="33"/>
      <c r="M373" s="38"/>
      <c r="N373" s="38" t="str">
        <f>IF(OR(F373="",G373=""),"",MAX(F373*VLOOKUP(G373,SETUP_RATES!$A:$H,3,FALSE),VLOOKUP(G373,SETUP_RATES!$A:$H,2,FALSE)))</f>
        <v/>
      </c>
      <c r="O373" s="38" t="str">
        <f>IF(OR(J373="",G373=""),"",J373*VLOOKUP(G373,SETUP_RATES!$A:$H,6,FALSE))</f>
        <v/>
      </c>
      <c r="P373" s="38" t="str">
        <f t="shared" si="1"/>
        <v/>
      </c>
      <c r="Q373" s="33" t="str">
        <f t="shared" si="2"/>
        <v/>
      </c>
    </row>
    <row r="374" ht="15.75" customHeight="1">
      <c r="B374" s="39"/>
      <c r="H374" s="39"/>
      <c r="I374" s="40"/>
      <c r="L374" s="33"/>
      <c r="M374" s="38"/>
      <c r="N374" s="38" t="str">
        <f>IF(OR(F374="",G374=""),"",MAX(F374*VLOOKUP(G374,SETUP_RATES!$A:$H,3,FALSE),VLOOKUP(G374,SETUP_RATES!$A:$H,2,FALSE)))</f>
        <v/>
      </c>
      <c r="O374" s="38" t="str">
        <f>IF(OR(J374="",G374=""),"",J374*VLOOKUP(G374,SETUP_RATES!$A:$H,6,FALSE))</f>
        <v/>
      </c>
      <c r="P374" s="38" t="str">
        <f t="shared" si="1"/>
        <v/>
      </c>
      <c r="Q374" s="33" t="str">
        <f t="shared" si="2"/>
        <v/>
      </c>
    </row>
    <row r="375" ht="15.75" customHeight="1">
      <c r="B375" s="39"/>
      <c r="H375" s="39"/>
      <c r="I375" s="40"/>
      <c r="L375" s="33"/>
      <c r="M375" s="38"/>
      <c r="N375" s="38" t="str">
        <f>IF(OR(F375="",G375=""),"",MAX(F375*VLOOKUP(G375,SETUP_RATES!$A:$H,3,FALSE),VLOOKUP(G375,SETUP_RATES!$A:$H,2,FALSE)))</f>
        <v/>
      </c>
      <c r="O375" s="38" t="str">
        <f>IF(OR(J375="",G375=""),"",J375*VLOOKUP(G375,SETUP_RATES!$A:$H,6,FALSE))</f>
        <v/>
      </c>
      <c r="P375" s="38" t="str">
        <f t="shared" si="1"/>
        <v/>
      </c>
      <c r="Q375" s="33" t="str">
        <f t="shared" si="2"/>
        <v/>
      </c>
    </row>
    <row r="376" ht="15.75" customHeight="1">
      <c r="B376" s="39"/>
      <c r="H376" s="39"/>
      <c r="I376" s="40"/>
      <c r="L376" s="33"/>
      <c r="M376" s="38"/>
      <c r="N376" s="38" t="str">
        <f>IF(OR(F376="",G376=""),"",MAX(F376*VLOOKUP(G376,SETUP_RATES!$A:$H,3,FALSE),VLOOKUP(G376,SETUP_RATES!$A:$H,2,FALSE)))</f>
        <v/>
      </c>
      <c r="O376" s="38" t="str">
        <f>IF(OR(J376="",G376=""),"",J376*VLOOKUP(G376,SETUP_RATES!$A:$H,6,FALSE))</f>
        <v/>
      </c>
      <c r="P376" s="38" t="str">
        <f t="shared" si="1"/>
        <v/>
      </c>
      <c r="Q376" s="33" t="str">
        <f t="shared" si="2"/>
        <v/>
      </c>
    </row>
    <row r="377" ht="15.75" customHeight="1">
      <c r="B377" s="39"/>
      <c r="H377" s="39"/>
      <c r="I377" s="40"/>
      <c r="L377" s="33"/>
      <c r="M377" s="38"/>
      <c r="N377" s="38" t="str">
        <f>IF(OR(F377="",G377=""),"",MAX(F377*VLOOKUP(G377,SETUP_RATES!$A:$H,3,FALSE),VLOOKUP(G377,SETUP_RATES!$A:$H,2,FALSE)))</f>
        <v/>
      </c>
      <c r="O377" s="38" t="str">
        <f>IF(OR(J377="",G377=""),"",J377*VLOOKUP(G377,SETUP_RATES!$A:$H,6,FALSE))</f>
        <v/>
      </c>
      <c r="P377" s="38" t="str">
        <f t="shared" si="1"/>
        <v/>
      </c>
      <c r="Q377" s="33" t="str">
        <f t="shared" si="2"/>
        <v/>
      </c>
    </row>
    <row r="378" ht="15.75" customHeight="1">
      <c r="B378" s="39"/>
      <c r="H378" s="39"/>
      <c r="I378" s="40"/>
      <c r="L378" s="33"/>
      <c r="M378" s="38"/>
      <c r="N378" s="38" t="str">
        <f>IF(OR(F378="",G378=""),"",MAX(F378*VLOOKUP(G378,SETUP_RATES!$A:$H,3,FALSE),VLOOKUP(G378,SETUP_RATES!$A:$H,2,FALSE)))</f>
        <v/>
      </c>
      <c r="O378" s="38" t="str">
        <f>IF(OR(J378="",G378=""),"",J378*VLOOKUP(G378,SETUP_RATES!$A:$H,6,FALSE))</f>
        <v/>
      </c>
      <c r="P378" s="38" t="str">
        <f t="shared" si="1"/>
        <v/>
      </c>
      <c r="Q378" s="33" t="str">
        <f t="shared" si="2"/>
        <v/>
      </c>
    </row>
    <row r="379" ht="15.75" customHeight="1">
      <c r="B379" s="39"/>
      <c r="H379" s="39"/>
      <c r="I379" s="40"/>
      <c r="L379" s="33"/>
      <c r="M379" s="38"/>
      <c r="N379" s="38" t="str">
        <f>IF(OR(F379="",G379=""),"",MAX(F379*VLOOKUP(G379,SETUP_RATES!$A:$H,3,FALSE),VLOOKUP(G379,SETUP_RATES!$A:$H,2,FALSE)))</f>
        <v/>
      </c>
      <c r="O379" s="38" t="str">
        <f>IF(OR(J379="",G379=""),"",J379*VLOOKUP(G379,SETUP_RATES!$A:$H,6,FALSE))</f>
        <v/>
      </c>
      <c r="P379" s="38" t="str">
        <f t="shared" si="1"/>
        <v/>
      </c>
      <c r="Q379" s="33" t="str">
        <f t="shared" si="2"/>
        <v/>
      </c>
    </row>
    <row r="380" ht="15.75" customHeight="1">
      <c r="B380" s="39"/>
      <c r="H380" s="39"/>
      <c r="I380" s="40"/>
      <c r="L380" s="33"/>
      <c r="M380" s="38"/>
      <c r="N380" s="38" t="str">
        <f>IF(OR(F380="",G380=""),"",MAX(F380*VLOOKUP(G380,SETUP_RATES!$A:$H,3,FALSE),VLOOKUP(G380,SETUP_RATES!$A:$H,2,FALSE)))</f>
        <v/>
      </c>
      <c r="O380" s="38" t="str">
        <f>IF(OR(J380="",G380=""),"",J380*VLOOKUP(G380,SETUP_RATES!$A:$H,6,FALSE))</f>
        <v/>
      </c>
      <c r="P380" s="38" t="str">
        <f t="shared" si="1"/>
        <v/>
      </c>
      <c r="Q380" s="33" t="str">
        <f t="shared" si="2"/>
        <v/>
      </c>
    </row>
    <row r="381" ht="15.75" customHeight="1">
      <c r="B381" s="39"/>
      <c r="H381" s="39"/>
      <c r="I381" s="40"/>
      <c r="L381" s="33"/>
      <c r="M381" s="38"/>
      <c r="N381" s="38" t="str">
        <f>IF(OR(F381="",G381=""),"",MAX(F381*VLOOKUP(G381,SETUP_RATES!$A:$H,3,FALSE),VLOOKUP(G381,SETUP_RATES!$A:$H,2,FALSE)))</f>
        <v/>
      </c>
      <c r="O381" s="38" t="str">
        <f>IF(OR(J381="",G381=""),"",J381*VLOOKUP(G381,SETUP_RATES!$A:$H,6,FALSE))</f>
        <v/>
      </c>
      <c r="P381" s="38" t="str">
        <f t="shared" si="1"/>
        <v/>
      </c>
      <c r="Q381" s="33" t="str">
        <f t="shared" si="2"/>
        <v/>
      </c>
    </row>
    <row r="382" ht="15.75" customHeight="1">
      <c r="B382" s="39"/>
      <c r="H382" s="39"/>
      <c r="I382" s="40"/>
      <c r="L382" s="33"/>
      <c r="M382" s="38"/>
      <c r="N382" s="38" t="str">
        <f>IF(OR(F382="",G382=""),"",MAX(F382*VLOOKUP(G382,SETUP_RATES!$A:$H,3,FALSE),VLOOKUP(G382,SETUP_RATES!$A:$H,2,FALSE)))</f>
        <v/>
      </c>
      <c r="O382" s="38" t="str">
        <f>IF(OR(J382="",G382=""),"",J382*VLOOKUP(G382,SETUP_RATES!$A:$H,6,FALSE))</f>
        <v/>
      </c>
      <c r="P382" s="38" t="str">
        <f t="shared" si="1"/>
        <v/>
      </c>
      <c r="Q382" s="33" t="str">
        <f t="shared" si="2"/>
        <v/>
      </c>
    </row>
    <row r="383" ht="15.75" customHeight="1">
      <c r="B383" s="39"/>
      <c r="H383" s="39"/>
      <c r="I383" s="40"/>
      <c r="L383" s="33"/>
      <c r="M383" s="38"/>
      <c r="N383" s="38" t="str">
        <f>IF(OR(F383="",G383=""),"",MAX(F383*VLOOKUP(G383,SETUP_RATES!$A:$H,3,FALSE),VLOOKUP(G383,SETUP_RATES!$A:$H,2,FALSE)))</f>
        <v/>
      </c>
      <c r="O383" s="38" t="str">
        <f>IF(OR(J383="",G383=""),"",J383*VLOOKUP(G383,SETUP_RATES!$A:$H,6,FALSE))</f>
        <v/>
      </c>
      <c r="P383" s="38" t="str">
        <f t="shared" si="1"/>
        <v/>
      </c>
      <c r="Q383" s="33" t="str">
        <f t="shared" si="2"/>
        <v/>
      </c>
    </row>
    <row r="384" ht="15.75" customHeight="1">
      <c r="B384" s="39"/>
      <c r="H384" s="39"/>
      <c r="I384" s="40"/>
      <c r="L384" s="33"/>
      <c r="M384" s="38"/>
      <c r="N384" s="38" t="str">
        <f>IF(OR(F384="",G384=""),"",MAX(F384*VLOOKUP(G384,SETUP_RATES!$A:$H,3,FALSE),VLOOKUP(G384,SETUP_RATES!$A:$H,2,FALSE)))</f>
        <v/>
      </c>
      <c r="O384" s="38" t="str">
        <f>IF(OR(J384="",G384=""),"",J384*VLOOKUP(G384,SETUP_RATES!$A:$H,6,FALSE))</f>
        <v/>
      </c>
      <c r="P384" s="38" t="str">
        <f t="shared" si="1"/>
        <v/>
      </c>
      <c r="Q384" s="33" t="str">
        <f t="shared" si="2"/>
        <v/>
      </c>
    </row>
    <row r="385" ht="15.75" customHeight="1">
      <c r="B385" s="39"/>
      <c r="H385" s="39"/>
      <c r="I385" s="40"/>
      <c r="L385" s="33"/>
      <c r="M385" s="38"/>
      <c r="N385" s="38" t="str">
        <f>IF(OR(F385="",G385=""),"",MAX(F385*VLOOKUP(G385,SETUP_RATES!$A:$H,3,FALSE),VLOOKUP(G385,SETUP_RATES!$A:$H,2,FALSE)))</f>
        <v/>
      </c>
      <c r="O385" s="38" t="str">
        <f>IF(OR(J385="",G385=""),"",J385*VLOOKUP(G385,SETUP_RATES!$A:$H,6,FALSE))</f>
        <v/>
      </c>
      <c r="P385" s="38" t="str">
        <f t="shared" si="1"/>
        <v/>
      </c>
      <c r="Q385" s="33" t="str">
        <f t="shared" si="2"/>
        <v/>
      </c>
    </row>
    <row r="386" ht="15.75" customHeight="1">
      <c r="B386" s="39"/>
      <c r="H386" s="39"/>
      <c r="I386" s="40"/>
      <c r="L386" s="33"/>
      <c r="M386" s="38"/>
      <c r="N386" s="38" t="str">
        <f>IF(OR(F386="",G386=""),"",MAX(F386*VLOOKUP(G386,SETUP_RATES!$A:$H,3,FALSE),VLOOKUP(G386,SETUP_RATES!$A:$H,2,FALSE)))</f>
        <v/>
      </c>
      <c r="O386" s="38" t="str">
        <f>IF(OR(J386="",G386=""),"",J386*VLOOKUP(G386,SETUP_RATES!$A:$H,6,FALSE))</f>
        <v/>
      </c>
      <c r="P386" s="38" t="str">
        <f t="shared" si="1"/>
        <v/>
      </c>
      <c r="Q386" s="33" t="str">
        <f t="shared" si="2"/>
        <v/>
      </c>
    </row>
    <row r="387" ht="15.75" customHeight="1">
      <c r="B387" s="39"/>
      <c r="H387" s="39"/>
      <c r="I387" s="40"/>
      <c r="L387" s="33"/>
      <c r="M387" s="38"/>
      <c r="N387" s="38" t="str">
        <f>IF(OR(F387="",G387=""),"",MAX(F387*VLOOKUP(G387,SETUP_RATES!$A:$H,3,FALSE),VLOOKUP(G387,SETUP_RATES!$A:$H,2,FALSE)))</f>
        <v/>
      </c>
      <c r="O387" s="38" t="str">
        <f>IF(OR(J387="",G387=""),"",J387*VLOOKUP(G387,SETUP_RATES!$A:$H,6,FALSE))</f>
        <v/>
      </c>
      <c r="P387" s="38" t="str">
        <f t="shared" si="1"/>
        <v/>
      </c>
      <c r="Q387" s="33" t="str">
        <f t="shared" si="2"/>
        <v/>
      </c>
    </row>
    <row r="388" ht="15.75" customHeight="1">
      <c r="B388" s="39"/>
      <c r="H388" s="39"/>
      <c r="I388" s="40"/>
      <c r="L388" s="33"/>
      <c r="M388" s="38"/>
      <c r="N388" s="38" t="str">
        <f>IF(OR(F388="",G388=""),"",MAX(F388*VLOOKUP(G388,SETUP_RATES!$A:$H,3,FALSE),VLOOKUP(G388,SETUP_RATES!$A:$H,2,FALSE)))</f>
        <v/>
      </c>
      <c r="O388" s="38" t="str">
        <f>IF(OR(J388="",G388=""),"",J388*VLOOKUP(G388,SETUP_RATES!$A:$H,6,FALSE))</f>
        <v/>
      </c>
      <c r="P388" s="38" t="str">
        <f t="shared" si="1"/>
        <v/>
      </c>
      <c r="Q388" s="33" t="str">
        <f t="shared" si="2"/>
        <v/>
      </c>
    </row>
    <row r="389" ht="15.75" customHeight="1">
      <c r="B389" s="39"/>
      <c r="H389" s="39"/>
      <c r="I389" s="40"/>
      <c r="L389" s="33"/>
      <c r="M389" s="38"/>
      <c r="N389" s="38" t="str">
        <f>IF(OR(F389="",G389=""),"",MAX(F389*VLOOKUP(G389,SETUP_RATES!$A:$H,3,FALSE),VLOOKUP(G389,SETUP_RATES!$A:$H,2,FALSE)))</f>
        <v/>
      </c>
      <c r="O389" s="38" t="str">
        <f>IF(OR(J389="",G389=""),"",J389*VLOOKUP(G389,SETUP_RATES!$A:$H,6,FALSE))</f>
        <v/>
      </c>
      <c r="P389" s="38" t="str">
        <f t="shared" si="1"/>
        <v/>
      </c>
      <c r="Q389" s="33" t="str">
        <f t="shared" si="2"/>
        <v/>
      </c>
    </row>
    <row r="390" ht="15.75" customHeight="1">
      <c r="B390" s="39"/>
      <c r="H390" s="39"/>
      <c r="I390" s="40"/>
      <c r="L390" s="33"/>
      <c r="M390" s="38"/>
      <c r="N390" s="38" t="str">
        <f>IF(OR(F390="",G390=""),"",MAX(F390*VLOOKUP(G390,SETUP_RATES!$A:$H,3,FALSE),VLOOKUP(G390,SETUP_RATES!$A:$H,2,FALSE)))</f>
        <v/>
      </c>
      <c r="O390" s="38" t="str">
        <f>IF(OR(J390="",G390=""),"",J390*VLOOKUP(G390,SETUP_RATES!$A:$H,6,FALSE))</f>
        <v/>
      </c>
      <c r="P390" s="38" t="str">
        <f t="shared" si="1"/>
        <v/>
      </c>
      <c r="Q390" s="33" t="str">
        <f t="shared" si="2"/>
        <v/>
      </c>
    </row>
    <row r="391" ht="15.75" customHeight="1">
      <c r="B391" s="39"/>
      <c r="H391" s="39"/>
      <c r="I391" s="40"/>
      <c r="L391" s="33"/>
      <c r="M391" s="38"/>
      <c r="N391" s="38" t="str">
        <f>IF(OR(F391="",G391=""),"",MAX(F391*VLOOKUP(G391,SETUP_RATES!$A:$H,3,FALSE),VLOOKUP(G391,SETUP_RATES!$A:$H,2,FALSE)))</f>
        <v/>
      </c>
      <c r="O391" s="38" t="str">
        <f>IF(OR(J391="",G391=""),"",J391*VLOOKUP(G391,SETUP_RATES!$A:$H,6,FALSE))</f>
        <v/>
      </c>
      <c r="P391" s="38" t="str">
        <f t="shared" si="1"/>
        <v/>
      </c>
      <c r="Q391" s="33" t="str">
        <f t="shared" si="2"/>
        <v/>
      </c>
    </row>
    <row r="392" ht="15.75" customHeight="1">
      <c r="B392" s="39"/>
      <c r="H392" s="39"/>
      <c r="I392" s="40"/>
      <c r="L392" s="33"/>
      <c r="M392" s="38"/>
      <c r="N392" s="38" t="str">
        <f>IF(OR(F392="",G392=""),"",MAX(F392*VLOOKUP(G392,SETUP_RATES!$A:$H,3,FALSE),VLOOKUP(G392,SETUP_RATES!$A:$H,2,FALSE)))</f>
        <v/>
      </c>
      <c r="O392" s="38" t="str">
        <f>IF(OR(J392="",G392=""),"",J392*VLOOKUP(G392,SETUP_RATES!$A:$H,6,FALSE))</f>
        <v/>
      </c>
      <c r="P392" s="38" t="str">
        <f t="shared" si="1"/>
        <v/>
      </c>
      <c r="Q392" s="33" t="str">
        <f t="shared" si="2"/>
        <v/>
      </c>
    </row>
    <row r="393" ht="15.75" customHeight="1">
      <c r="B393" s="39"/>
      <c r="H393" s="39"/>
      <c r="I393" s="40"/>
      <c r="L393" s="33"/>
      <c r="M393" s="38"/>
      <c r="N393" s="38" t="str">
        <f>IF(OR(F393="",G393=""),"",MAX(F393*VLOOKUP(G393,SETUP_RATES!$A:$H,3,FALSE),VLOOKUP(G393,SETUP_RATES!$A:$H,2,FALSE)))</f>
        <v/>
      </c>
      <c r="O393" s="38" t="str">
        <f>IF(OR(J393="",G393=""),"",J393*VLOOKUP(G393,SETUP_RATES!$A:$H,6,FALSE))</f>
        <v/>
      </c>
      <c r="P393" s="38" t="str">
        <f t="shared" si="1"/>
        <v/>
      </c>
      <c r="Q393" s="33" t="str">
        <f t="shared" si="2"/>
        <v/>
      </c>
    </row>
    <row r="394" ht="15.75" customHeight="1">
      <c r="B394" s="39"/>
      <c r="H394" s="39"/>
      <c r="I394" s="40"/>
      <c r="L394" s="33"/>
      <c r="M394" s="38"/>
      <c r="N394" s="38" t="str">
        <f>IF(OR(F394="",G394=""),"",MAX(F394*VLOOKUP(G394,SETUP_RATES!$A:$H,3,FALSE),VLOOKUP(G394,SETUP_RATES!$A:$H,2,FALSE)))</f>
        <v/>
      </c>
      <c r="O394" s="38" t="str">
        <f>IF(OR(J394="",G394=""),"",J394*VLOOKUP(G394,SETUP_RATES!$A:$H,6,FALSE))</f>
        <v/>
      </c>
      <c r="P394" s="38" t="str">
        <f t="shared" si="1"/>
        <v/>
      </c>
      <c r="Q394" s="33" t="str">
        <f t="shared" si="2"/>
        <v/>
      </c>
    </row>
    <row r="395" ht="15.75" customHeight="1">
      <c r="B395" s="39"/>
      <c r="H395" s="39"/>
      <c r="I395" s="40"/>
      <c r="L395" s="33"/>
      <c r="M395" s="38"/>
      <c r="N395" s="38" t="str">
        <f>IF(OR(F395="",G395=""),"",MAX(F395*VLOOKUP(G395,SETUP_RATES!$A:$H,3,FALSE),VLOOKUP(G395,SETUP_RATES!$A:$H,2,FALSE)))</f>
        <v/>
      </c>
      <c r="O395" s="38" t="str">
        <f>IF(OR(J395="",G395=""),"",J395*VLOOKUP(G395,SETUP_RATES!$A:$H,6,FALSE))</f>
        <v/>
      </c>
      <c r="P395" s="38" t="str">
        <f t="shared" si="1"/>
        <v/>
      </c>
      <c r="Q395" s="33" t="str">
        <f t="shared" si="2"/>
        <v/>
      </c>
    </row>
    <row r="396" ht="15.75" customHeight="1">
      <c r="B396" s="39"/>
      <c r="H396" s="39"/>
      <c r="I396" s="40"/>
      <c r="L396" s="33"/>
      <c r="M396" s="38"/>
      <c r="N396" s="38" t="str">
        <f>IF(OR(F396="",G396=""),"",MAX(F396*VLOOKUP(G396,SETUP_RATES!$A:$H,3,FALSE),VLOOKUP(G396,SETUP_RATES!$A:$H,2,FALSE)))</f>
        <v/>
      </c>
      <c r="O396" s="38" t="str">
        <f>IF(OR(J396="",G396=""),"",J396*VLOOKUP(G396,SETUP_RATES!$A:$H,6,FALSE))</f>
        <v/>
      </c>
      <c r="P396" s="38" t="str">
        <f t="shared" si="1"/>
        <v/>
      </c>
      <c r="Q396" s="33" t="str">
        <f t="shared" si="2"/>
        <v/>
      </c>
    </row>
    <row r="397" ht="15.75" customHeight="1">
      <c r="B397" s="39"/>
      <c r="H397" s="39"/>
      <c r="I397" s="40"/>
      <c r="L397" s="33"/>
      <c r="M397" s="38"/>
      <c r="N397" s="38" t="str">
        <f>IF(OR(F397="",G397=""),"",MAX(F397*VLOOKUP(G397,SETUP_RATES!$A:$H,3,FALSE),VLOOKUP(G397,SETUP_RATES!$A:$H,2,FALSE)))</f>
        <v/>
      </c>
      <c r="O397" s="38" t="str">
        <f>IF(OR(J397="",G397=""),"",J397*VLOOKUP(G397,SETUP_RATES!$A:$H,6,FALSE))</f>
        <v/>
      </c>
      <c r="P397" s="38" t="str">
        <f t="shared" si="1"/>
        <v/>
      </c>
      <c r="Q397" s="33" t="str">
        <f t="shared" si="2"/>
        <v/>
      </c>
    </row>
    <row r="398" ht="15.75" customHeight="1">
      <c r="B398" s="39"/>
      <c r="H398" s="39"/>
      <c r="I398" s="40"/>
      <c r="L398" s="33"/>
      <c r="M398" s="38"/>
      <c r="N398" s="38" t="str">
        <f>IF(OR(F398="",G398=""),"",MAX(F398*VLOOKUP(G398,SETUP_RATES!$A:$H,3,FALSE),VLOOKUP(G398,SETUP_RATES!$A:$H,2,FALSE)))</f>
        <v/>
      </c>
      <c r="O398" s="38" t="str">
        <f>IF(OR(J398="",G398=""),"",J398*VLOOKUP(G398,SETUP_RATES!$A:$H,6,FALSE))</f>
        <v/>
      </c>
      <c r="P398" s="38" t="str">
        <f t="shared" si="1"/>
        <v/>
      </c>
      <c r="Q398" s="33" t="str">
        <f t="shared" si="2"/>
        <v/>
      </c>
    </row>
    <row r="399" ht="15.75" customHeight="1">
      <c r="B399" s="39"/>
      <c r="H399" s="39"/>
      <c r="I399" s="40"/>
      <c r="L399" s="33"/>
      <c r="M399" s="38"/>
      <c r="N399" s="38" t="str">
        <f>IF(OR(F399="",G399=""),"",MAX(F399*VLOOKUP(G399,SETUP_RATES!$A:$H,3,FALSE),VLOOKUP(G399,SETUP_RATES!$A:$H,2,FALSE)))</f>
        <v/>
      </c>
      <c r="O399" s="38" t="str">
        <f>IF(OR(J399="",G399=""),"",J399*VLOOKUP(G399,SETUP_RATES!$A:$H,6,FALSE))</f>
        <v/>
      </c>
      <c r="P399" s="38" t="str">
        <f t="shared" si="1"/>
        <v/>
      </c>
      <c r="Q399" s="33" t="str">
        <f t="shared" si="2"/>
        <v/>
      </c>
    </row>
    <row r="400" ht="15.75" customHeight="1">
      <c r="B400" s="39"/>
      <c r="H400" s="39"/>
      <c r="I400" s="40"/>
      <c r="L400" s="33"/>
      <c r="M400" s="38"/>
      <c r="N400" s="38" t="str">
        <f>IF(OR(F400="",G400=""),"",MAX(F400*VLOOKUP(G400,SETUP_RATES!$A:$H,3,FALSE),VLOOKUP(G400,SETUP_RATES!$A:$H,2,FALSE)))</f>
        <v/>
      </c>
      <c r="O400" s="38" t="str">
        <f>IF(OR(J400="",G400=""),"",J400*VLOOKUP(G400,SETUP_RATES!$A:$H,6,FALSE))</f>
        <v/>
      </c>
      <c r="P400" s="38" t="str">
        <f t="shared" si="1"/>
        <v/>
      </c>
      <c r="Q400" s="33" t="str">
        <f t="shared" si="2"/>
        <v/>
      </c>
    </row>
    <row r="401" ht="15.75" customHeight="1">
      <c r="B401" s="39"/>
      <c r="H401" s="39"/>
      <c r="I401" s="40"/>
      <c r="L401" s="33"/>
      <c r="M401" s="38"/>
      <c r="N401" s="38" t="str">
        <f>IF(OR(F401="",G401=""),"",MAX(F401*VLOOKUP(G401,SETUP_RATES!$A:$H,3,FALSE),VLOOKUP(G401,SETUP_RATES!$A:$H,2,FALSE)))</f>
        <v/>
      </c>
      <c r="O401" s="38" t="str">
        <f>IF(OR(J401="",G401=""),"",J401*VLOOKUP(G401,SETUP_RATES!$A:$H,6,FALSE))</f>
        <v/>
      </c>
      <c r="P401" s="38" t="str">
        <f t="shared" si="1"/>
        <v/>
      </c>
      <c r="Q401" s="33" t="str">
        <f t="shared" si="2"/>
        <v/>
      </c>
    </row>
    <row r="402" ht="15.75" customHeight="1">
      <c r="B402" s="39"/>
      <c r="H402" s="39"/>
      <c r="I402" s="40"/>
      <c r="L402" s="33"/>
      <c r="M402" s="38"/>
      <c r="N402" s="38" t="str">
        <f>IF(OR(F402="",G402=""),"",MAX(F402*VLOOKUP(G402,SETUP_RATES!$A:$H,3,FALSE),VLOOKUP(G402,SETUP_RATES!$A:$H,2,FALSE)))</f>
        <v/>
      </c>
      <c r="O402" s="38" t="str">
        <f>IF(OR(J402="",G402=""),"",J402*VLOOKUP(G402,SETUP_RATES!$A:$H,6,FALSE))</f>
        <v/>
      </c>
      <c r="P402" s="38" t="str">
        <f t="shared" si="1"/>
        <v/>
      </c>
      <c r="Q402" s="33" t="str">
        <f t="shared" si="2"/>
        <v/>
      </c>
    </row>
    <row r="403" ht="15.75" customHeight="1">
      <c r="B403" s="39"/>
      <c r="H403" s="39"/>
      <c r="I403" s="40"/>
      <c r="L403" s="33"/>
      <c r="M403" s="38"/>
      <c r="N403" s="38" t="str">
        <f>IF(OR(F403="",G403=""),"",MAX(F403*VLOOKUP(G403,SETUP_RATES!$A:$H,3,FALSE),VLOOKUP(G403,SETUP_RATES!$A:$H,2,FALSE)))</f>
        <v/>
      </c>
      <c r="O403" s="38" t="str">
        <f>IF(OR(J403="",G403=""),"",J403*VLOOKUP(G403,SETUP_RATES!$A:$H,6,FALSE))</f>
        <v/>
      </c>
      <c r="P403" s="38" t="str">
        <f t="shared" si="1"/>
        <v/>
      </c>
      <c r="Q403" s="33" t="str">
        <f t="shared" si="2"/>
        <v/>
      </c>
    </row>
    <row r="404" ht="15.75" customHeight="1">
      <c r="B404" s="39"/>
      <c r="H404" s="39"/>
      <c r="I404" s="40"/>
      <c r="L404" s="33"/>
      <c r="M404" s="38"/>
      <c r="N404" s="38" t="str">
        <f>IF(OR(F404="",G404=""),"",MAX(F404*VLOOKUP(G404,SETUP_RATES!$A:$H,3,FALSE),VLOOKUP(G404,SETUP_RATES!$A:$H,2,FALSE)))</f>
        <v/>
      </c>
      <c r="O404" s="38" t="str">
        <f>IF(OR(J404="",G404=""),"",J404*VLOOKUP(G404,SETUP_RATES!$A:$H,6,FALSE))</f>
        <v/>
      </c>
      <c r="P404" s="38" t="str">
        <f t="shared" si="1"/>
        <v/>
      </c>
      <c r="Q404" s="33" t="str">
        <f t="shared" si="2"/>
        <v/>
      </c>
    </row>
    <row r="405" ht="15.75" customHeight="1">
      <c r="B405" s="39"/>
      <c r="H405" s="39"/>
      <c r="I405" s="40"/>
      <c r="L405" s="33"/>
      <c r="M405" s="38"/>
      <c r="N405" s="38" t="str">
        <f>IF(OR(F405="",G405=""),"",MAX(F405*VLOOKUP(G405,SETUP_RATES!$A:$H,3,FALSE),VLOOKUP(G405,SETUP_RATES!$A:$H,2,FALSE)))</f>
        <v/>
      </c>
      <c r="O405" s="38" t="str">
        <f>IF(OR(J405="",G405=""),"",J405*VLOOKUP(G405,SETUP_RATES!$A:$H,6,FALSE))</f>
        <v/>
      </c>
      <c r="P405" s="38" t="str">
        <f t="shared" si="1"/>
        <v/>
      </c>
      <c r="Q405" s="33" t="str">
        <f t="shared" si="2"/>
        <v/>
      </c>
    </row>
    <row r="406" ht="15.75" customHeight="1">
      <c r="B406" s="39"/>
      <c r="H406" s="39"/>
      <c r="I406" s="40"/>
      <c r="L406" s="33"/>
      <c r="M406" s="38"/>
      <c r="N406" s="38" t="str">
        <f>IF(OR(F406="",G406=""),"",MAX(F406*VLOOKUP(G406,SETUP_RATES!$A:$H,3,FALSE),VLOOKUP(G406,SETUP_RATES!$A:$H,2,FALSE)))</f>
        <v/>
      </c>
      <c r="O406" s="38" t="str">
        <f>IF(OR(J406="",G406=""),"",J406*VLOOKUP(G406,SETUP_RATES!$A:$H,6,FALSE))</f>
        <v/>
      </c>
      <c r="P406" s="38" t="str">
        <f t="shared" si="1"/>
        <v/>
      </c>
      <c r="Q406" s="33" t="str">
        <f t="shared" si="2"/>
        <v/>
      </c>
    </row>
    <row r="407" ht="15.75" customHeight="1">
      <c r="B407" s="39"/>
      <c r="H407" s="39"/>
      <c r="I407" s="40"/>
      <c r="L407" s="33"/>
      <c r="M407" s="38"/>
      <c r="N407" s="38" t="str">
        <f>IF(OR(F407="",G407=""),"",MAX(F407*VLOOKUP(G407,SETUP_RATES!$A:$H,3,FALSE),VLOOKUP(G407,SETUP_RATES!$A:$H,2,FALSE)))</f>
        <v/>
      </c>
      <c r="O407" s="38" t="str">
        <f>IF(OR(J407="",G407=""),"",J407*VLOOKUP(G407,SETUP_RATES!$A:$H,6,FALSE))</f>
        <v/>
      </c>
      <c r="P407" s="38" t="str">
        <f t="shared" si="1"/>
        <v/>
      </c>
      <c r="Q407" s="33" t="str">
        <f t="shared" si="2"/>
        <v/>
      </c>
    </row>
    <row r="408" ht="15.75" customHeight="1">
      <c r="B408" s="39"/>
      <c r="H408" s="39"/>
      <c r="I408" s="40"/>
      <c r="L408" s="33"/>
      <c r="M408" s="38"/>
      <c r="N408" s="38" t="str">
        <f>IF(OR(F408="",G408=""),"",MAX(F408*VLOOKUP(G408,SETUP_RATES!$A:$H,3,FALSE),VLOOKUP(G408,SETUP_RATES!$A:$H,2,FALSE)))</f>
        <v/>
      </c>
      <c r="O408" s="38" t="str">
        <f>IF(OR(J408="",G408=""),"",J408*VLOOKUP(G408,SETUP_RATES!$A:$H,6,FALSE))</f>
        <v/>
      </c>
      <c r="P408" s="38" t="str">
        <f t="shared" si="1"/>
        <v/>
      </c>
      <c r="Q408" s="33" t="str">
        <f t="shared" si="2"/>
        <v/>
      </c>
    </row>
    <row r="409" ht="15.75" customHeight="1">
      <c r="B409" s="39"/>
      <c r="H409" s="39"/>
      <c r="I409" s="40"/>
      <c r="L409" s="33"/>
      <c r="M409" s="38"/>
      <c r="N409" s="38" t="str">
        <f>IF(OR(F409="",G409=""),"",MAX(F409*VLOOKUP(G409,SETUP_RATES!$A:$H,3,FALSE),VLOOKUP(G409,SETUP_RATES!$A:$H,2,FALSE)))</f>
        <v/>
      </c>
      <c r="O409" s="38" t="str">
        <f>IF(OR(J409="",G409=""),"",J409*VLOOKUP(G409,SETUP_RATES!$A:$H,6,FALSE))</f>
        <v/>
      </c>
      <c r="P409" s="38" t="str">
        <f t="shared" si="1"/>
        <v/>
      </c>
      <c r="Q409" s="33" t="str">
        <f t="shared" si="2"/>
        <v/>
      </c>
    </row>
    <row r="410" ht="15.75" customHeight="1">
      <c r="B410" s="39"/>
      <c r="H410" s="39"/>
      <c r="I410" s="40"/>
      <c r="L410" s="33"/>
      <c r="M410" s="38"/>
      <c r="N410" s="38" t="str">
        <f>IF(OR(F410="",G410=""),"",MAX(F410*VLOOKUP(G410,SETUP_RATES!$A:$H,3,FALSE),VLOOKUP(G410,SETUP_RATES!$A:$H,2,FALSE)))</f>
        <v/>
      </c>
      <c r="O410" s="38" t="str">
        <f>IF(OR(J410="",G410=""),"",J410*VLOOKUP(G410,SETUP_RATES!$A:$H,6,FALSE))</f>
        <v/>
      </c>
      <c r="P410" s="38" t="str">
        <f t="shared" si="1"/>
        <v/>
      </c>
      <c r="Q410" s="33" t="str">
        <f t="shared" si="2"/>
        <v/>
      </c>
    </row>
    <row r="411" ht="15.75" customHeight="1">
      <c r="B411" s="39"/>
      <c r="H411" s="39"/>
      <c r="I411" s="40"/>
      <c r="L411" s="33"/>
      <c r="M411" s="38"/>
      <c r="N411" s="38" t="str">
        <f>IF(OR(F411="",G411=""),"",MAX(F411*VLOOKUP(G411,SETUP_RATES!$A:$H,3,FALSE),VLOOKUP(G411,SETUP_RATES!$A:$H,2,FALSE)))</f>
        <v/>
      </c>
      <c r="O411" s="38" t="str">
        <f>IF(OR(J411="",G411=""),"",J411*VLOOKUP(G411,SETUP_RATES!$A:$H,6,FALSE))</f>
        <v/>
      </c>
      <c r="P411" s="38" t="str">
        <f t="shared" si="1"/>
        <v/>
      </c>
      <c r="Q411" s="33" t="str">
        <f t="shared" si="2"/>
        <v/>
      </c>
    </row>
    <row r="412" ht="15.75" customHeight="1">
      <c r="B412" s="39"/>
      <c r="H412" s="39"/>
      <c r="I412" s="40"/>
      <c r="L412" s="33"/>
      <c r="M412" s="38"/>
      <c r="N412" s="38" t="str">
        <f>IF(OR(F412="",G412=""),"",MAX(F412*VLOOKUP(G412,SETUP_RATES!$A:$H,3,FALSE),VLOOKUP(G412,SETUP_RATES!$A:$H,2,FALSE)))</f>
        <v/>
      </c>
      <c r="O412" s="38" t="str">
        <f>IF(OR(J412="",G412=""),"",J412*VLOOKUP(G412,SETUP_RATES!$A:$H,6,FALSE))</f>
        <v/>
      </c>
      <c r="P412" s="38" t="str">
        <f t="shared" si="1"/>
        <v/>
      </c>
      <c r="Q412" s="33" t="str">
        <f t="shared" si="2"/>
        <v/>
      </c>
    </row>
    <row r="413" ht="15.75" customHeight="1">
      <c r="B413" s="39"/>
      <c r="H413" s="39"/>
      <c r="I413" s="40"/>
      <c r="L413" s="33"/>
      <c r="M413" s="38"/>
      <c r="N413" s="38" t="str">
        <f>IF(OR(F413="",G413=""),"",MAX(F413*VLOOKUP(G413,SETUP_RATES!$A:$H,3,FALSE),VLOOKUP(G413,SETUP_RATES!$A:$H,2,FALSE)))</f>
        <v/>
      </c>
      <c r="O413" s="38" t="str">
        <f>IF(OR(J413="",G413=""),"",J413*VLOOKUP(G413,SETUP_RATES!$A:$H,6,FALSE))</f>
        <v/>
      </c>
      <c r="P413" s="38" t="str">
        <f t="shared" si="1"/>
        <v/>
      </c>
      <c r="Q413" s="33" t="str">
        <f t="shared" si="2"/>
        <v/>
      </c>
    </row>
    <row r="414" ht="15.75" customHeight="1">
      <c r="B414" s="39"/>
      <c r="H414" s="39"/>
      <c r="I414" s="40"/>
      <c r="L414" s="33"/>
      <c r="M414" s="38"/>
      <c r="N414" s="38" t="str">
        <f>IF(OR(F414="",G414=""),"",MAX(F414*VLOOKUP(G414,SETUP_RATES!$A:$H,3,FALSE),VLOOKUP(G414,SETUP_RATES!$A:$H,2,FALSE)))</f>
        <v/>
      </c>
      <c r="O414" s="38" t="str">
        <f>IF(OR(J414="",G414=""),"",J414*VLOOKUP(G414,SETUP_RATES!$A:$H,6,FALSE))</f>
        <v/>
      </c>
      <c r="P414" s="38" t="str">
        <f t="shared" si="1"/>
        <v/>
      </c>
      <c r="Q414" s="33" t="str">
        <f t="shared" si="2"/>
        <v/>
      </c>
    </row>
    <row r="415" ht="15.75" customHeight="1">
      <c r="B415" s="39"/>
      <c r="H415" s="39"/>
      <c r="I415" s="40"/>
      <c r="L415" s="33"/>
      <c r="M415" s="38"/>
      <c r="N415" s="38" t="str">
        <f>IF(OR(F415="",G415=""),"",MAX(F415*VLOOKUP(G415,SETUP_RATES!$A:$H,3,FALSE),VLOOKUP(G415,SETUP_RATES!$A:$H,2,FALSE)))</f>
        <v/>
      </c>
      <c r="O415" s="38" t="str">
        <f>IF(OR(J415="",G415=""),"",J415*VLOOKUP(G415,SETUP_RATES!$A:$H,6,FALSE))</f>
        <v/>
      </c>
      <c r="P415" s="38" t="str">
        <f t="shared" si="1"/>
        <v/>
      </c>
      <c r="Q415" s="33" t="str">
        <f t="shared" si="2"/>
        <v/>
      </c>
    </row>
    <row r="416" ht="15.75" customHeight="1">
      <c r="B416" s="39"/>
      <c r="H416" s="39"/>
      <c r="I416" s="40"/>
      <c r="L416" s="33"/>
      <c r="M416" s="38"/>
      <c r="N416" s="38" t="str">
        <f>IF(OR(F416="",G416=""),"",MAX(F416*VLOOKUP(G416,SETUP_RATES!$A:$H,3,FALSE),VLOOKUP(G416,SETUP_RATES!$A:$H,2,FALSE)))</f>
        <v/>
      </c>
      <c r="O416" s="38" t="str">
        <f>IF(OR(J416="",G416=""),"",J416*VLOOKUP(G416,SETUP_RATES!$A:$H,6,FALSE))</f>
        <v/>
      </c>
      <c r="P416" s="38" t="str">
        <f t="shared" si="1"/>
        <v/>
      </c>
      <c r="Q416" s="33" t="str">
        <f t="shared" si="2"/>
        <v/>
      </c>
    </row>
    <row r="417" ht="15.75" customHeight="1">
      <c r="B417" s="39"/>
      <c r="H417" s="39"/>
      <c r="I417" s="40"/>
      <c r="L417" s="33"/>
      <c r="M417" s="38"/>
      <c r="N417" s="38" t="str">
        <f>IF(OR(F417="",G417=""),"",MAX(F417*VLOOKUP(G417,SETUP_RATES!$A:$H,3,FALSE),VLOOKUP(G417,SETUP_RATES!$A:$H,2,FALSE)))</f>
        <v/>
      </c>
      <c r="O417" s="38" t="str">
        <f>IF(OR(J417="",G417=""),"",J417*VLOOKUP(G417,SETUP_RATES!$A:$H,6,FALSE))</f>
        <v/>
      </c>
      <c r="P417" s="38" t="str">
        <f t="shared" si="1"/>
        <v/>
      </c>
      <c r="Q417" s="33" t="str">
        <f t="shared" si="2"/>
        <v/>
      </c>
    </row>
    <row r="418" ht="15.75" customHeight="1">
      <c r="B418" s="39"/>
      <c r="H418" s="39"/>
      <c r="I418" s="40"/>
      <c r="L418" s="33"/>
      <c r="M418" s="38"/>
      <c r="N418" s="38" t="str">
        <f>IF(OR(F418="",G418=""),"",MAX(F418*VLOOKUP(G418,SETUP_RATES!$A:$H,3,FALSE),VLOOKUP(G418,SETUP_RATES!$A:$H,2,FALSE)))</f>
        <v/>
      </c>
      <c r="O418" s="38" t="str">
        <f>IF(OR(J418="",G418=""),"",J418*VLOOKUP(G418,SETUP_RATES!$A:$H,6,FALSE))</f>
        <v/>
      </c>
      <c r="P418" s="38" t="str">
        <f t="shared" si="1"/>
        <v/>
      </c>
      <c r="Q418" s="33" t="str">
        <f t="shared" si="2"/>
        <v/>
      </c>
    </row>
    <row r="419" ht="15.75" customHeight="1">
      <c r="B419" s="39"/>
      <c r="H419" s="39"/>
      <c r="I419" s="40"/>
      <c r="L419" s="33"/>
      <c r="M419" s="38"/>
      <c r="N419" s="38" t="str">
        <f>IF(OR(F419="",G419=""),"",MAX(F419*VLOOKUP(G419,SETUP_RATES!$A:$H,3,FALSE),VLOOKUP(G419,SETUP_RATES!$A:$H,2,FALSE)))</f>
        <v/>
      </c>
      <c r="O419" s="38" t="str">
        <f>IF(OR(J419="",G419=""),"",J419*VLOOKUP(G419,SETUP_RATES!$A:$H,6,FALSE))</f>
        <v/>
      </c>
      <c r="P419" s="38" t="str">
        <f t="shared" si="1"/>
        <v/>
      </c>
      <c r="Q419" s="33" t="str">
        <f t="shared" si="2"/>
        <v/>
      </c>
    </row>
    <row r="420" ht="15.75" customHeight="1">
      <c r="B420" s="39"/>
      <c r="H420" s="39"/>
      <c r="I420" s="40"/>
      <c r="L420" s="33"/>
      <c r="M420" s="38"/>
      <c r="N420" s="38" t="str">
        <f>IF(OR(F420="",G420=""),"",MAX(F420*VLOOKUP(G420,SETUP_RATES!$A:$H,3,FALSE),VLOOKUP(G420,SETUP_RATES!$A:$H,2,FALSE)))</f>
        <v/>
      </c>
      <c r="O420" s="38" t="str">
        <f>IF(OR(J420="",G420=""),"",J420*VLOOKUP(G420,SETUP_RATES!$A:$H,6,FALSE))</f>
        <v/>
      </c>
      <c r="P420" s="38" t="str">
        <f t="shared" si="1"/>
        <v/>
      </c>
      <c r="Q420" s="33" t="str">
        <f t="shared" si="2"/>
        <v/>
      </c>
    </row>
    <row r="421" ht="15.75" customHeight="1">
      <c r="B421" s="39"/>
      <c r="H421" s="39"/>
      <c r="I421" s="40"/>
      <c r="L421" s="33"/>
      <c r="M421" s="38"/>
      <c r="N421" s="38" t="str">
        <f>IF(OR(F421="",G421=""),"",MAX(F421*VLOOKUP(G421,SETUP_RATES!$A:$H,3,FALSE),VLOOKUP(G421,SETUP_RATES!$A:$H,2,FALSE)))</f>
        <v/>
      </c>
      <c r="O421" s="38" t="str">
        <f>IF(OR(J421="",G421=""),"",J421*VLOOKUP(G421,SETUP_RATES!$A:$H,6,FALSE))</f>
        <v/>
      </c>
      <c r="P421" s="38" t="str">
        <f t="shared" si="1"/>
        <v/>
      </c>
      <c r="Q421" s="33" t="str">
        <f t="shared" si="2"/>
        <v/>
      </c>
    </row>
    <row r="422" ht="15.75" customHeight="1">
      <c r="B422" s="39"/>
      <c r="H422" s="39"/>
      <c r="I422" s="40"/>
      <c r="L422" s="33"/>
      <c r="M422" s="38"/>
      <c r="N422" s="38" t="str">
        <f>IF(OR(F422="",G422=""),"",MAX(F422*VLOOKUP(G422,SETUP_RATES!$A:$H,3,FALSE),VLOOKUP(G422,SETUP_RATES!$A:$H,2,FALSE)))</f>
        <v/>
      </c>
      <c r="O422" s="38" t="str">
        <f>IF(OR(J422="",G422=""),"",J422*VLOOKUP(G422,SETUP_RATES!$A:$H,6,FALSE))</f>
        <v/>
      </c>
      <c r="P422" s="38" t="str">
        <f t="shared" si="1"/>
        <v/>
      </c>
      <c r="Q422" s="33" t="str">
        <f t="shared" si="2"/>
        <v/>
      </c>
    </row>
    <row r="423" ht="15.75" customHeight="1">
      <c r="B423" s="39"/>
      <c r="H423" s="39"/>
      <c r="I423" s="40"/>
      <c r="L423" s="33"/>
      <c r="M423" s="38"/>
      <c r="N423" s="38" t="str">
        <f>IF(OR(F423="",G423=""),"",MAX(F423*VLOOKUP(G423,SETUP_RATES!$A:$H,3,FALSE),VLOOKUP(G423,SETUP_RATES!$A:$H,2,FALSE)))</f>
        <v/>
      </c>
      <c r="O423" s="38" t="str">
        <f>IF(OR(J423="",G423=""),"",J423*VLOOKUP(G423,SETUP_RATES!$A:$H,6,FALSE))</f>
        <v/>
      </c>
      <c r="P423" s="38" t="str">
        <f t="shared" si="1"/>
        <v/>
      </c>
      <c r="Q423" s="33" t="str">
        <f t="shared" si="2"/>
        <v/>
      </c>
    </row>
    <row r="424" ht="15.75" customHeight="1">
      <c r="B424" s="39"/>
      <c r="H424" s="39"/>
      <c r="I424" s="40"/>
      <c r="L424" s="33"/>
      <c r="M424" s="38"/>
      <c r="N424" s="38" t="str">
        <f>IF(OR(F424="",G424=""),"",MAX(F424*VLOOKUP(G424,SETUP_RATES!$A:$H,3,FALSE),VLOOKUP(G424,SETUP_RATES!$A:$H,2,FALSE)))</f>
        <v/>
      </c>
      <c r="O424" s="38" t="str">
        <f>IF(OR(J424="",G424=""),"",J424*VLOOKUP(G424,SETUP_RATES!$A:$H,6,FALSE))</f>
        <v/>
      </c>
      <c r="P424" s="38" t="str">
        <f t="shared" si="1"/>
        <v/>
      </c>
      <c r="Q424" s="33" t="str">
        <f t="shared" si="2"/>
        <v/>
      </c>
    </row>
    <row r="425" ht="15.75" customHeight="1">
      <c r="B425" s="39"/>
      <c r="H425" s="39"/>
      <c r="I425" s="40"/>
      <c r="L425" s="33"/>
      <c r="M425" s="38"/>
      <c r="N425" s="38" t="str">
        <f>IF(OR(F425="",G425=""),"",MAX(F425*VLOOKUP(G425,SETUP_RATES!$A:$H,3,FALSE),VLOOKUP(G425,SETUP_RATES!$A:$H,2,FALSE)))</f>
        <v/>
      </c>
      <c r="O425" s="38" t="str">
        <f>IF(OR(J425="",G425=""),"",J425*VLOOKUP(G425,SETUP_RATES!$A:$H,6,FALSE))</f>
        <v/>
      </c>
      <c r="P425" s="38" t="str">
        <f t="shared" si="1"/>
        <v/>
      </c>
      <c r="Q425" s="33" t="str">
        <f t="shared" si="2"/>
        <v/>
      </c>
    </row>
    <row r="426" ht="15.75" customHeight="1">
      <c r="B426" s="39"/>
      <c r="H426" s="39"/>
      <c r="I426" s="40"/>
      <c r="L426" s="33"/>
      <c r="M426" s="38"/>
      <c r="N426" s="38" t="str">
        <f>IF(OR(F426="",G426=""),"",MAX(F426*VLOOKUP(G426,SETUP_RATES!$A:$H,3,FALSE),VLOOKUP(G426,SETUP_RATES!$A:$H,2,FALSE)))</f>
        <v/>
      </c>
      <c r="O426" s="38" t="str">
        <f>IF(OR(J426="",G426=""),"",J426*VLOOKUP(G426,SETUP_RATES!$A:$H,6,FALSE))</f>
        <v/>
      </c>
      <c r="P426" s="38" t="str">
        <f t="shared" si="1"/>
        <v/>
      </c>
      <c r="Q426" s="33" t="str">
        <f t="shared" si="2"/>
        <v/>
      </c>
    </row>
    <row r="427" ht="15.75" customHeight="1">
      <c r="B427" s="39"/>
      <c r="H427" s="39"/>
      <c r="I427" s="40"/>
      <c r="L427" s="33"/>
      <c r="M427" s="38"/>
      <c r="N427" s="38" t="str">
        <f>IF(OR(F427="",G427=""),"",MAX(F427*VLOOKUP(G427,SETUP_RATES!$A:$H,3,FALSE),VLOOKUP(G427,SETUP_RATES!$A:$H,2,FALSE)))</f>
        <v/>
      </c>
      <c r="O427" s="38" t="str">
        <f>IF(OR(J427="",G427=""),"",J427*VLOOKUP(G427,SETUP_RATES!$A:$H,6,FALSE))</f>
        <v/>
      </c>
      <c r="P427" s="38" t="str">
        <f t="shared" si="1"/>
        <v/>
      </c>
      <c r="Q427" s="33" t="str">
        <f t="shared" si="2"/>
        <v/>
      </c>
    </row>
    <row r="428" ht="15.75" customHeight="1">
      <c r="B428" s="39"/>
      <c r="H428" s="39"/>
      <c r="I428" s="40"/>
      <c r="L428" s="33"/>
      <c r="M428" s="38"/>
      <c r="N428" s="38" t="str">
        <f>IF(OR(F428="",G428=""),"",MAX(F428*VLOOKUP(G428,SETUP_RATES!$A:$H,3,FALSE),VLOOKUP(G428,SETUP_RATES!$A:$H,2,FALSE)))</f>
        <v/>
      </c>
      <c r="O428" s="38" t="str">
        <f>IF(OR(J428="",G428=""),"",J428*VLOOKUP(G428,SETUP_RATES!$A:$H,6,FALSE))</f>
        <v/>
      </c>
      <c r="P428" s="38" t="str">
        <f t="shared" si="1"/>
        <v/>
      </c>
      <c r="Q428" s="33" t="str">
        <f t="shared" si="2"/>
        <v/>
      </c>
    </row>
    <row r="429" ht="15.75" customHeight="1">
      <c r="B429" s="39"/>
      <c r="H429" s="39"/>
      <c r="I429" s="40"/>
      <c r="L429" s="33"/>
      <c r="M429" s="38"/>
      <c r="N429" s="38" t="str">
        <f>IF(OR(F429="",G429=""),"",MAX(F429*VLOOKUP(G429,SETUP_RATES!$A:$H,3,FALSE),VLOOKUP(G429,SETUP_RATES!$A:$H,2,FALSE)))</f>
        <v/>
      </c>
      <c r="O429" s="38" t="str">
        <f>IF(OR(J429="",G429=""),"",J429*VLOOKUP(G429,SETUP_RATES!$A:$H,6,FALSE))</f>
        <v/>
      </c>
      <c r="P429" s="38" t="str">
        <f t="shared" si="1"/>
        <v/>
      </c>
      <c r="Q429" s="33" t="str">
        <f t="shared" si="2"/>
        <v/>
      </c>
    </row>
    <row r="430" ht="15.75" customHeight="1">
      <c r="B430" s="39"/>
      <c r="H430" s="39"/>
      <c r="I430" s="40"/>
      <c r="L430" s="33"/>
      <c r="M430" s="38"/>
      <c r="N430" s="38" t="str">
        <f>IF(OR(F430="",G430=""),"",MAX(F430*VLOOKUP(G430,SETUP_RATES!$A:$H,3,FALSE),VLOOKUP(G430,SETUP_RATES!$A:$H,2,FALSE)))</f>
        <v/>
      </c>
      <c r="O430" s="38" t="str">
        <f>IF(OR(J430="",G430=""),"",J430*VLOOKUP(G430,SETUP_RATES!$A:$H,6,FALSE))</f>
        <v/>
      </c>
      <c r="P430" s="38" t="str">
        <f t="shared" si="1"/>
        <v/>
      </c>
      <c r="Q430" s="33" t="str">
        <f t="shared" si="2"/>
        <v/>
      </c>
    </row>
    <row r="431" ht="15.75" customHeight="1">
      <c r="B431" s="39"/>
      <c r="H431" s="39"/>
      <c r="I431" s="40"/>
      <c r="L431" s="33"/>
      <c r="M431" s="38"/>
      <c r="N431" s="38" t="str">
        <f>IF(OR(F431="",G431=""),"",MAX(F431*VLOOKUP(G431,SETUP_RATES!$A:$H,3,FALSE),VLOOKUP(G431,SETUP_RATES!$A:$H,2,FALSE)))</f>
        <v/>
      </c>
      <c r="O431" s="38" t="str">
        <f>IF(OR(J431="",G431=""),"",J431*VLOOKUP(G431,SETUP_RATES!$A:$H,6,FALSE))</f>
        <v/>
      </c>
      <c r="P431" s="38" t="str">
        <f t="shared" si="1"/>
        <v/>
      </c>
      <c r="Q431" s="33" t="str">
        <f t="shared" si="2"/>
        <v/>
      </c>
    </row>
    <row r="432" ht="15.75" customHeight="1">
      <c r="B432" s="39"/>
      <c r="H432" s="39"/>
      <c r="I432" s="40"/>
      <c r="L432" s="33"/>
      <c r="M432" s="38"/>
      <c r="N432" s="38" t="str">
        <f>IF(OR(F432="",G432=""),"",MAX(F432*VLOOKUP(G432,SETUP_RATES!$A:$H,3,FALSE),VLOOKUP(G432,SETUP_RATES!$A:$H,2,FALSE)))</f>
        <v/>
      </c>
      <c r="O432" s="38" t="str">
        <f>IF(OR(J432="",G432=""),"",J432*VLOOKUP(G432,SETUP_RATES!$A:$H,6,FALSE))</f>
        <v/>
      </c>
      <c r="P432" s="38" t="str">
        <f t="shared" si="1"/>
        <v/>
      </c>
      <c r="Q432" s="33" t="str">
        <f t="shared" si="2"/>
        <v/>
      </c>
    </row>
    <row r="433" ht="15.75" customHeight="1">
      <c r="B433" s="39"/>
      <c r="H433" s="39"/>
      <c r="I433" s="40"/>
      <c r="L433" s="33"/>
      <c r="M433" s="38"/>
      <c r="N433" s="38" t="str">
        <f>IF(OR(F433="",G433=""),"",MAX(F433*VLOOKUP(G433,SETUP_RATES!$A:$H,3,FALSE),VLOOKUP(G433,SETUP_RATES!$A:$H,2,FALSE)))</f>
        <v/>
      </c>
      <c r="O433" s="38" t="str">
        <f>IF(OR(J433="",G433=""),"",J433*VLOOKUP(G433,SETUP_RATES!$A:$H,6,FALSE))</f>
        <v/>
      </c>
      <c r="P433" s="38" t="str">
        <f t="shared" si="1"/>
        <v/>
      </c>
      <c r="Q433" s="33" t="str">
        <f t="shared" si="2"/>
        <v/>
      </c>
    </row>
    <row r="434" ht="15.75" customHeight="1">
      <c r="B434" s="39"/>
      <c r="H434" s="39"/>
      <c r="I434" s="40"/>
      <c r="L434" s="33"/>
      <c r="M434" s="38"/>
      <c r="N434" s="38" t="str">
        <f>IF(OR(F434="",G434=""),"",MAX(F434*VLOOKUP(G434,SETUP_RATES!$A:$H,3,FALSE),VLOOKUP(G434,SETUP_RATES!$A:$H,2,FALSE)))</f>
        <v/>
      </c>
      <c r="O434" s="38" t="str">
        <f>IF(OR(J434="",G434=""),"",J434*VLOOKUP(G434,SETUP_RATES!$A:$H,6,FALSE))</f>
        <v/>
      </c>
      <c r="P434" s="38" t="str">
        <f t="shared" si="1"/>
        <v/>
      </c>
      <c r="Q434" s="33" t="str">
        <f t="shared" si="2"/>
        <v/>
      </c>
    </row>
    <row r="435" ht="15.75" customHeight="1">
      <c r="B435" s="39"/>
      <c r="H435" s="39"/>
      <c r="I435" s="40"/>
      <c r="L435" s="33"/>
      <c r="M435" s="38"/>
      <c r="N435" s="38" t="str">
        <f>IF(OR(F435="",G435=""),"",MAX(F435*VLOOKUP(G435,SETUP_RATES!$A:$H,3,FALSE),VLOOKUP(G435,SETUP_RATES!$A:$H,2,FALSE)))</f>
        <v/>
      </c>
      <c r="O435" s="38" t="str">
        <f>IF(OR(J435="",G435=""),"",J435*VLOOKUP(G435,SETUP_RATES!$A:$H,6,FALSE))</f>
        <v/>
      </c>
      <c r="P435" s="38" t="str">
        <f t="shared" si="1"/>
        <v/>
      </c>
      <c r="Q435" s="33" t="str">
        <f t="shared" si="2"/>
        <v/>
      </c>
    </row>
    <row r="436" ht="15.75" customHeight="1">
      <c r="B436" s="39"/>
      <c r="H436" s="39"/>
      <c r="I436" s="40"/>
      <c r="L436" s="33"/>
      <c r="M436" s="38"/>
      <c r="N436" s="38" t="str">
        <f>IF(OR(F436="",G436=""),"",MAX(F436*VLOOKUP(G436,SETUP_RATES!$A:$H,3,FALSE),VLOOKUP(G436,SETUP_RATES!$A:$H,2,FALSE)))</f>
        <v/>
      </c>
      <c r="O436" s="38" t="str">
        <f>IF(OR(J436="",G436=""),"",J436*VLOOKUP(G436,SETUP_RATES!$A:$H,6,FALSE))</f>
        <v/>
      </c>
      <c r="P436" s="38" t="str">
        <f t="shared" si="1"/>
        <v/>
      </c>
      <c r="Q436" s="33" t="str">
        <f t="shared" si="2"/>
        <v/>
      </c>
    </row>
    <row r="437" ht="15.75" customHeight="1">
      <c r="B437" s="39"/>
      <c r="H437" s="39"/>
      <c r="I437" s="40"/>
      <c r="L437" s="33"/>
      <c r="M437" s="38"/>
      <c r="N437" s="38" t="str">
        <f>IF(OR(F437="",G437=""),"",MAX(F437*VLOOKUP(G437,SETUP_RATES!$A:$H,3,FALSE),VLOOKUP(G437,SETUP_RATES!$A:$H,2,FALSE)))</f>
        <v/>
      </c>
      <c r="O437" s="38" t="str">
        <f>IF(OR(J437="",G437=""),"",J437*VLOOKUP(G437,SETUP_RATES!$A:$H,6,FALSE))</f>
        <v/>
      </c>
      <c r="P437" s="38" t="str">
        <f t="shared" si="1"/>
        <v/>
      </c>
      <c r="Q437" s="33" t="str">
        <f t="shared" si="2"/>
        <v/>
      </c>
    </row>
    <row r="438" ht="15.75" customHeight="1">
      <c r="B438" s="39"/>
      <c r="H438" s="39"/>
      <c r="I438" s="40"/>
      <c r="L438" s="33"/>
      <c r="M438" s="38"/>
      <c r="N438" s="38" t="str">
        <f>IF(OR(F438="",G438=""),"",MAX(F438*VLOOKUP(G438,SETUP_RATES!$A:$H,3,FALSE),VLOOKUP(G438,SETUP_RATES!$A:$H,2,FALSE)))</f>
        <v/>
      </c>
      <c r="O438" s="38" t="str">
        <f>IF(OR(J438="",G438=""),"",J438*VLOOKUP(G438,SETUP_RATES!$A:$H,6,FALSE))</f>
        <v/>
      </c>
      <c r="P438" s="38" t="str">
        <f t="shared" si="1"/>
        <v/>
      </c>
      <c r="Q438" s="33" t="str">
        <f t="shared" si="2"/>
        <v/>
      </c>
    </row>
    <row r="439" ht="15.75" customHeight="1">
      <c r="B439" s="39"/>
      <c r="H439" s="39"/>
      <c r="I439" s="40"/>
      <c r="L439" s="33"/>
      <c r="M439" s="38"/>
      <c r="N439" s="38" t="str">
        <f>IF(OR(F439="",G439=""),"",MAX(F439*VLOOKUP(G439,SETUP_RATES!$A:$H,3,FALSE),VLOOKUP(G439,SETUP_RATES!$A:$H,2,FALSE)))</f>
        <v/>
      </c>
      <c r="O439" s="38" t="str">
        <f>IF(OR(J439="",G439=""),"",J439*VLOOKUP(G439,SETUP_RATES!$A:$H,6,FALSE))</f>
        <v/>
      </c>
      <c r="P439" s="38" t="str">
        <f t="shared" si="1"/>
        <v/>
      </c>
      <c r="Q439" s="33" t="str">
        <f t="shared" si="2"/>
        <v/>
      </c>
    </row>
    <row r="440" ht="15.75" customHeight="1">
      <c r="B440" s="39"/>
      <c r="H440" s="39"/>
      <c r="I440" s="40"/>
      <c r="L440" s="33"/>
      <c r="M440" s="38"/>
      <c r="N440" s="38" t="str">
        <f>IF(OR(F440="",G440=""),"",MAX(F440*VLOOKUP(G440,SETUP_RATES!$A:$H,3,FALSE),VLOOKUP(G440,SETUP_RATES!$A:$H,2,FALSE)))</f>
        <v/>
      </c>
      <c r="O440" s="38" t="str">
        <f>IF(OR(J440="",G440=""),"",J440*VLOOKUP(G440,SETUP_RATES!$A:$H,6,FALSE))</f>
        <v/>
      </c>
      <c r="P440" s="38" t="str">
        <f t="shared" si="1"/>
        <v/>
      </c>
      <c r="Q440" s="33" t="str">
        <f t="shared" si="2"/>
        <v/>
      </c>
    </row>
    <row r="441" ht="15.75" customHeight="1">
      <c r="B441" s="39"/>
      <c r="H441" s="39"/>
      <c r="I441" s="40"/>
      <c r="L441" s="33"/>
      <c r="M441" s="38"/>
      <c r="N441" s="38" t="str">
        <f>IF(OR(F441="",G441=""),"",MAX(F441*VLOOKUP(G441,SETUP_RATES!$A:$H,3,FALSE),VLOOKUP(G441,SETUP_RATES!$A:$H,2,FALSE)))</f>
        <v/>
      </c>
      <c r="O441" s="38" t="str">
        <f>IF(OR(J441="",G441=""),"",J441*VLOOKUP(G441,SETUP_RATES!$A:$H,6,FALSE))</f>
        <v/>
      </c>
      <c r="P441" s="38" t="str">
        <f t="shared" si="1"/>
        <v/>
      </c>
      <c r="Q441" s="33" t="str">
        <f t="shared" si="2"/>
        <v/>
      </c>
    </row>
    <row r="442" ht="15.75" customHeight="1">
      <c r="B442" s="39"/>
      <c r="H442" s="39"/>
      <c r="I442" s="40"/>
      <c r="L442" s="33"/>
      <c r="M442" s="38"/>
      <c r="N442" s="38" t="str">
        <f>IF(OR(F442="",G442=""),"",MAX(F442*VLOOKUP(G442,SETUP_RATES!$A:$H,3,FALSE),VLOOKUP(G442,SETUP_RATES!$A:$H,2,FALSE)))</f>
        <v/>
      </c>
      <c r="O442" s="38" t="str">
        <f>IF(OR(J442="",G442=""),"",J442*VLOOKUP(G442,SETUP_RATES!$A:$H,6,FALSE))</f>
        <v/>
      </c>
      <c r="P442" s="38" t="str">
        <f t="shared" si="1"/>
        <v/>
      </c>
      <c r="Q442" s="33" t="str">
        <f t="shared" si="2"/>
        <v/>
      </c>
    </row>
    <row r="443" ht="15.75" customHeight="1">
      <c r="B443" s="39"/>
      <c r="H443" s="39"/>
      <c r="I443" s="40"/>
      <c r="L443" s="33"/>
      <c r="M443" s="38"/>
      <c r="N443" s="38" t="str">
        <f>IF(OR(F443="",G443=""),"",MAX(F443*VLOOKUP(G443,SETUP_RATES!$A:$H,3,FALSE),VLOOKUP(G443,SETUP_RATES!$A:$H,2,FALSE)))</f>
        <v/>
      </c>
      <c r="O443" s="38" t="str">
        <f>IF(OR(J443="",G443=""),"",J443*VLOOKUP(G443,SETUP_RATES!$A:$H,6,FALSE))</f>
        <v/>
      </c>
      <c r="P443" s="38" t="str">
        <f t="shared" si="1"/>
        <v/>
      </c>
      <c r="Q443" s="33" t="str">
        <f t="shared" si="2"/>
        <v/>
      </c>
    </row>
    <row r="444" ht="15.75" customHeight="1">
      <c r="B444" s="39"/>
      <c r="H444" s="39"/>
      <c r="I444" s="40"/>
      <c r="L444" s="33"/>
      <c r="M444" s="38"/>
      <c r="N444" s="38" t="str">
        <f>IF(OR(F444="",G444=""),"",MAX(F444*VLOOKUP(G444,SETUP_RATES!$A:$H,3,FALSE),VLOOKUP(G444,SETUP_RATES!$A:$H,2,FALSE)))</f>
        <v/>
      </c>
      <c r="O444" s="38" t="str">
        <f>IF(OR(J444="",G444=""),"",J444*VLOOKUP(G444,SETUP_RATES!$A:$H,6,FALSE))</f>
        <v/>
      </c>
      <c r="P444" s="38" t="str">
        <f t="shared" si="1"/>
        <v/>
      </c>
      <c r="Q444" s="33" t="str">
        <f t="shared" si="2"/>
        <v/>
      </c>
    </row>
    <row r="445" ht="15.75" customHeight="1">
      <c r="B445" s="39"/>
      <c r="H445" s="39"/>
      <c r="I445" s="40"/>
      <c r="L445" s="33"/>
      <c r="M445" s="38"/>
      <c r="N445" s="38" t="str">
        <f>IF(OR(F445="",G445=""),"",MAX(F445*VLOOKUP(G445,SETUP_RATES!$A:$H,3,FALSE),VLOOKUP(G445,SETUP_RATES!$A:$H,2,FALSE)))</f>
        <v/>
      </c>
      <c r="O445" s="38" t="str">
        <f>IF(OR(J445="",G445=""),"",J445*VLOOKUP(G445,SETUP_RATES!$A:$H,6,FALSE))</f>
        <v/>
      </c>
      <c r="P445" s="38" t="str">
        <f t="shared" si="1"/>
        <v/>
      </c>
      <c r="Q445" s="33" t="str">
        <f t="shared" si="2"/>
        <v/>
      </c>
    </row>
    <row r="446" ht="15.75" customHeight="1">
      <c r="B446" s="39"/>
      <c r="H446" s="39"/>
      <c r="I446" s="40"/>
      <c r="L446" s="33"/>
      <c r="M446" s="38"/>
      <c r="N446" s="38" t="str">
        <f>IF(OR(F446="",G446=""),"",MAX(F446*VLOOKUP(G446,SETUP_RATES!$A:$H,3,FALSE),VLOOKUP(G446,SETUP_RATES!$A:$H,2,FALSE)))</f>
        <v/>
      </c>
      <c r="O446" s="38" t="str">
        <f>IF(OR(J446="",G446=""),"",J446*VLOOKUP(G446,SETUP_RATES!$A:$H,6,FALSE))</f>
        <v/>
      </c>
      <c r="P446" s="38" t="str">
        <f t="shared" si="1"/>
        <v/>
      </c>
      <c r="Q446" s="33" t="str">
        <f t="shared" si="2"/>
        <v/>
      </c>
    </row>
    <row r="447" ht="15.75" customHeight="1">
      <c r="B447" s="39"/>
      <c r="H447" s="39"/>
      <c r="I447" s="40"/>
      <c r="L447" s="33"/>
      <c r="M447" s="38"/>
      <c r="N447" s="38" t="str">
        <f>IF(OR(F447="",G447=""),"",MAX(F447*VLOOKUP(G447,SETUP_RATES!$A:$H,3,FALSE),VLOOKUP(G447,SETUP_RATES!$A:$H,2,FALSE)))</f>
        <v/>
      </c>
      <c r="O447" s="38" t="str">
        <f>IF(OR(J447="",G447=""),"",J447*VLOOKUP(G447,SETUP_RATES!$A:$H,6,FALSE))</f>
        <v/>
      </c>
      <c r="P447" s="38" t="str">
        <f t="shared" si="1"/>
        <v/>
      </c>
      <c r="Q447" s="33" t="str">
        <f t="shared" si="2"/>
        <v/>
      </c>
    </row>
    <row r="448" ht="15.75" customHeight="1">
      <c r="B448" s="39"/>
      <c r="H448" s="39"/>
      <c r="I448" s="40"/>
      <c r="L448" s="33"/>
      <c r="M448" s="38"/>
      <c r="N448" s="38" t="str">
        <f>IF(OR(F448="",G448=""),"",MAX(F448*VLOOKUP(G448,SETUP_RATES!$A:$H,3,FALSE),VLOOKUP(G448,SETUP_RATES!$A:$H,2,FALSE)))</f>
        <v/>
      </c>
      <c r="O448" s="38" t="str">
        <f>IF(OR(J448="",G448=""),"",J448*VLOOKUP(G448,SETUP_RATES!$A:$H,6,FALSE))</f>
        <v/>
      </c>
      <c r="P448" s="38" t="str">
        <f t="shared" si="1"/>
        <v/>
      </c>
      <c r="Q448" s="33" t="str">
        <f t="shared" si="2"/>
        <v/>
      </c>
    </row>
    <row r="449" ht="15.75" customHeight="1">
      <c r="B449" s="39"/>
      <c r="H449" s="39"/>
      <c r="I449" s="40"/>
      <c r="L449" s="33"/>
      <c r="M449" s="38"/>
      <c r="N449" s="38" t="str">
        <f>IF(OR(F449="",G449=""),"",MAX(F449*VLOOKUP(G449,SETUP_RATES!$A:$H,3,FALSE),VLOOKUP(G449,SETUP_RATES!$A:$H,2,FALSE)))</f>
        <v/>
      </c>
      <c r="O449" s="38" t="str">
        <f>IF(OR(J449="",G449=""),"",J449*VLOOKUP(G449,SETUP_RATES!$A:$H,6,FALSE))</f>
        <v/>
      </c>
      <c r="P449" s="38" t="str">
        <f t="shared" si="1"/>
        <v/>
      </c>
      <c r="Q449" s="33" t="str">
        <f t="shared" si="2"/>
        <v/>
      </c>
    </row>
    <row r="450" ht="15.75" customHeight="1">
      <c r="B450" s="39"/>
      <c r="H450" s="39"/>
      <c r="I450" s="40"/>
      <c r="L450" s="33"/>
      <c r="M450" s="38"/>
      <c r="N450" s="38" t="str">
        <f>IF(OR(F450="",G450=""),"",MAX(F450*VLOOKUP(G450,SETUP_RATES!$A:$H,3,FALSE),VLOOKUP(G450,SETUP_RATES!$A:$H,2,FALSE)))</f>
        <v/>
      </c>
      <c r="O450" s="38" t="str">
        <f>IF(OR(J450="",G450=""),"",J450*VLOOKUP(G450,SETUP_RATES!$A:$H,6,FALSE))</f>
        <v/>
      </c>
      <c r="P450" s="38" t="str">
        <f t="shared" si="1"/>
        <v/>
      </c>
      <c r="Q450" s="33" t="str">
        <f t="shared" si="2"/>
        <v/>
      </c>
    </row>
    <row r="451" ht="15.75" customHeight="1">
      <c r="B451" s="39"/>
      <c r="H451" s="39"/>
      <c r="I451" s="40"/>
      <c r="L451" s="33"/>
      <c r="M451" s="38"/>
      <c r="N451" s="38" t="str">
        <f>IF(OR(F451="",G451=""),"",MAX(F451*VLOOKUP(G451,SETUP_RATES!$A:$H,3,FALSE),VLOOKUP(G451,SETUP_RATES!$A:$H,2,FALSE)))</f>
        <v/>
      </c>
      <c r="O451" s="38" t="str">
        <f>IF(OR(J451="",G451=""),"",J451*VLOOKUP(G451,SETUP_RATES!$A:$H,6,FALSE))</f>
        <v/>
      </c>
      <c r="P451" s="38" t="str">
        <f t="shared" si="1"/>
        <v/>
      </c>
      <c r="Q451" s="33" t="str">
        <f t="shared" si="2"/>
        <v/>
      </c>
    </row>
    <row r="452" ht="15.75" customHeight="1">
      <c r="B452" s="39"/>
      <c r="H452" s="39"/>
      <c r="I452" s="40"/>
      <c r="L452" s="33"/>
      <c r="M452" s="38"/>
      <c r="N452" s="38" t="str">
        <f>IF(OR(F452="",G452=""),"",MAX(F452*VLOOKUP(G452,SETUP_RATES!$A:$H,3,FALSE),VLOOKUP(G452,SETUP_RATES!$A:$H,2,FALSE)))</f>
        <v/>
      </c>
      <c r="O452" s="38" t="str">
        <f>IF(OR(J452="",G452=""),"",J452*VLOOKUP(G452,SETUP_RATES!$A:$H,6,FALSE))</f>
        <v/>
      </c>
      <c r="P452" s="38" t="str">
        <f t="shared" si="1"/>
        <v/>
      </c>
      <c r="Q452" s="33" t="str">
        <f t="shared" si="2"/>
        <v/>
      </c>
    </row>
    <row r="453" ht="15.75" customHeight="1">
      <c r="B453" s="39"/>
      <c r="H453" s="39"/>
      <c r="I453" s="40"/>
      <c r="L453" s="33"/>
      <c r="M453" s="38"/>
      <c r="N453" s="38" t="str">
        <f>IF(OR(F453="",G453=""),"",MAX(F453*VLOOKUP(G453,SETUP_RATES!$A:$H,3,FALSE),VLOOKUP(G453,SETUP_RATES!$A:$H,2,FALSE)))</f>
        <v/>
      </c>
      <c r="O453" s="38" t="str">
        <f>IF(OR(J453="",G453=""),"",J453*VLOOKUP(G453,SETUP_RATES!$A:$H,6,FALSE))</f>
        <v/>
      </c>
      <c r="P453" s="38" t="str">
        <f t="shared" si="1"/>
        <v/>
      </c>
      <c r="Q453" s="33" t="str">
        <f t="shared" si="2"/>
        <v/>
      </c>
    </row>
    <row r="454" ht="15.75" customHeight="1">
      <c r="B454" s="39"/>
      <c r="H454" s="39"/>
      <c r="I454" s="40"/>
      <c r="L454" s="33"/>
      <c r="M454" s="38"/>
      <c r="N454" s="38" t="str">
        <f>IF(OR(F454="",G454=""),"",MAX(F454*VLOOKUP(G454,SETUP_RATES!$A:$H,3,FALSE),VLOOKUP(G454,SETUP_RATES!$A:$H,2,FALSE)))</f>
        <v/>
      </c>
      <c r="O454" s="38" t="str">
        <f>IF(OR(J454="",G454=""),"",J454*VLOOKUP(G454,SETUP_RATES!$A:$H,6,FALSE))</f>
        <v/>
      </c>
      <c r="P454" s="38" t="str">
        <f t="shared" si="1"/>
        <v/>
      </c>
      <c r="Q454" s="33" t="str">
        <f t="shared" si="2"/>
        <v/>
      </c>
    </row>
    <row r="455" ht="15.75" customHeight="1">
      <c r="B455" s="39"/>
      <c r="H455" s="39"/>
      <c r="I455" s="40"/>
      <c r="L455" s="33"/>
      <c r="M455" s="38"/>
      <c r="N455" s="38" t="str">
        <f>IF(OR(F455="",G455=""),"",MAX(F455*VLOOKUP(G455,SETUP_RATES!$A:$H,3,FALSE),VLOOKUP(G455,SETUP_RATES!$A:$H,2,FALSE)))</f>
        <v/>
      </c>
      <c r="O455" s="38" t="str">
        <f>IF(OR(J455="",G455=""),"",J455*VLOOKUP(G455,SETUP_RATES!$A:$H,6,FALSE))</f>
        <v/>
      </c>
      <c r="P455" s="38" t="str">
        <f t="shared" si="1"/>
        <v/>
      </c>
      <c r="Q455" s="33" t="str">
        <f t="shared" si="2"/>
        <v/>
      </c>
    </row>
    <row r="456" ht="15.75" customHeight="1">
      <c r="B456" s="39"/>
      <c r="H456" s="39"/>
      <c r="I456" s="40"/>
      <c r="L456" s="33"/>
      <c r="M456" s="38"/>
      <c r="N456" s="38" t="str">
        <f>IF(OR(F456="",G456=""),"",MAX(F456*VLOOKUP(G456,SETUP_RATES!$A:$H,3,FALSE),VLOOKUP(G456,SETUP_RATES!$A:$H,2,FALSE)))</f>
        <v/>
      </c>
      <c r="O456" s="38" t="str">
        <f>IF(OR(J456="",G456=""),"",J456*VLOOKUP(G456,SETUP_RATES!$A:$H,6,FALSE))</f>
        <v/>
      </c>
      <c r="P456" s="38" t="str">
        <f t="shared" si="1"/>
        <v/>
      </c>
      <c r="Q456" s="33" t="str">
        <f t="shared" si="2"/>
        <v/>
      </c>
    </row>
    <row r="457" ht="15.75" customHeight="1">
      <c r="B457" s="39"/>
      <c r="H457" s="39"/>
      <c r="I457" s="40"/>
      <c r="L457" s="33"/>
      <c r="M457" s="38"/>
      <c r="N457" s="38" t="str">
        <f>IF(OR(F457="",G457=""),"",MAX(F457*VLOOKUP(G457,SETUP_RATES!$A:$H,3,FALSE),VLOOKUP(G457,SETUP_RATES!$A:$H,2,FALSE)))</f>
        <v/>
      </c>
      <c r="O457" s="38" t="str">
        <f>IF(OR(J457="",G457=""),"",J457*VLOOKUP(G457,SETUP_RATES!$A:$H,6,FALSE))</f>
        <v/>
      </c>
      <c r="P457" s="38" t="str">
        <f t="shared" si="1"/>
        <v/>
      </c>
      <c r="Q457" s="33" t="str">
        <f t="shared" si="2"/>
        <v/>
      </c>
    </row>
    <row r="458" ht="15.75" customHeight="1">
      <c r="B458" s="39"/>
      <c r="H458" s="39"/>
      <c r="I458" s="40"/>
      <c r="L458" s="33"/>
      <c r="M458" s="38"/>
      <c r="N458" s="38" t="str">
        <f>IF(OR(F458="",G458=""),"",MAX(F458*VLOOKUP(G458,SETUP_RATES!$A:$H,3,FALSE),VLOOKUP(G458,SETUP_RATES!$A:$H,2,FALSE)))</f>
        <v/>
      </c>
      <c r="O458" s="38" t="str">
        <f>IF(OR(J458="",G458=""),"",J458*VLOOKUP(G458,SETUP_RATES!$A:$H,6,FALSE))</f>
        <v/>
      </c>
      <c r="P458" s="38" t="str">
        <f t="shared" si="1"/>
        <v/>
      </c>
      <c r="Q458" s="33" t="str">
        <f t="shared" si="2"/>
        <v/>
      </c>
    </row>
    <row r="459" ht="15.75" customHeight="1">
      <c r="B459" s="39"/>
      <c r="H459" s="39"/>
      <c r="I459" s="40"/>
      <c r="L459" s="33"/>
      <c r="M459" s="38"/>
      <c r="N459" s="38" t="str">
        <f>IF(OR(F459="",G459=""),"",MAX(F459*VLOOKUP(G459,SETUP_RATES!$A:$H,3,FALSE),VLOOKUP(G459,SETUP_RATES!$A:$H,2,FALSE)))</f>
        <v/>
      </c>
      <c r="O459" s="38" t="str">
        <f>IF(OR(J459="",G459=""),"",J459*VLOOKUP(G459,SETUP_RATES!$A:$H,6,FALSE))</f>
        <v/>
      </c>
      <c r="P459" s="38" t="str">
        <f t="shared" si="1"/>
        <v/>
      </c>
      <c r="Q459" s="33" t="str">
        <f t="shared" si="2"/>
        <v/>
      </c>
    </row>
    <row r="460" ht="15.75" customHeight="1">
      <c r="B460" s="39"/>
      <c r="H460" s="39"/>
      <c r="I460" s="40"/>
      <c r="L460" s="33"/>
      <c r="M460" s="38"/>
      <c r="N460" s="38" t="str">
        <f>IF(OR(F460="",G460=""),"",MAX(F460*VLOOKUP(G460,SETUP_RATES!$A:$H,3,FALSE),VLOOKUP(G460,SETUP_RATES!$A:$H,2,FALSE)))</f>
        <v/>
      </c>
      <c r="O460" s="38" t="str">
        <f>IF(OR(J460="",G460=""),"",J460*VLOOKUP(G460,SETUP_RATES!$A:$H,6,FALSE))</f>
        <v/>
      </c>
      <c r="P460" s="38" t="str">
        <f t="shared" si="1"/>
        <v/>
      </c>
      <c r="Q460" s="33" t="str">
        <f t="shared" si="2"/>
        <v/>
      </c>
    </row>
    <row r="461" ht="15.75" customHeight="1">
      <c r="B461" s="39"/>
      <c r="H461" s="39"/>
      <c r="I461" s="40"/>
      <c r="L461" s="33"/>
      <c r="M461" s="38"/>
      <c r="N461" s="38" t="str">
        <f>IF(OR(F461="",G461=""),"",MAX(F461*VLOOKUP(G461,SETUP_RATES!$A:$H,3,FALSE),VLOOKUP(G461,SETUP_RATES!$A:$H,2,FALSE)))</f>
        <v/>
      </c>
      <c r="O461" s="38" t="str">
        <f>IF(OR(J461="",G461=""),"",J461*VLOOKUP(G461,SETUP_RATES!$A:$H,6,FALSE))</f>
        <v/>
      </c>
      <c r="P461" s="38" t="str">
        <f t="shared" si="1"/>
        <v/>
      </c>
      <c r="Q461" s="33" t="str">
        <f t="shared" si="2"/>
        <v/>
      </c>
    </row>
    <row r="462" ht="15.75" customHeight="1">
      <c r="B462" s="39"/>
      <c r="H462" s="39"/>
      <c r="I462" s="40"/>
      <c r="L462" s="33"/>
      <c r="M462" s="38"/>
      <c r="N462" s="38" t="str">
        <f>IF(OR(F462="",G462=""),"",MAX(F462*VLOOKUP(G462,SETUP_RATES!$A:$H,3,FALSE),VLOOKUP(G462,SETUP_RATES!$A:$H,2,FALSE)))</f>
        <v/>
      </c>
      <c r="O462" s="38" t="str">
        <f>IF(OR(J462="",G462=""),"",J462*VLOOKUP(G462,SETUP_RATES!$A:$H,6,FALSE))</f>
        <v/>
      </c>
      <c r="P462" s="38" t="str">
        <f t="shared" si="1"/>
        <v/>
      </c>
      <c r="Q462" s="33" t="str">
        <f t="shared" si="2"/>
        <v/>
      </c>
    </row>
    <row r="463" ht="15.75" customHeight="1">
      <c r="B463" s="39"/>
      <c r="H463" s="39"/>
      <c r="I463" s="40"/>
      <c r="L463" s="33"/>
      <c r="M463" s="38"/>
      <c r="N463" s="38" t="str">
        <f>IF(OR(F463="",G463=""),"",MAX(F463*VLOOKUP(G463,SETUP_RATES!$A:$H,3,FALSE),VLOOKUP(G463,SETUP_RATES!$A:$H,2,FALSE)))</f>
        <v/>
      </c>
      <c r="O463" s="38" t="str">
        <f>IF(OR(J463="",G463=""),"",J463*VLOOKUP(G463,SETUP_RATES!$A:$H,6,FALSE))</f>
        <v/>
      </c>
      <c r="P463" s="38" t="str">
        <f t="shared" si="1"/>
        <v/>
      </c>
      <c r="Q463" s="33" t="str">
        <f t="shared" si="2"/>
        <v/>
      </c>
    </row>
    <row r="464" ht="15.75" customHeight="1">
      <c r="B464" s="39"/>
      <c r="H464" s="39"/>
      <c r="I464" s="40"/>
      <c r="L464" s="33"/>
      <c r="M464" s="38"/>
      <c r="N464" s="38" t="str">
        <f>IF(OR(F464="",G464=""),"",MAX(F464*VLOOKUP(G464,SETUP_RATES!$A:$H,3,FALSE),VLOOKUP(G464,SETUP_RATES!$A:$H,2,FALSE)))</f>
        <v/>
      </c>
      <c r="O464" s="38" t="str">
        <f>IF(OR(J464="",G464=""),"",J464*VLOOKUP(G464,SETUP_RATES!$A:$H,6,FALSE))</f>
        <v/>
      </c>
      <c r="P464" s="38" t="str">
        <f t="shared" si="1"/>
        <v/>
      </c>
      <c r="Q464" s="33" t="str">
        <f t="shared" si="2"/>
        <v/>
      </c>
    </row>
    <row r="465" ht="15.75" customHeight="1">
      <c r="B465" s="39"/>
      <c r="H465" s="39"/>
      <c r="I465" s="40"/>
      <c r="L465" s="33"/>
      <c r="M465" s="38"/>
      <c r="N465" s="38" t="str">
        <f>IF(OR(F465="",G465=""),"",MAX(F465*VLOOKUP(G465,SETUP_RATES!$A:$H,3,FALSE),VLOOKUP(G465,SETUP_RATES!$A:$H,2,FALSE)))</f>
        <v/>
      </c>
      <c r="O465" s="38" t="str">
        <f>IF(OR(J465="",G465=""),"",J465*VLOOKUP(G465,SETUP_RATES!$A:$H,6,FALSE))</f>
        <v/>
      </c>
      <c r="P465" s="38" t="str">
        <f t="shared" si="1"/>
        <v/>
      </c>
      <c r="Q465" s="33" t="str">
        <f t="shared" si="2"/>
        <v/>
      </c>
    </row>
    <row r="466" ht="15.75" customHeight="1">
      <c r="B466" s="39"/>
      <c r="H466" s="39"/>
      <c r="I466" s="40"/>
      <c r="L466" s="33"/>
      <c r="M466" s="38"/>
      <c r="N466" s="38" t="str">
        <f>IF(OR(F466="",G466=""),"",MAX(F466*VLOOKUP(G466,SETUP_RATES!$A:$H,3,FALSE),VLOOKUP(G466,SETUP_RATES!$A:$H,2,FALSE)))</f>
        <v/>
      </c>
      <c r="O466" s="38" t="str">
        <f>IF(OR(J466="",G466=""),"",J466*VLOOKUP(G466,SETUP_RATES!$A:$H,6,FALSE))</f>
        <v/>
      </c>
      <c r="P466" s="38" t="str">
        <f t="shared" si="1"/>
        <v/>
      </c>
      <c r="Q466" s="33" t="str">
        <f t="shared" si="2"/>
        <v/>
      </c>
    </row>
    <row r="467" ht="15.75" customHeight="1">
      <c r="B467" s="39"/>
      <c r="H467" s="39"/>
      <c r="I467" s="40"/>
      <c r="L467" s="33"/>
      <c r="M467" s="38"/>
      <c r="N467" s="38" t="str">
        <f>IF(OR(F467="",G467=""),"",MAX(F467*VLOOKUP(G467,SETUP_RATES!$A:$H,3,FALSE),VLOOKUP(G467,SETUP_RATES!$A:$H,2,FALSE)))</f>
        <v/>
      </c>
      <c r="O467" s="38" t="str">
        <f>IF(OR(J467="",G467=""),"",J467*VLOOKUP(G467,SETUP_RATES!$A:$H,6,FALSE))</f>
        <v/>
      </c>
      <c r="P467" s="38" t="str">
        <f t="shared" si="1"/>
        <v/>
      </c>
      <c r="Q467" s="33" t="str">
        <f t="shared" si="2"/>
        <v/>
      </c>
    </row>
    <row r="468" ht="15.75" customHeight="1">
      <c r="B468" s="39"/>
      <c r="H468" s="39"/>
      <c r="I468" s="40"/>
      <c r="L468" s="33"/>
      <c r="M468" s="38"/>
      <c r="N468" s="38" t="str">
        <f>IF(OR(F468="",G468=""),"",MAX(F468*VLOOKUP(G468,SETUP_RATES!$A:$H,3,FALSE),VLOOKUP(G468,SETUP_RATES!$A:$H,2,FALSE)))</f>
        <v/>
      </c>
      <c r="O468" s="38" t="str">
        <f>IF(OR(J468="",G468=""),"",J468*VLOOKUP(G468,SETUP_RATES!$A:$H,6,FALSE))</f>
        <v/>
      </c>
      <c r="P468" s="38" t="str">
        <f t="shared" si="1"/>
        <v/>
      </c>
      <c r="Q468" s="33" t="str">
        <f t="shared" si="2"/>
        <v/>
      </c>
    </row>
    <row r="469" ht="15.75" customHeight="1">
      <c r="B469" s="39"/>
      <c r="H469" s="39"/>
      <c r="I469" s="40"/>
      <c r="L469" s="33"/>
      <c r="M469" s="38"/>
      <c r="N469" s="38" t="str">
        <f>IF(OR(F469="",G469=""),"",MAX(F469*VLOOKUP(G469,SETUP_RATES!$A:$H,3,FALSE),VLOOKUP(G469,SETUP_RATES!$A:$H,2,FALSE)))</f>
        <v/>
      </c>
      <c r="O469" s="38" t="str">
        <f>IF(OR(J469="",G469=""),"",J469*VLOOKUP(G469,SETUP_RATES!$A:$H,6,FALSE))</f>
        <v/>
      </c>
      <c r="P469" s="38" t="str">
        <f t="shared" si="1"/>
        <v/>
      </c>
      <c r="Q469" s="33" t="str">
        <f t="shared" si="2"/>
        <v/>
      </c>
    </row>
    <row r="470" ht="15.75" customHeight="1">
      <c r="B470" s="39"/>
      <c r="H470" s="39"/>
      <c r="I470" s="40"/>
      <c r="L470" s="33"/>
      <c r="M470" s="38"/>
      <c r="N470" s="38" t="str">
        <f>IF(OR(F470="",G470=""),"",MAX(F470*VLOOKUP(G470,SETUP_RATES!$A:$H,3,FALSE),VLOOKUP(G470,SETUP_RATES!$A:$H,2,FALSE)))</f>
        <v/>
      </c>
      <c r="O470" s="38" t="str">
        <f>IF(OR(J470="",G470=""),"",J470*VLOOKUP(G470,SETUP_RATES!$A:$H,6,FALSE))</f>
        <v/>
      </c>
      <c r="P470" s="38" t="str">
        <f t="shared" si="1"/>
        <v/>
      </c>
      <c r="Q470" s="33" t="str">
        <f t="shared" si="2"/>
        <v/>
      </c>
    </row>
    <row r="471" ht="15.75" customHeight="1">
      <c r="B471" s="39"/>
      <c r="H471" s="39"/>
      <c r="I471" s="40"/>
      <c r="L471" s="33"/>
      <c r="M471" s="38"/>
      <c r="N471" s="38" t="str">
        <f>IF(OR(F471="",G471=""),"",MAX(F471*VLOOKUP(G471,SETUP_RATES!$A:$H,3,FALSE),VLOOKUP(G471,SETUP_RATES!$A:$H,2,FALSE)))</f>
        <v/>
      </c>
      <c r="O471" s="38" t="str">
        <f>IF(OR(J471="",G471=""),"",J471*VLOOKUP(G471,SETUP_RATES!$A:$H,6,FALSE))</f>
        <v/>
      </c>
      <c r="P471" s="38" t="str">
        <f t="shared" si="1"/>
        <v/>
      </c>
      <c r="Q471" s="33" t="str">
        <f t="shared" si="2"/>
        <v/>
      </c>
    </row>
    <row r="472" ht="15.75" customHeight="1">
      <c r="B472" s="39"/>
      <c r="H472" s="39"/>
      <c r="I472" s="40"/>
      <c r="L472" s="33"/>
      <c r="M472" s="38"/>
      <c r="N472" s="38" t="str">
        <f>IF(OR(F472="",G472=""),"",MAX(F472*VLOOKUP(G472,SETUP_RATES!$A:$H,3,FALSE),VLOOKUP(G472,SETUP_RATES!$A:$H,2,FALSE)))</f>
        <v/>
      </c>
      <c r="O472" s="38" t="str">
        <f>IF(OR(J472="",G472=""),"",J472*VLOOKUP(G472,SETUP_RATES!$A:$H,6,FALSE))</f>
        <v/>
      </c>
      <c r="P472" s="38" t="str">
        <f t="shared" si="1"/>
        <v/>
      </c>
      <c r="Q472" s="33" t="str">
        <f t="shared" si="2"/>
        <v/>
      </c>
    </row>
    <row r="473" ht="15.75" customHeight="1">
      <c r="B473" s="39"/>
      <c r="H473" s="39"/>
      <c r="I473" s="40"/>
      <c r="L473" s="33"/>
      <c r="M473" s="38"/>
      <c r="N473" s="38" t="str">
        <f>IF(OR(F473="",G473=""),"",MAX(F473*VLOOKUP(G473,SETUP_RATES!$A:$H,3,FALSE),VLOOKUP(G473,SETUP_RATES!$A:$H,2,FALSE)))</f>
        <v/>
      </c>
      <c r="O473" s="38" t="str">
        <f>IF(OR(J473="",G473=""),"",J473*VLOOKUP(G473,SETUP_RATES!$A:$H,6,FALSE))</f>
        <v/>
      </c>
      <c r="P473" s="38" t="str">
        <f t="shared" si="1"/>
        <v/>
      </c>
      <c r="Q473" s="33" t="str">
        <f t="shared" si="2"/>
        <v/>
      </c>
    </row>
    <row r="474" ht="15.75" customHeight="1">
      <c r="B474" s="39"/>
      <c r="H474" s="39"/>
      <c r="I474" s="40"/>
      <c r="L474" s="33"/>
      <c r="M474" s="38"/>
      <c r="N474" s="38" t="str">
        <f>IF(OR(F474="",G474=""),"",MAX(F474*VLOOKUP(G474,SETUP_RATES!$A:$H,3,FALSE),VLOOKUP(G474,SETUP_RATES!$A:$H,2,FALSE)))</f>
        <v/>
      </c>
      <c r="O474" s="38" t="str">
        <f>IF(OR(J474="",G474=""),"",J474*VLOOKUP(G474,SETUP_RATES!$A:$H,6,FALSE))</f>
        <v/>
      </c>
      <c r="P474" s="38" t="str">
        <f t="shared" si="1"/>
        <v/>
      </c>
      <c r="Q474" s="33" t="str">
        <f t="shared" si="2"/>
        <v/>
      </c>
    </row>
    <row r="475" ht="15.75" customHeight="1">
      <c r="B475" s="39"/>
      <c r="H475" s="39"/>
      <c r="I475" s="40"/>
      <c r="L475" s="33"/>
      <c r="M475" s="38"/>
      <c r="N475" s="38" t="str">
        <f>IF(OR(F475="",G475=""),"",MAX(F475*VLOOKUP(G475,SETUP_RATES!$A:$H,3,FALSE),VLOOKUP(G475,SETUP_RATES!$A:$H,2,FALSE)))</f>
        <v/>
      </c>
      <c r="O475" s="38" t="str">
        <f>IF(OR(J475="",G475=""),"",J475*VLOOKUP(G475,SETUP_RATES!$A:$H,6,FALSE))</f>
        <v/>
      </c>
      <c r="P475" s="38" t="str">
        <f t="shared" si="1"/>
        <v/>
      </c>
      <c r="Q475" s="33" t="str">
        <f t="shared" si="2"/>
        <v/>
      </c>
    </row>
    <row r="476" ht="15.75" customHeight="1">
      <c r="B476" s="39"/>
      <c r="H476" s="39"/>
      <c r="I476" s="40"/>
      <c r="L476" s="33"/>
      <c r="M476" s="38"/>
      <c r="N476" s="38" t="str">
        <f>IF(OR(F476="",G476=""),"",MAX(F476*VLOOKUP(G476,SETUP_RATES!$A:$H,3,FALSE),VLOOKUP(G476,SETUP_RATES!$A:$H,2,FALSE)))</f>
        <v/>
      </c>
      <c r="O476" s="38" t="str">
        <f>IF(OR(J476="",G476=""),"",J476*VLOOKUP(G476,SETUP_RATES!$A:$H,6,FALSE))</f>
        <v/>
      </c>
      <c r="P476" s="38" t="str">
        <f t="shared" si="1"/>
        <v/>
      </c>
      <c r="Q476" s="33" t="str">
        <f t="shared" si="2"/>
        <v/>
      </c>
    </row>
    <row r="477" ht="15.75" customHeight="1">
      <c r="B477" s="39"/>
      <c r="H477" s="39"/>
      <c r="I477" s="40"/>
      <c r="L477" s="33"/>
      <c r="M477" s="38"/>
      <c r="N477" s="38" t="str">
        <f>IF(OR(F477="",G477=""),"",MAX(F477*VLOOKUP(G477,SETUP_RATES!$A:$H,3,FALSE),VLOOKUP(G477,SETUP_RATES!$A:$H,2,FALSE)))</f>
        <v/>
      </c>
      <c r="O477" s="38" t="str">
        <f>IF(OR(J477="",G477=""),"",J477*VLOOKUP(G477,SETUP_RATES!$A:$H,6,FALSE))</f>
        <v/>
      </c>
      <c r="P477" s="38" t="str">
        <f t="shared" si="1"/>
        <v/>
      </c>
      <c r="Q477" s="33" t="str">
        <f t="shared" si="2"/>
        <v/>
      </c>
    </row>
    <row r="478" ht="15.75" customHeight="1">
      <c r="B478" s="39"/>
      <c r="H478" s="39"/>
      <c r="I478" s="40"/>
      <c r="L478" s="33"/>
      <c r="M478" s="38"/>
      <c r="N478" s="38" t="str">
        <f>IF(OR(F478="",G478=""),"",MAX(F478*VLOOKUP(G478,SETUP_RATES!$A:$H,3,FALSE),VLOOKUP(G478,SETUP_RATES!$A:$H,2,FALSE)))</f>
        <v/>
      </c>
      <c r="O478" s="38" t="str">
        <f>IF(OR(J478="",G478=""),"",J478*VLOOKUP(G478,SETUP_RATES!$A:$H,6,FALSE))</f>
        <v/>
      </c>
      <c r="P478" s="38" t="str">
        <f t="shared" si="1"/>
        <v/>
      </c>
      <c r="Q478" s="33" t="str">
        <f t="shared" si="2"/>
        <v/>
      </c>
    </row>
    <row r="479" ht="15.75" customHeight="1">
      <c r="B479" s="39"/>
      <c r="H479" s="39"/>
      <c r="I479" s="40"/>
      <c r="L479" s="33"/>
      <c r="M479" s="38"/>
      <c r="N479" s="38" t="str">
        <f>IF(OR(F479="",G479=""),"",MAX(F479*VLOOKUP(G479,SETUP_RATES!$A:$H,3,FALSE),VLOOKUP(G479,SETUP_RATES!$A:$H,2,FALSE)))</f>
        <v/>
      </c>
      <c r="O479" s="38" t="str">
        <f>IF(OR(J479="",G479=""),"",J479*VLOOKUP(G479,SETUP_RATES!$A:$H,6,FALSE))</f>
        <v/>
      </c>
      <c r="P479" s="38" t="str">
        <f t="shared" si="1"/>
        <v/>
      </c>
      <c r="Q479" s="33" t="str">
        <f t="shared" si="2"/>
        <v/>
      </c>
    </row>
    <row r="480" ht="15.75" customHeight="1">
      <c r="B480" s="39"/>
      <c r="H480" s="39"/>
      <c r="I480" s="40"/>
      <c r="L480" s="33"/>
      <c r="M480" s="38"/>
      <c r="N480" s="38" t="str">
        <f>IF(OR(F480="",G480=""),"",MAX(F480*VLOOKUP(G480,SETUP_RATES!$A:$H,3,FALSE),VLOOKUP(G480,SETUP_RATES!$A:$H,2,FALSE)))</f>
        <v/>
      </c>
      <c r="O480" s="38" t="str">
        <f>IF(OR(J480="",G480=""),"",J480*VLOOKUP(G480,SETUP_RATES!$A:$H,6,FALSE))</f>
        <v/>
      </c>
      <c r="P480" s="38" t="str">
        <f t="shared" si="1"/>
        <v/>
      </c>
      <c r="Q480" s="33" t="str">
        <f t="shared" si="2"/>
        <v/>
      </c>
    </row>
    <row r="481" ht="15.75" customHeight="1">
      <c r="B481" s="39"/>
      <c r="H481" s="39"/>
      <c r="I481" s="40"/>
      <c r="L481" s="33"/>
      <c r="M481" s="38"/>
      <c r="N481" s="38" t="str">
        <f>IF(OR(F481="",G481=""),"",MAX(F481*VLOOKUP(G481,SETUP_RATES!$A:$H,3,FALSE),VLOOKUP(G481,SETUP_RATES!$A:$H,2,FALSE)))</f>
        <v/>
      </c>
      <c r="O481" s="38" t="str">
        <f>IF(OR(J481="",G481=""),"",J481*VLOOKUP(G481,SETUP_RATES!$A:$H,6,FALSE))</f>
        <v/>
      </c>
      <c r="P481" s="38" t="str">
        <f t="shared" si="1"/>
        <v/>
      </c>
      <c r="Q481" s="33" t="str">
        <f t="shared" si="2"/>
        <v/>
      </c>
    </row>
    <row r="482" ht="15.75" customHeight="1">
      <c r="B482" s="39"/>
      <c r="H482" s="39"/>
      <c r="I482" s="40"/>
      <c r="L482" s="33"/>
      <c r="M482" s="38"/>
      <c r="N482" s="38" t="str">
        <f>IF(OR(F482="",G482=""),"",MAX(F482*VLOOKUP(G482,SETUP_RATES!$A:$H,3,FALSE),VLOOKUP(G482,SETUP_RATES!$A:$H,2,FALSE)))</f>
        <v/>
      </c>
      <c r="O482" s="38" t="str">
        <f>IF(OR(J482="",G482=""),"",J482*VLOOKUP(G482,SETUP_RATES!$A:$H,6,FALSE))</f>
        <v/>
      </c>
      <c r="P482" s="38" t="str">
        <f t="shared" si="1"/>
        <v/>
      </c>
      <c r="Q482" s="33" t="str">
        <f t="shared" si="2"/>
        <v/>
      </c>
    </row>
    <row r="483" ht="15.75" customHeight="1">
      <c r="B483" s="39"/>
      <c r="H483" s="39"/>
      <c r="I483" s="40"/>
      <c r="L483" s="33"/>
      <c r="M483" s="38"/>
      <c r="N483" s="38" t="str">
        <f>IF(OR(F483="",G483=""),"",MAX(F483*VLOOKUP(G483,SETUP_RATES!$A:$H,3,FALSE),VLOOKUP(G483,SETUP_RATES!$A:$H,2,FALSE)))</f>
        <v/>
      </c>
      <c r="O483" s="38" t="str">
        <f>IF(OR(J483="",G483=""),"",J483*VLOOKUP(G483,SETUP_RATES!$A:$H,6,FALSE))</f>
        <v/>
      </c>
      <c r="P483" s="38" t="str">
        <f t="shared" si="1"/>
        <v/>
      </c>
      <c r="Q483" s="33" t="str">
        <f t="shared" si="2"/>
        <v/>
      </c>
    </row>
    <row r="484" ht="15.75" customHeight="1">
      <c r="B484" s="39"/>
      <c r="H484" s="39"/>
      <c r="I484" s="40"/>
      <c r="L484" s="33"/>
      <c r="M484" s="38"/>
      <c r="N484" s="38" t="str">
        <f>IF(OR(F484="",G484=""),"",MAX(F484*VLOOKUP(G484,SETUP_RATES!$A:$H,3,FALSE),VLOOKUP(G484,SETUP_RATES!$A:$H,2,FALSE)))</f>
        <v/>
      </c>
      <c r="O484" s="38" t="str">
        <f>IF(OR(J484="",G484=""),"",J484*VLOOKUP(G484,SETUP_RATES!$A:$H,6,FALSE))</f>
        <v/>
      </c>
      <c r="P484" s="38" t="str">
        <f t="shared" si="1"/>
        <v/>
      </c>
      <c r="Q484" s="33" t="str">
        <f t="shared" si="2"/>
        <v/>
      </c>
    </row>
    <row r="485" ht="15.75" customHeight="1">
      <c r="B485" s="39"/>
      <c r="H485" s="39"/>
      <c r="I485" s="40"/>
      <c r="L485" s="33"/>
      <c r="M485" s="38"/>
      <c r="N485" s="38" t="str">
        <f>IF(OR(F485="",G485=""),"",MAX(F485*VLOOKUP(G485,SETUP_RATES!$A:$H,3,FALSE),VLOOKUP(G485,SETUP_RATES!$A:$H,2,FALSE)))</f>
        <v/>
      </c>
      <c r="O485" s="38" t="str">
        <f>IF(OR(J485="",G485=""),"",J485*VLOOKUP(G485,SETUP_RATES!$A:$H,6,FALSE))</f>
        <v/>
      </c>
      <c r="P485" s="38" t="str">
        <f t="shared" si="1"/>
        <v/>
      </c>
      <c r="Q485" s="33" t="str">
        <f t="shared" si="2"/>
        <v/>
      </c>
    </row>
    <row r="486" ht="15.75" customHeight="1">
      <c r="B486" s="39"/>
      <c r="H486" s="39"/>
      <c r="I486" s="40"/>
      <c r="L486" s="33"/>
      <c r="M486" s="38"/>
      <c r="N486" s="38" t="str">
        <f>IF(OR(F486="",G486=""),"",MAX(F486*VLOOKUP(G486,SETUP_RATES!$A:$H,3,FALSE),VLOOKUP(G486,SETUP_RATES!$A:$H,2,FALSE)))</f>
        <v/>
      </c>
      <c r="O486" s="38" t="str">
        <f>IF(OR(J486="",G486=""),"",J486*VLOOKUP(G486,SETUP_RATES!$A:$H,6,FALSE))</f>
        <v/>
      </c>
      <c r="P486" s="38" t="str">
        <f t="shared" si="1"/>
        <v/>
      </c>
      <c r="Q486" s="33" t="str">
        <f t="shared" si="2"/>
        <v/>
      </c>
    </row>
    <row r="487" ht="15.75" customHeight="1">
      <c r="B487" s="39"/>
      <c r="H487" s="39"/>
      <c r="I487" s="40"/>
      <c r="L487" s="33"/>
      <c r="M487" s="38"/>
      <c r="N487" s="38" t="str">
        <f>IF(OR(F487="",G487=""),"",MAX(F487*VLOOKUP(G487,SETUP_RATES!$A:$H,3,FALSE),VLOOKUP(G487,SETUP_RATES!$A:$H,2,FALSE)))</f>
        <v/>
      </c>
      <c r="O487" s="38" t="str">
        <f>IF(OR(J487="",G487=""),"",J487*VLOOKUP(G487,SETUP_RATES!$A:$H,6,FALSE))</f>
        <v/>
      </c>
      <c r="P487" s="38" t="str">
        <f t="shared" si="1"/>
        <v/>
      </c>
      <c r="Q487" s="33" t="str">
        <f t="shared" si="2"/>
        <v/>
      </c>
    </row>
    <row r="488" ht="15.75" customHeight="1">
      <c r="B488" s="39"/>
      <c r="H488" s="39"/>
      <c r="I488" s="40"/>
      <c r="L488" s="33"/>
      <c r="M488" s="38"/>
      <c r="N488" s="38" t="str">
        <f>IF(OR(F488="",G488=""),"",MAX(F488*VLOOKUP(G488,SETUP_RATES!$A:$H,3,FALSE),VLOOKUP(G488,SETUP_RATES!$A:$H,2,FALSE)))</f>
        <v/>
      </c>
      <c r="O488" s="38" t="str">
        <f>IF(OR(J488="",G488=""),"",J488*VLOOKUP(G488,SETUP_RATES!$A:$H,6,FALSE))</f>
        <v/>
      </c>
      <c r="P488" s="38" t="str">
        <f t="shared" si="1"/>
        <v/>
      </c>
      <c r="Q488" s="33" t="str">
        <f t="shared" si="2"/>
        <v/>
      </c>
    </row>
    <row r="489" ht="15.75" customHeight="1">
      <c r="B489" s="39"/>
      <c r="H489" s="39"/>
      <c r="I489" s="40"/>
      <c r="L489" s="33"/>
      <c r="M489" s="38"/>
      <c r="N489" s="38" t="str">
        <f>IF(OR(F489="",G489=""),"",MAX(F489*VLOOKUP(G489,SETUP_RATES!$A:$H,3,FALSE),VLOOKUP(G489,SETUP_RATES!$A:$H,2,FALSE)))</f>
        <v/>
      </c>
      <c r="O489" s="38" t="str">
        <f>IF(OR(J489="",G489=""),"",J489*VLOOKUP(G489,SETUP_RATES!$A:$H,6,FALSE))</f>
        <v/>
      </c>
      <c r="P489" s="38" t="str">
        <f t="shared" si="1"/>
        <v/>
      </c>
      <c r="Q489" s="33" t="str">
        <f t="shared" si="2"/>
        <v/>
      </c>
    </row>
    <row r="490" ht="15.75" customHeight="1">
      <c r="B490" s="39"/>
      <c r="H490" s="39"/>
      <c r="I490" s="40"/>
      <c r="L490" s="33"/>
      <c r="M490" s="38"/>
      <c r="N490" s="38" t="str">
        <f>IF(OR(F490="",G490=""),"",MAX(F490*VLOOKUP(G490,SETUP_RATES!$A:$H,3,FALSE),VLOOKUP(G490,SETUP_RATES!$A:$H,2,FALSE)))</f>
        <v/>
      </c>
      <c r="O490" s="38" t="str">
        <f>IF(OR(J490="",G490=""),"",J490*VLOOKUP(G490,SETUP_RATES!$A:$H,6,FALSE))</f>
        <v/>
      </c>
      <c r="P490" s="38" t="str">
        <f t="shared" si="1"/>
        <v/>
      </c>
      <c r="Q490" s="33" t="str">
        <f t="shared" si="2"/>
        <v/>
      </c>
    </row>
    <row r="491" ht="15.75" customHeight="1">
      <c r="B491" s="39"/>
      <c r="H491" s="39"/>
      <c r="I491" s="40"/>
      <c r="L491" s="33"/>
      <c r="M491" s="38"/>
      <c r="N491" s="38" t="str">
        <f>IF(OR(F491="",G491=""),"",MAX(F491*VLOOKUP(G491,SETUP_RATES!$A:$H,3,FALSE),VLOOKUP(G491,SETUP_RATES!$A:$H,2,FALSE)))</f>
        <v/>
      </c>
      <c r="O491" s="38" t="str">
        <f>IF(OR(J491="",G491=""),"",J491*VLOOKUP(G491,SETUP_RATES!$A:$H,6,FALSE))</f>
        <v/>
      </c>
      <c r="P491" s="38" t="str">
        <f t="shared" si="1"/>
        <v/>
      </c>
      <c r="Q491" s="33" t="str">
        <f t="shared" si="2"/>
        <v/>
      </c>
    </row>
    <row r="492" ht="15.75" customHeight="1">
      <c r="B492" s="39"/>
      <c r="H492" s="39"/>
      <c r="I492" s="40"/>
      <c r="L492" s="33"/>
      <c r="M492" s="38"/>
      <c r="N492" s="38" t="str">
        <f>IF(OR(F492="",G492=""),"",MAX(F492*VLOOKUP(G492,SETUP_RATES!$A:$H,3,FALSE),VLOOKUP(G492,SETUP_RATES!$A:$H,2,FALSE)))</f>
        <v/>
      </c>
      <c r="O492" s="38" t="str">
        <f>IF(OR(J492="",G492=""),"",J492*VLOOKUP(G492,SETUP_RATES!$A:$H,6,FALSE))</f>
        <v/>
      </c>
      <c r="P492" s="38" t="str">
        <f t="shared" si="1"/>
        <v/>
      </c>
      <c r="Q492" s="33" t="str">
        <f t="shared" si="2"/>
        <v/>
      </c>
    </row>
    <row r="493" ht="15.75" customHeight="1">
      <c r="B493" s="39"/>
      <c r="H493" s="39"/>
      <c r="I493" s="40"/>
      <c r="L493" s="33"/>
      <c r="M493" s="38"/>
      <c r="N493" s="38" t="str">
        <f>IF(OR(F493="",G493=""),"",MAX(F493*VLOOKUP(G493,SETUP_RATES!$A:$H,3,FALSE),VLOOKUP(G493,SETUP_RATES!$A:$H,2,FALSE)))</f>
        <v/>
      </c>
      <c r="O493" s="38" t="str">
        <f>IF(OR(J493="",G493=""),"",J493*VLOOKUP(G493,SETUP_RATES!$A:$H,6,FALSE))</f>
        <v/>
      </c>
      <c r="P493" s="38" t="str">
        <f t="shared" si="1"/>
        <v/>
      </c>
      <c r="Q493" s="33" t="str">
        <f t="shared" si="2"/>
        <v/>
      </c>
    </row>
    <row r="494" ht="15.75" customHeight="1">
      <c r="B494" s="39"/>
      <c r="H494" s="39"/>
      <c r="I494" s="40"/>
      <c r="L494" s="33"/>
      <c r="M494" s="38"/>
      <c r="N494" s="38" t="str">
        <f>IF(OR(F494="",G494=""),"",MAX(F494*VLOOKUP(G494,SETUP_RATES!$A:$H,3,FALSE),VLOOKUP(G494,SETUP_RATES!$A:$H,2,FALSE)))</f>
        <v/>
      </c>
      <c r="O494" s="38" t="str">
        <f>IF(OR(J494="",G494=""),"",J494*VLOOKUP(G494,SETUP_RATES!$A:$H,6,FALSE))</f>
        <v/>
      </c>
      <c r="P494" s="38" t="str">
        <f t="shared" si="1"/>
        <v/>
      </c>
      <c r="Q494" s="33" t="str">
        <f t="shared" si="2"/>
        <v/>
      </c>
    </row>
    <row r="495" ht="15.75" customHeight="1">
      <c r="B495" s="39"/>
      <c r="H495" s="39"/>
      <c r="I495" s="40"/>
      <c r="L495" s="33"/>
      <c r="M495" s="38"/>
      <c r="N495" s="38" t="str">
        <f>IF(OR(F495="",G495=""),"",MAX(F495*VLOOKUP(G495,SETUP_RATES!$A:$H,3,FALSE),VLOOKUP(G495,SETUP_RATES!$A:$H,2,FALSE)))</f>
        <v/>
      </c>
      <c r="O495" s="38" t="str">
        <f>IF(OR(J495="",G495=""),"",J495*VLOOKUP(G495,SETUP_RATES!$A:$H,6,FALSE))</f>
        <v/>
      </c>
      <c r="P495" s="38" t="str">
        <f t="shared" si="1"/>
        <v/>
      </c>
      <c r="Q495" s="33" t="str">
        <f t="shared" si="2"/>
        <v/>
      </c>
    </row>
    <row r="496" ht="15.75" customHeight="1">
      <c r="B496" s="39"/>
      <c r="H496" s="39"/>
      <c r="I496" s="40"/>
      <c r="L496" s="33"/>
      <c r="M496" s="38"/>
      <c r="N496" s="38" t="str">
        <f>IF(OR(F496="",G496=""),"",MAX(F496*VLOOKUP(G496,SETUP_RATES!$A:$H,3,FALSE),VLOOKUP(G496,SETUP_RATES!$A:$H,2,FALSE)))</f>
        <v/>
      </c>
      <c r="O496" s="38" t="str">
        <f>IF(OR(J496="",G496=""),"",J496*VLOOKUP(G496,SETUP_RATES!$A:$H,6,FALSE))</f>
        <v/>
      </c>
      <c r="P496" s="38" t="str">
        <f t="shared" si="1"/>
        <v/>
      </c>
      <c r="Q496" s="33" t="str">
        <f t="shared" si="2"/>
        <v/>
      </c>
    </row>
    <row r="497" ht="15.75" customHeight="1">
      <c r="B497" s="39"/>
      <c r="H497" s="39"/>
      <c r="I497" s="40"/>
      <c r="L497" s="33"/>
      <c r="M497" s="38"/>
      <c r="N497" s="38" t="str">
        <f>IF(OR(F497="",G497=""),"",MAX(F497*VLOOKUP(G497,SETUP_RATES!$A:$H,3,FALSE),VLOOKUP(G497,SETUP_RATES!$A:$H,2,FALSE)))</f>
        <v/>
      </c>
      <c r="O497" s="38" t="str">
        <f>IF(OR(J497="",G497=""),"",J497*VLOOKUP(G497,SETUP_RATES!$A:$H,6,FALSE))</f>
        <v/>
      </c>
      <c r="P497" s="38" t="str">
        <f t="shared" si="1"/>
        <v/>
      </c>
      <c r="Q497" s="33" t="str">
        <f t="shared" si="2"/>
        <v/>
      </c>
    </row>
    <row r="498" ht="15.75" customHeight="1">
      <c r="B498" s="39"/>
      <c r="H498" s="39"/>
      <c r="I498" s="40"/>
      <c r="L498" s="33"/>
      <c r="M498" s="38"/>
      <c r="N498" s="38" t="str">
        <f>IF(OR(F498="",G498=""),"",MAX(F498*VLOOKUP(G498,SETUP_RATES!$A:$H,3,FALSE),VLOOKUP(G498,SETUP_RATES!$A:$H,2,FALSE)))</f>
        <v/>
      </c>
      <c r="O498" s="38" t="str">
        <f>IF(OR(J498="",G498=""),"",J498*VLOOKUP(G498,SETUP_RATES!$A:$H,6,FALSE))</f>
        <v/>
      </c>
      <c r="P498" s="38" t="str">
        <f t="shared" si="1"/>
        <v/>
      </c>
      <c r="Q498" s="33" t="str">
        <f t="shared" si="2"/>
        <v/>
      </c>
    </row>
    <row r="499" ht="15.75" customHeight="1">
      <c r="B499" s="39"/>
      <c r="H499" s="39"/>
      <c r="I499" s="40"/>
      <c r="L499" s="33"/>
      <c r="M499" s="38"/>
      <c r="N499" s="38" t="str">
        <f>IF(OR(F499="",G499=""),"",MAX(F499*VLOOKUP(G499,SETUP_RATES!$A:$H,3,FALSE),VLOOKUP(G499,SETUP_RATES!$A:$H,2,FALSE)))</f>
        <v/>
      </c>
      <c r="O499" s="38" t="str">
        <f>IF(OR(J499="",G499=""),"",J499*VLOOKUP(G499,SETUP_RATES!$A:$H,6,FALSE))</f>
        <v/>
      </c>
      <c r="P499" s="38" t="str">
        <f t="shared" si="1"/>
        <v/>
      </c>
      <c r="Q499" s="33" t="str">
        <f t="shared" si="2"/>
        <v/>
      </c>
    </row>
    <row r="500" ht="15.75" customHeight="1">
      <c r="B500" s="39"/>
      <c r="H500" s="39"/>
      <c r="I500" s="40"/>
      <c r="L500" s="33"/>
      <c r="M500" s="38"/>
      <c r="N500" s="38" t="str">
        <f>IF(OR(F500="",G500=""),"",MAX(F500*VLOOKUP(G500,SETUP_RATES!$A:$H,3,FALSE),VLOOKUP(G500,SETUP_RATES!$A:$H,2,FALSE)))</f>
        <v/>
      </c>
      <c r="O500" s="38" t="str">
        <f>IF(OR(J500="",G500=""),"",J500*VLOOKUP(G500,SETUP_RATES!$A:$H,6,FALSE))</f>
        <v/>
      </c>
      <c r="P500" s="38" t="str">
        <f t="shared" si="1"/>
        <v/>
      </c>
      <c r="Q500" s="33" t="str">
        <f t="shared" si="2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L2:L500">
      <formula1>"Inquiry,Quoted,Confirmed,Assigned,Dispatched,Completed,Cancelled"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9.43"/>
    <col customWidth="1" min="4" max="4" width="12.71"/>
    <col customWidth="1" min="5" max="5" width="15.29"/>
    <col customWidth="1" min="6" max="6" width="21.43"/>
    <col customWidth="1" min="7" max="7" width="6.57"/>
    <col customWidth="1" min="8" max="8" width="19.86"/>
    <col customWidth="1" min="9" max="9" width="16.29"/>
    <col customWidth="1" hidden="1" min="10" max="17" width="8.71"/>
    <col customWidth="1" min="18" max="26" width="8.71"/>
  </cols>
  <sheetData>
    <row r="1" ht="16.5" customHeight="1">
      <c r="A1" s="29" t="s">
        <v>125</v>
      </c>
      <c r="B1" s="29" t="s">
        <v>19</v>
      </c>
      <c r="C1" s="29" t="s">
        <v>71</v>
      </c>
      <c r="D1" s="29" t="s">
        <v>139</v>
      </c>
      <c r="E1" s="29" t="s">
        <v>140</v>
      </c>
      <c r="F1" s="29" t="s">
        <v>141</v>
      </c>
      <c r="G1" s="29" t="s">
        <v>23</v>
      </c>
      <c r="H1" s="3" t="s">
        <v>142</v>
      </c>
      <c r="I1" s="3" t="s">
        <v>143</v>
      </c>
      <c r="J1" s="3"/>
      <c r="K1" s="3"/>
      <c r="L1" s="3"/>
      <c r="M1" s="3"/>
      <c r="N1" s="3"/>
      <c r="O1" s="3"/>
      <c r="P1" s="3"/>
      <c r="Q1" s="3"/>
    </row>
    <row r="2" ht="16.5" customHeight="1">
      <c r="A2" s="31"/>
      <c r="B2" s="31"/>
      <c r="C2" s="31"/>
      <c r="D2" s="31"/>
      <c r="E2" s="35"/>
      <c r="F2" s="35"/>
      <c r="G2" s="31"/>
      <c r="H2" s="33" t="str">
        <f t="shared" ref="H2:H500" si="1">IF(OR(E2="",F2=""),"",24*(F2-E2))</f>
        <v/>
      </c>
    </row>
    <row r="3" ht="16.5" customHeight="1">
      <c r="E3" s="39"/>
      <c r="F3" s="39"/>
      <c r="G3" s="33"/>
      <c r="H3" s="33" t="str">
        <f t="shared" si="1"/>
        <v/>
      </c>
    </row>
    <row r="4" ht="16.5" customHeight="1">
      <c r="E4" s="39"/>
      <c r="F4" s="39"/>
      <c r="G4" s="33"/>
      <c r="H4" s="33" t="str">
        <f t="shared" si="1"/>
        <v/>
      </c>
    </row>
    <row r="5" ht="16.5" customHeight="1">
      <c r="E5" s="39"/>
      <c r="F5" s="39"/>
      <c r="G5" s="33"/>
      <c r="H5" s="33" t="str">
        <f t="shared" si="1"/>
        <v/>
      </c>
    </row>
    <row r="6" ht="16.5" customHeight="1">
      <c r="E6" s="39"/>
      <c r="F6" s="39"/>
      <c r="G6" s="33"/>
      <c r="H6" s="33" t="str">
        <f t="shared" si="1"/>
        <v/>
      </c>
    </row>
    <row r="7" ht="16.5" customHeight="1">
      <c r="E7" s="39"/>
      <c r="F7" s="39"/>
      <c r="G7" s="33"/>
      <c r="H7" s="33" t="str">
        <f t="shared" si="1"/>
        <v/>
      </c>
    </row>
    <row r="8" ht="16.5" customHeight="1">
      <c r="E8" s="39"/>
      <c r="F8" s="39"/>
      <c r="G8" s="33"/>
      <c r="H8" s="33" t="str">
        <f t="shared" si="1"/>
        <v/>
      </c>
    </row>
    <row r="9" ht="16.5" customHeight="1">
      <c r="E9" s="39"/>
      <c r="F9" s="39"/>
      <c r="G9" s="33"/>
      <c r="H9" s="33" t="str">
        <f t="shared" si="1"/>
        <v/>
      </c>
    </row>
    <row r="10" ht="16.5" customHeight="1">
      <c r="E10" s="39"/>
      <c r="F10" s="39"/>
      <c r="G10" s="33"/>
      <c r="H10" s="33" t="str">
        <f t="shared" si="1"/>
        <v/>
      </c>
    </row>
    <row r="11">
      <c r="E11" s="39"/>
      <c r="F11" s="39"/>
      <c r="G11" s="33"/>
      <c r="H11" s="33" t="str">
        <f t="shared" si="1"/>
        <v/>
      </c>
    </row>
    <row r="12">
      <c r="E12" s="39"/>
      <c r="F12" s="39"/>
      <c r="G12" s="33"/>
      <c r="H12" s="33" t="str">
        <f t="shared" si="1"/>
        <v/>
      </c>
    </row>
    <row r="13">
      <c r="E13" s="39"/>
      <c r="F13" s="39"/>
      <c r="G13" s="33"/>
      <c r="H13" s="33" t="str">
        <f t="shared" si="1"/>
        <v/>
      </c>
    </row>
    <row r="14">
      <c r="E14" s="39"/>
      <c r="F14" s="39"/>
      <c r="G14" s="33"/>
      <c r="H14" s="33" t="str">
        <f t="shared" si="1"/>
        <v/>
      </c>
    </row>
    <row r="15">
      <c r="E15" s="39"/>
      <c r="F15" s="39"/>
      <c r="G15" s="33"/>
      <c r="H15" s="33" t="str">
        <f t="shared" si="1"/>
        <v/>
      </c>
    </row>
    <row r="16">
      <c r="E16" s="39"/>
      <c r="F16" s="39"/>
      <c r="G16" s="33"/>
      <c r="H16" s="33" t="str">
        <f t="shared" si="1"/>
        <v/>
      </c>
    </row>
    <row r="17">
      <c r="E17" s="39"/>
      <c r="F17" s="39"/>
      <c r="G17" s="33"/>
      <c r="H17" s="33" t="str">
        <f t="shared" si="1"/>
        <v/>
      </c>
    </row>
    <row r="18">
      <c r="E18" s="39"/>
      <c r="F18" s="39"/>
      <c r="G18" s="33"/>
      <c r="H18" s="33" t="str">
        <f t="shared" si="1"/>
        <v/>
      </c>
    </row>
    <row r="19">
      <c r="E19" s="39"/>
      <c r="F19" s="39"/>
      <c r="G19" s="33"/>
      <c r="H19" s="33" t="str">
        <f t="shared" si="1"/>
        <v/>
      </c>
    </row>
    <row r="20">
      <c r="E20" s="39"/>
      <c r="F20" s="39"/>
      <c r="G20" s="33"/>
      <c r="H20" s="33" t="str">
        <f t="shared" si="1"/>
        <v/>
      </c>
    </row>
    <row r="21" ht="15.75" customHeight="1">
      <c r="E21" s="39"/>
      <c r="F21" s="39"/>
      <c r="G21" s="33"/>
      <c r="H21" s="33" t="str">
        <f t="shared" si="1"/>
        <v/>
      </c>
    </row>
    <row r="22" ht="15.75" customHeight="1">
      <c r="E22" s="39"/>
      <c r="F22" s="39"/>
      <c r="G22" s="33"/>
      <c r="H22" s="33" t="str">
        <f t="shared" si="1"/>
        <v/>
      </c>
    </row>
    <row r="23" ht="15.75" customHeight="1">
      <c r="E23" s="39"/>
      <c r="F23" s="39"/>
      <c r="G23" s="33"/>
      <c r="H23" s="33" t="str">
        <f t="shared" si="1"/>
        <v/>
      </c>
    </row>
    <row r="24" ht="15.75" customHeight="1">
      <c r="E24" s="39"/>
      <c r="F24" s="39"/>
      <c r="G24" s="33"/>
      <c r="H24" s="33" t="str">
        <f t="shared" si="1"/>
        <v/>
      </c>
    </row>
    <row r="25" ht="15.75" customHeight="1">
      <c r="E25" s="39"/>
      <c r="F25" s="39"/>
      <c r="G25" s="33"/>
      <c r="H25" s="33" t="str">
        <f t="shared" si="1"/>
        <v/>
      </c>
    </row>
    <row r="26" ht="15.75" customHeight="1">
      <c r="E26" s="39"/>
      <c r="F26" s="39"/>
      <c r="G26" s="33"/>
      <c r="H26" s="33" t="str">
        <f t="shared" si="1"/>
        <v/>
      </c>
    </row>
    <row r="27" ht="15.75" customHeight="1">
      <c r="E27" s="39"/>
      <c r="F27" s="39"/>
      <c r="G27" s="33"/>
      <c r="H27" s="33" t="str">
        <f t="shared" si="1"/>
        <v/>
      </c>
    </row>
    <row r="28" ht="15.75" customHeight="1">
      <c r="E28" s="39"/>
      <c r="F28" s="39"/>
      <c r="G28" s="33"/>
      <c r="H28" s="33" t="str">
        <f t="shared" si="1"/>
        <v/>
      </c>
    </row>
    <row r="29" ht="15.75" customHeight="1">
      <c r="E29" s="39"/>
      <c r="F29" s="39"/>
      <c r="G29" s="33"/>
      <c r="H29" s="33" t="str">
        <f t="shared" si="1"/>
        <v/>
      </c>
    </row>
    <row r="30" ht="15.75" customHeight="1">
      <c r="E30" s="39"/>
      <c r="F30" s="39"/>
      <c r="G30" s="33"/>
      <c r="H30" s="33" t="str">
        <f t="shared" si="1"/>
        <v/>
      </c>
    </row>
    <row r="31" ht="15.75" customHeight="1">
      <c r="E31" s="39"/>
      <c r="F31" s="39"/>
      <c r="G31" s="33"/>
      <c r="H31" s="33" t="str">
        <f t="shared" si="1"/>
        <v/>
      </c>
    </row>
    <row r="32" ht="15.75" customHeight="1">
      <c r="E32" s="39"/>
      <c r="F32" s="39"/>
      <c r="G32" s="33"/>
      <c r="H32" s="33" t="str">
        <f t="shared" si="1"/>
        <v/>
      </c>
    </row>
    <row r="33" ht="15.75" customHeight="1">
      <c r="E33" s="39"/>
      <c r="F33" s="39"/>
      <c r="G33" s="33"/>
      <c r="H33" s="33" t="str">
        <f t="shared" si="1"/>
        <v/>
      </c>
    </row>
    <row r="34" ht="15.75" customHeight="1">
      <c r="E34" s="39"/>
      <c r="F34" s="39"/>
      <c r="G34" s="33"/>
      <c r="H34" s="33" t="str">
        <f t="shared" si="1"/>
        <v/>
      </c>
    </row>
    <row r="35" ht="15.75" customHeight="1">
      <c r="E35" s="39"/>
      <c r="F35" s="39"/>
      <c r="G35" s="33"/>
      <c r="H35" s="33" t="str">
        <f t="shared" si="1"/>
        <v/>
      </c>
    </row>
    <row r="36" ht="15.75" customHeight="1">
      <c r="E36" s="39"/>
      <c r="F36" s="39"/>
      <c r="G36" s="33"/>
      <c r="H36" s="33" t="str">
        <f t="shared" si="1"/>
        <v/>
      </c>
    </row>
    <row r="37" ht="15.75" customHeight="1">
      <c r="E37" s="39"/>
      <c r="F37" s="39"/>
      <c r="G37" s="33"/>
      <c r="H37" s="33" t="str">
        <f t="shared" si="1"/>
        <v/>
      </c>
    </row>
    <row r="38" ht="15.75" customHeight="1">
      <c r="E38" s="39"/>
      <c r="F38" s="39"/>
      <c r="G38" s="33"/>
      <c r="H38" s="33" t="str">
        <f t="shared" si="1"/>
        <v/>
      </c>
    </row>
    <row r="39" ht="15.75" customHeight="1">
      <c r="E39" s="39"/>
      <c r="F39" s="39"/>
      <c r="G39" s="33"/>
      <c r="H39" s="33" t="str">
        <f t="shared" si="1"/>
        <v/>
      </c>
    </row>
    <row r="40" ht="15.75" customHeight="1">
      <c r="E40" s="39"/>
      <c r="F40" s="39"/>
      <c r="G40" s="33"/>
      <c r="H40" s="33" t="str">
        <f t="shared" si="1"/>
        <v/>
      </c>
    </row>
    <row r="41" ht="15.75" customHeight="1">
      <c r="E41" s="39"/>
      <c r="F41" s="39"/>
      <c r="G41" s="33"/>
      <c r="H41" s="33" t="str">
        <f t="shared" si="1"/>
        <v/>
      </c>
    </row>
    <row r="42" ht="15.75" customHeight="1">
      <c r="E42" s="39"/>
      <c r="F42" s="39"/>
      <c r="G42" s="33"/>
      <c r="H42" s="33" t="str">
        <f t="shared" si="1"/>
        <v/>
      </c>
    </row>
    <row r="43" ht="15.75" customHeight="1">
      <c r="E43" s="39"/>
      <c r="F43" s="39"/>
      <c r="G43" s="33"/>
      <c r="H43" s="33" t="str">
        <f t="shared" si="1"/>
        <v/>
      </c>
    </row>
    <row r="44" ht="15.75" customHeight="1">
      <c r="E44" s="39"/>
      <c r="F44" s="39"/>
      <c r="G44" s="33"/>
      <c r="H44" s="33" t="str">
        <f t="shared" si="1"/>
        <v/>
      </c>
    </row>
    <row r="45" ht="15.75" customHeight="1">
      <c r="E45" s="39"/>
      <c r="F45" s="39"/>
      <c r="G45" s="33"/>
      <c r="H45" s="33" t="str">
        <f t="shared" si="1"/>
        <v/>
      </c>
    </row>
    <row r="46" ht="15.75" customHeight="1">
      <c r="E46" s="39"/>
      <c r="F46" s="39"/>
      <c r="G46" s="33"/>
      <c r="H46" s="33" t="str">
        <f t="shared" si="1"/>
        <v/>
      </c>
    </row>
    <row r="47" ht="15.75" customHeight="1">
      <c r="E47" s="39"/>
      <c r="F47" s="39"/>
      <c r="G47" s="33"/>
      <c r="H47" s="33" t="str">
        <f t="shared" si="1"/>
        <v/>
      </c>
    </row>
    <row r="48" ht="15.75" customHeight="1">
      <c r="E48" s="39"/>
      <c r="F48" s="39"/>
      <c r="G48" s="33"/>
      <c r="H48" s="33" t="str">
        <f t="shared" si="1"/>
        <v/>
      </c>
    </row>
    <row r="49" ht="15.75" customHeight="1">
      <c r="E49" s="39"/>
      <c r="F49" s="39"/>
      <c r="G49" s="33"/>
      <c r="H49" s="33" t="str">
        <f t="shared" si="1"/>
        <v/>
      </c>
    </row>
    <row r="50" ht="15.75" customHeight="1">
      <c r="E50" s="39"/>
      <c r="F50" s="39"/>
      <c r="G50" s="33"/>
      <c r="H50" s="33" t="str">
        <f t="shared" si="1"/>
        <v/>
      </c>
    </row>
    <row r="51" ht="15.75" customHeight="1">
      <c r="E51" s="39"/>
      <c r="F51" s="39"/>
      <c r="G51" s="33"/>
      <c r="H51" s="33" t="str">
        <f t="shared" si="1"/>
        <v/>
      </c>
    </row>
    <row r="52" ht="15.75" customHeight="1">
      <c r="E52" s="39"/>
      <c r="F52" s="39"/>
      <c r="G52" s="33"/>
      <c r="H52" s="33" t="str">
        <f t="shared" si="1"/>
        <v/>
      </c>
    </row>
    <row r="53" ht="15.75" customHeight="1">
      <c r="E53" s="39"/>
      <c r="F53" s="39"/>
      <c r="G53" s="33"/>
      <c r="H53" s="33" t="str">
        <f t="shared" si="1"/>
        <v/>
      </c>
    </row>
    <row r="54" ht="15.75" customHeight="1">
      <c r="E54" s="39"/>
      <c r="F54" s="39"/>
      <c r="G54" s="33"/>
      <c r="H54" s="33" t="str">
        <f t="shared" si="1"/>
        <v/>
      </c>
    </row>
    <row r="55" ht="15.75" customHeight="1">
      <c r="E55" s="39"/>
      <c r="F55" s="39"/>
      <c r="G55" s="33"/>
      <c r="H55" s="33" t="str">
        <f t="shared" si="1"/>
        <v/>
      </c>
    </row>
    <row r="56" ht="15.75" customHeight="1">
      <c r="E56" s="39"/>
      <c r="F56" s="39"/>
      <c r="G56" s="33"/>
      <c r="H56" s="33" t="str">
        <f t="shared" si="1"/>
        <v/>
      </c>
    </row>
    <row r="57" ht="15.75" customHeight="1">
      <c r="E57" s="39"/>
      <c r="F57" s="39"/>
      <c r="G57" s="33"/>
      <c r="H57" s="33" t="str">
        <f t="shared" si="1"/>
        <v/>
      </c>
    </row>
    <row r="58" ht="15.75" customHeight="1">
      <c r="E58" s="39"/>
      <c r="F58" s="39"/>
      <c r="G58" s="33"/>
      <c r="H58" s="33" t="str">
        <f t="shared" si="1"/>
        <v/>
      </c>
    </row>
    <row r="59" ht="15.75" customHeight="1">
      <c r="E59" s="39"/>
      <c r="F59" s="39"/>
      <c r="G59" s="33"/>
      <c r="H59" s="33" t="str">
        <f t="shared" si="1"/>
        <v/>
      </c>
    </row>
    <row r="60" ht="15.75" customHeight="1">
      <c r="E60" s="39"/>
      <c r="F60" s="39"/>
      <c r="G60" s="33"/>
      <c r="H60" s="33" t="str">
        <f t="shared" si="1"/>
        <v/>
      </c>
    </row>
    <row r="61" ht="15.75" customHeight="1">
      <c r="E61" s="39"/>
      <c r="F61" s="39"/>
      <c r="G61" s="33"/>
      <c r="H61" s="33" t="str">
        <f t="shared" si="1"/>
        <v/>
      </c>
    </row>
    <row r="62" ht="15.75" customHeight="1">
      <c r="E62" s="39"/>
      <c r="F62" s="39"/>
      <c r="G62" s="33"/>
      <c r="H62" s="33" t="str">
        <f t="shared" si="1"/>
        <v/>
      </c>
    </row>
    <row r="63" ht="15.75" customHeight="1">
      <c r="E63" s="39"/>
      <c r="F63" s="39"/>
      <c r="G63" s="33"/>
      <c r="H63" s="33" t="str">
        <f t="shared" si="1"/>
        <v/>
      </c>
    </row>
    <row r="64" ht="15.75" customHeight="1">
      <c r="E64" s="39"/>
      <c r="F64" s="39"/>
      <c r="G64" s="33"/>
      <c r="H64" s="33" t="str">
        <f t="shared" si="1"/>
        <v/>
      </c>
    </row>
    <row r="65" ht="15.75" customHeight="1">
      <c r="E65" s="39"/>
      <c r="F65" s="39"/>
      <c r="G65" s="33"/>
      <c r="H65" s="33" t="str">
        <f t="shared" si="1"/>
        <v/>
      </c>
    </row>
    <row r="66" ht="15.75" customHeight="1">
      <c r="E66" s="39"/>
      <c r="F66" s="39"/>
      <c r="G66" s="33"/>
      <c r="H66" s="33" t="str">
        <f t="shared" si="1"/>
        <v/>
      </c>
    </row>
    <row r="67" ht="15.75" customHeight="1">
      <c r="E67" s="39"/>
      <c r="F67" s="39"/>
      <c r="G67" s="33"/>
      <c r="H67" s="33" t="str">
        <f t="shared" si="1"/>
        <v/>
      </c>
    </row>
    <row r="68" ht="15.75" customHeight="1">
      <c r="E68" s="39"/>
      <c r="F68" s="39"/>
      <c r="G68" s="33"/>
      <c r="H68" s="33" t="str">
        <f t="shared" si="1"/>
        <v/>
      </c>
    </row>
    <row r="69" ht="15.75" customHeight="1">
      <c r="E69" s="39"/>
      <c r="F69" s="39"/>
      <c r="G69" s="33"/>
      <c r="H69" s="33" t="str">
        <f t="shared" si="1"/>
        <v/>
      </c>
    </row>
    <row r="70" ht="15.75" customHeight="1">
      <c r="E70" s="39"/>
      <c r="F70" s="39"/>
      <c r="G70" s="33"/>
      <c r="H70" s="33" t="str">
        <f t="shared" si="1"/>
        <v/>
      </c>
    </row>
    <row r="71" ht="15.75" customHeight="1">
      <c r="E71" s="39"/>
      <c r="F71" s="39"/>
      <c r="G71" s="33"/>
      <c r="H71" s="33" t="str">
        <f t="shared" si="1"/>
        <v/>
      </c>
    </row>
    <row r="72" ht="15.75" customHeight="1">
      <c r="E72" s="39"/>
      <c r="F72" s="39"/>
      <c r="G72" s="33"/>
      <c r="H72" s="33" t="str">
        <f t="shared" si="1"/>
        <v/>
      </c>
    </row>
    <row r="73" ht="15.75" customHeight="1">
      <c r="E73" s="39"/>
      <c r="F73" s="39"/>
      <c r="G73" s="33"/>
      <c r="H73" s="33" t="str">
        <f t="shared" si="1"/>
        <v/>
      </c>
    </row>
    <row r="74" ht="15.75" customHeight="1">
      <c r="E74" s="39"/>
      <c r="F74" s="39"/>
      <c r="G74" s="33"/>
      <c r="H74" s="33" t="str">
        <f t="shared" si="1"/>
        <v/>
      </c>
    </row>
    <row r="75" ht="15.75" customHeight="1">
      <c r="E75" s="39"/>
      <c r="F75" s="39"/>
      <c r="G75" s="33"/>
      <c r="H75" s="33" t="str">
        <f t="shared" si="1"/>
        <v/>
      </c>
    </row>
    <row r="76" ht="15.75" customHeight="1">
      <c r="E76" s="39"/>
      <c r="F76" s="39"/>
      <c r="G76" s="33"/>
      <c r="H76" s="33" t="str">
        <f t="shared" si="1"/>
        <v/>
      </c>
    </row>
    <row r="77" ht="15.75" customHeight="1">
      <c r="E77" s="39"/>
      <c r="F77" s="39"/>
      <c r="G77" s="33"/>
      <c r="H77" s="33" t="str">
        <f t="shared" si="1"/>
        <v/>
      </c>
    </row>
    <row r="78" ht="15.75" customHeight="1">
      <c r="E78" s="39"/>
      <c r="F78" s="39"/>
      <c r="G78" s="33"/>
      <c r="H78" s="33" t="str">
        <f t="shared" si="1"/>
        <v/>
      </c>
    </row>
    <row r="79" ht="15.75" customHeight="1">
      <c r="E79" s="39"/>
      <c r="F79" s="39"/>
      <c r="G79" s="33"/>
      <c r="H79" s="33" t="str">
        <f t="shared" si="1"/>
        <v/>
      </c>
    </row>
    <row r="80" ht="15.75" customHeight="1">
      <c r="E80" s="39"/>
      <c r="F80" s="39"/>
      <c r="G80" s="33"/>
      <c r="H80" s="33" t="str">
        <f t="shared" si="1"/>
        <v/>
      </c>
    </row>
    <row r="81" ht="15.75" customHeight="1">
      <c r="E81" s="39"/>
      <c r="F81" s="39"/>
      <c r="G81" s="33"/>
      <c r="H81" s="33" t="str">
        <f t="shared" si="1"/>
        <v/>
      </c>
    </row>
    <row r="82" ht="15.75" customHeight="1">
      <c r="E82" s="39"/>
      <c r="F82" s="39"/>
      <c r="G82" s="33"/>
      <c r="H82" s="33" t="str">
        <f t="shared" si="1"/>
        <v/>
      </c>
    </row>
    <row r="83" ht="15.75" customHeight="1">
      <c r="E83" s="39"/>
      <c r="F83" s="39"/>
      <c r="G83" s="33"/>
      <c r="H83" s="33" t="str">
        <f t="shared" si="1"/>
        <v/>
      </c>
    </row>
    <row r="84" ht="15.75" customHeight="1">
      <c r="E84" s="39"/>
      <c r="F84" s="39"/>
      <c r="G84" s="33"/>
      <c r="H84" s="33" t="str">
        <f t="shared" si="1"/>
        <v/>
      </c>
    </row>
    <row r="85" ht="15.75" customHeight="1">
      <c r="E85" s="39"/>
      <c r="F85" s="39"/>
      <c r="G85" s="33"/>
      <c r="H85" s="33" t="str">
        <f t="shared" si="1"/>
        <v/>
      </c>
    </row>
    <row r="86" ht="15.75" customHeight="1">
      <c r="E86" s="39"/>
      <c r="F86" s="39"/>
      <c r="G86" s="33"/>
      <c r="H86" s="33" t="str">
        <f t="shared" si="1"/>
        <v/>
      </c>
    </row>
    <row r="87" ht="15.75" customHeight="1">
      <c r="E87" s="39"/>
      <c r="F87" s="39"/>
      <c r="G87" s="33"/>
      <c r="H87" s="33" t="str">
        <f t="shared" si="1"/>
        <v/>
      </c>
    </row>
    <row r="88" ht="15.75" customHeight="1">
      <c r="E88" s="39"/>
      <c r="F88" s="39"/>
      <c r="G88" s="33"/>
      <c r="H88" s="33" t="str">
        <f t="shared" si="1"/>
        <v/>
      </c>
    </row>
    <row r="89" ht="15.75" customHeight="1">
      <c r="E89" s="39"/>
      <c r="F89" s="39"/>
      <c r="G89" s="33"/>
      <c r="H89" s="33" t="str">
        <f t="shared" si="1"/>
        <v/>
      </c>
    </row>
    <row r="90" ht="15.75" customHeight="1">
      <c r="E90" s="39"/>
      <c r="F90" s="39"/>
      <c r="G90" s="33"/>
      <c r="H90" s="33" t="str">
        <f t="shared" si="1"/>
        <v/>
      </c>
    </row>
    <row r="91" ht="15.75" customHeight="1">
      <c r="E91" s="39"/>
      <c r="F91" s="39"/>
      <c r="G91" s="33"/>
      <c r="H91" s="33" t="str">
        <f t="shared" si="1"/>
        <v/>
      </c>
    </row>
    <row r="92" ht="15.75" customHeight="1">
      <c r="E92" s="39"/>
      <c r="F92" s="39"/>
      <c r="G92" s="33"/>
      <c r="H92" s="33" t="str">
        <f t="shared" si="1"/>
        <v/>
      </c>
    </row>
    <row r="93" ht="15.75" customHeight="1">
      <c r="E93" s="39"/>
      <c r="F93" s="39"/>
      <c r="G93" s="33"/>
      <c r="H93" s="33" t="str">
        <f t="shared" si="1"/>
        <v/>
      </c>
    </row>
    <row r="94" ht="15.75" customHeight="1">
      <c r="E94" s="39"/>
      <c r="F94" s="39"/>
      <c r="G94" s="33"/>
      <c r="H94" s="33" t="str">
        <f t="shared" si="1"/>
        <v/>
      </c>
    </row>
    <row r="95" ht="15.75" customHeight="1">
      <c r="E95" s="39"/>
      <c r="F95" s="39"/>
      <c r="G95" s="33"/>
      <c r="H95" s="33" t="str">
        <f t="shared" si="1"/>
        <v/>
      </c>
    </row>
    <row r="96" ht="15.75" customHeight="1">
      <c r="E96" s="39"/>
      <c r="F96" s="39"/>
      <c r="G96" s="33"/>
      <c r="H96" s="33" t="str">
        <f t="shared" si="1"/>
        <v/>
      </c>
    </row>
    <row r="97" ht="15.75" customHeight="1">
      <c r="E97" s="39"/>
      <c r="F97" s="39"/>
      <c r="G97" s="33"/>
      <c r="H97" s="33" t="str">
        <f t="shared" si="1"/>
        <v/>
      </c>
    </row>
    <row r="98" ht="15.75" customHeight="1">
      <c r="E98" s="39"/>
      <c r="F98" s="39"/>
      <c r="G98" s="33"/>
      <c r="H98" s="33" t="str">
        <f t="shared" si="1"/>
        <v/>
      </c>
    </row>
    <row r="99" ht="15.75" customHeight="1">
      <c r="E99" s="39"/>
      <c r="F99" s="39"/>
      <c r="G99" s="33"/>
      <c r="H99" s="33" t="str">
        <f t="shared" si="1"/>
        <v/>
      </c>
    </row>
    <row r="100" ht="15.75" customHeight="1">
      <c r="E100" s="39"/>
      <c r="F100" s="39"/>
      <c r="G100" s="33"/>
      <c r="H100" s="33" t="str">
        <f t="shared" si="1"/>
        <v/>
      </c>
    </row>
    <row r="101" ht="15.75" customHeight="1">
      <c r="E101" s="39"/>
      <c r="F101" s="39"/>
      <c r="G101" s="33"/>
      <c r="H101" s="33" t="str">
        <f t="shared" si="1"/>
        <v/>
      </c>
    </row>
    <row r="102" ht="15.75" customHeight="1">
      <c r="E102" s="39"/>
      <c r="F102" s="39"/>
      <c r="G102" s="33"/>
      <c r="H102" s="33" t="str">
        <f t="shared" si="1"/>
        <v/>
      </c>
    </row>
    <row r="103" ht="15.75" customHeight="1">
      <c r="E103" s="39"/>
      <c r="F103" s="39"/>
      <c r="G103" s="33"/>
      <c r="H103" s="33" t="str">
        <f t="shared" si="1"/>
        <v/>
      </c>
    </row>
    <row r="104" ht="15.75" customHeight="1">
      <c r="E104" s="39"/>
      <c r="F104" s="39"/>
      <c r="G104" s="33"/>
      <c r="H104" s="33" t="str">
        <f t="shared" si="1"/>
        <v/>
      </c>
    </row>
    <row r="105" ht="15.75" customHeight="1">
      <c r="E105" s="39"/>
      <c r="F105" s="39"/>
      <c r="G105" s="33"/>
      <c r="H105" s="33" t="str">
        <f t="shared" si="1"/>
        <v/>
      </c>
    </row>
    <row r="106" ht="15.75" customHeight="1">
      <c r="E106" s="39"/>
      <c r="F106" s="39"/>
      <c r="G106" s="33"/>
      <c r="H106" s="33" t="str">
        <f t="shared" si="1"/>
        <v/>
      </c>
    </row>
    <row r="107" ht="15.75" customHeight="1">
      <c r="E107" s="39"/>
      <c r="F107" s="39"/>
      <c r="G107" s="33"/>
      <c r="H107" s="33" t="str">
        <f t="shared" si="1"/>
        <v/>
      </c>
    </row>
    <row r="108" ht="15.75" customHeight="1">
      <c r="E108" s="39"/>
      <c r="F108" s="39"/>
      <c r="G108" s="33"/>
      <c r="H108" s="33" t="str">
        <f t="shared" si="1"/>
        <v/>
      </c>
    </row>
    <row r="109" ht="15.75" customHeight="1">
      <c r="E109" s="39"/>
      <c r="F109" s="39"/>
      <c r="G109" s="33"/>
      <c r="H109" s="33" t="str">
        <f t="shared" si="1"/>
        <v/>
      </c>
    </row>
    <row r="110" ht="15.75" customHeight="1">
      <c r="E110" s="39"/>
      <c r="F110" s="39"/>
      <c r="G110" s="33"/>
      <c r="H110" s="33" t="str">
        <f t="shared" si="1"/>
        <v/>
      </c>
    </row>
    <row r="111" ht="15.75" customHeight="1">
      <c r="E111" s="39"/>
      <c r="F111" s="39"/>
      <c r="G111" s="33"/>
      <c r="H111" s="33" t="str">
        <f t="shared" si="1"/>
        <v/>
      </c>
    </row>
    <row r="112" ht="15.75" customHeight="1">
      <c r="E112" s="39"/>
      <c r="F112" s="39"/>
      <c r="G112" s="33"/>
      <c r="H112" s="33" t="str">
        <f t="shared" si="1"/>
        <v/>
      </c>
    </row>
    <row r="113" ht="15.75" customHeight="1">
      <c r="E113" s="39"/>
      <c r="F113" s="39"/>
      <c r="G113" s="33"/>
      <c r="H113" s="33" t="str">
        <f t="shared" si="1"/>
        <v/>
      </c>
    </row>
    <row r="114" ht="15.75" customHeight="1">
      <c r="E114" s="39"/>
      <c r="F114" s="39"/>
      <c r="G114" s="33"/>
      <c r="H114" s="33" t="str">
        <f t="shared" si="1"/>
        <v/>
      </c>
    </row>
    <row r="115" ht="15.75" customHeight="1">
      <c r="E115" s="39"/>
      <c r="F115" s="39"/>
      <c r="G115" s="33"/>
      <c r="H115" s="33" t="str">
        <f t="shared" si="1"/>
        <v/>
      </c>
    </row>
    <row r="116" ht="15.75" customHeight="1">
      <c r="E116" s="39"/>
      <c r="F116" s="39"/>
      <c r="G116" s="33"/>
      <c r="H116" s="33" t="str">
        <f t="shared" si="1"/>
        <v/>
      </c>
    </row>
    <row r="117" ht="15.75" customHeight="1">
      <c r="E117" s="39"/>
      <c r="F117" s="39"/>
      <c r="G117" s="33"/>
      <c r="H117" s="33" t="str">
        <f t="shared" si="1"/>
        <v/>
      </c>
    </row>
    <row r="118" ht="15.75" customHeight="1">
      <c r="E118" s="39"/>
      <c r="F118" s="39"/>
      <c r="G118" s="33"/>
      <c r="H118" s="33" t="str">
        <f t="shared" si="1"/>
        <v/>
      </c>
    </row>
    <row r="119" ht="15.75" customHeight="1">
      <c r="E119" s="39"/>
      <c r="F119" s="39"/>
      <c r="G119" s="33"/>
      <c r="H119" s="33" t="str">
        <f t="shared" si="1"/>
        <v/>
      </c>
    </row>
    <row r="120" ht="15.75" customHeight="1">
      <c r="E120" s="39"/>
      <c r="F120" s="39"/>
      <c r="G120" s="33"/>
      <c r="H120" s="33" t="str">
        <f t="shared" si="1"/>
        <v/>
      </c>
    </row>
    <row r="121" ht="15.75" customHeight="1">
      <c r="E121" s="39"/>
      <c r="F121" s="39"/>
      <c r="G121" s="33"/>
      <c r="H121" s="33" t="str">
        <f t="shared" si="1"/>
        <v/>
      </c>
    </row>
    <row r="122" ht="15.75" customHeight="1">
      <c r="E122" s="39"/>
      <c r="F122" s="39"/>
      <c r="G122" s="33"/>
      <c r="H122" s="33" t="str">
        <f t="shared" si="1"/>
        <v/>
      </c>
    </row>
    <row r="123" ht="15.75" customHeight="1">
      <c r="E123" s="39"/>
      <c r="F123" s="39"/>
      <c r="G123" s="33"/>
      <c r="H123" s="33" t="str">
        <f t="shared" si="1"/>
        <v/>
      </c>
    </row>
    <row r="124" ht="15.75" customHeight="1">
      <c r="E124" s="39"/>
      <c r="F124" s="39"/>
      <c r="G124" s="33"/>
      <c r="H124" s="33" t="str">
        <f t="shared" si="1"/>
        <v/>
      </c>
    </row>
    <row r="125" ht="15.75" customHeight="1">
      <c r="E125" s="39"/>
      <c r="F125" s="39"/>
      <c r="G125" s="33"/>
      <c r="H125" s="33" t="str">
        <f t="shared" si="1"/>
        <v/>
      </c>
    </row>
    <row r="126" ht="15.75" customHeight="1">
      <c r="E126" s="39"/>
      <c r="F126" s="39"/>
      <c r="G126" s="33"/>
      <c r="H126" s="33" t="str">
        <f t="shared" si="1"/>
        <v/>
      </c>
    </row>
    <row r="127" ht="15.75" customHeight="1">
      <c r="E127" s="39"/>
      <c r="F127" s="39"/>
      <c r="G127" s="33"/>
      <c r="H127" s="33" t="str">
        <f t="shared" si="1"/>
        <v/>
      </c>
    </row>
    <row r="128" ht="15.75" customHeight="1">
      <c r="E128" s="39"/>
      <c r="F128" s="39"/>
      <c r="G128" s="33"/>
      <c r="H128" s="33" t="str">
        <f t="shared" si="1"/>
        <v/>
      </c>
    </row>
    <row r="129" ht="15.75" customHeight="1">
      <c r="E129" s="39"/>
      <c r="F129" s="39"/>
      <c r="G129" s="33"/>
      <c r="H129" s="33" t="str">
        <f t="shared" si="1"/>
        <v/>
      </c>
    </row>
    <row r="130" ht="15.75" customHeight="1">
      <c r="E130" s="39"/>
      <c r="F130" s="39"/>
      <c r="G130" s="33"/>
      <c r="H130" s="33" t="str">
        <f t="shared" si="1"/>
        <v/>
      </c>
    </row>
    <row r="131" ht="15.75" customHeight="1">
      <c r="E131" s="39"/>
      <c r="F131" s="39"/>
      <c r="G131" s="33"/>
      <c r="H131" s="33" t="str">
        <f t="shared" si="1"/>
        <v/>
      </c>
    </row>
    <row r="132" ht="15.75" customHeight="1">
      <c r="E132" s="39"/>
      <c r="F132" s="39"/>
      <c r="G132" s="33"/>
      <c r="H132" s="33" t="str">
        <f t="shared" si="1"/>
        <v/>
      </c>
    </row>
    <row r="133" ht="15.75" customHeight="1">
      <c r="E133" s="39"/>
      <c r="F133" s="39"/>
      <c r="G133" s="33"/>
      <c r="H133" s="33" t="str">
        <f t="shared" si="1"/>
        <v/>
      </c>
    </row>
    <row r="134" ht="15.75" customHeight="1">
      <c r="E134" s="39"/>
      <c r="F134" s="39"/>
      <c r="G134" s="33"/>
      <c r="H134" s="33" t="str">
        <f t="shared" si="1"/>
        <v/>
      </c>
    </row>
    <row r="135" ht="15.75" customHeight="1">
      <c r="E135" s="39"/>
      <c r="F135" s="39"/>
      <c r="G135" s="33"/>
      <c r="H135" s="33" t="str">
        <f t="shared" si="1"/>
        <v/>
      </c>
    </row>
    <row r="136" ht="15.75" customHeight="1">
      <c r="E136" s="39"/>
      <c r="F136" s="39"/>
      <c r="G136" s="33"/>
      <c r="H136" s="33" t="str">
        <f t="shared" si="1"/>
        <v/>
      </c>
    </row>
    <row r="137" ht="15.75" customHeight="1">
      <c r="E137" s="39"/>
      <c r="F137" s="39"/>
      <c r="G137" s="33"/>
      <c r="H137" s="33" t="str">
        <f t="shared" si="1"/>
        <v/>
      </c>
    </row>
    <row r="138" ht="15.75" customHeight="1">
      <c r="E138" s="39"/>
      <c r="F138" s="39"/>
      <c r="G138" s="33"/>
      <c r="H138" s="33" t="str">
        <f t="shared" si="1"/>
        <v/>
      </c>
    </row>
    <row r="139" ht="15.75" customHeight="1">
      <c r="E139" s="39"/>
      <c r="F139" s="39"/>
      <c r="G139" s="33"/>
      <c r="H139" s="33" t="str">
        <f t="shared" si="1"/>
        <v/>
      </c>
    </row>
    <row r="140" ht="15.75" customHeight="1">
      <c r="E140" s="39"/>
      <c r="F140" s="39"/>
      <c r="G140" s="33"/>
      <c r="H140" s="33" t="str">
        <f t="shared" si="1"/>
        <v/>
      </c>
    </row>
    <row r="141" ht="15.75" customHeight="1">
      <c r="E141" s="39"/>
      <c r="F141" s="39"/>
      <c r="G141" s="33"/>
      <c r="H141" s="33" t="str">
        <f t="shared" si="1"/>
        <v/>
      </c>
    </row>
    <row r="142" ht="15.75" customHeight="1">
      <c r="E142" s="39"/>
      <c r="F142" s="39"/>
      <c r="G142" s="33"/>
      <c r="H142" s="33" t="str">
        <f t="shared" si="1"/>
        <v/>
      </c>
    </row>
    <row r="143" ht="15.75" customHeight="1">
      <c r="E143" s="39"/>
      <c r="F143" s="39"/>
      <c r="G143" s="33"/>
      <c r="H143" s="33" t="str">
        <f t="shared" si="1"/>
        <v/>
      </c>
    </row>
    <row r="144" ht="15.75" customHeight="1">
      <c r="E144" s="39"/>
      <c r="F144" s="39"/>
      <c r="G144" s="33"/>
      <c r="H144" s="33" t="str">
        <f t="shared" si="1"/>
        <v/>
      </c>
    </row>
    <row r="145" ht="15.75" customHeight="1">
      <c r="E145" s="39"/>
      <c r="F145" s="39"/>
      <c r="G145" s="33"/>
      <c r="H145" s="33" t="str">
        <f t="shared" si="1"/>
        <v/>
      </c>
    </row>
    <row r="146" ht="15.75" customHeight="1">
      <c r="E146" s="39"/>
      <c r="F146" s="39"/>
      <c r="G146" s="33"/>
      <c r="H146" s="33" t="str">
        <f t="shared" si="1"/>
        <v/>
      </c>
    </row>
    <row r="147" ht="15.75" customHeight="1">
      <c r="E147" s="39"/>
      <c r="F147" s="39"/>
      <c r="G147" s="33"/>
      <c r="H147" s="33" t="str">
        <f t="shared" si="1"/>
        <v/>
      </c>
    </row>
    <row r="148" ht="15.75" customHeight="1">
      <c r="E148" s="39"/>
      <c r="F148" s="39"/>
      <c r="G148" s="33"/>
      <c r="H148" s="33" t="str">
        <f t="shared" si="1"/>
        <v/>
      </c>
    </row>
    <row r="149" ht="15.75" customHeight="1">
      <c r="E149" s="39"/>
      <c r="F149" s="39"/>
      <c r="G149" s="33"/>
      <c r="H149" s="33" t="str">
        <f t="shared" si="1"/>
        <v/>
      </c>
    </row>
    <row r="150" ht="15.75" customHeight="1">
      <c r="E150" s="39"/>
      <c r="F150" s="39"/>
      <c r="G150" s="33"/>
      <c r="H150" s="33" t="str">
        <f t="shared" si="1"/>
        <v/>
      </c>
    </row>
    <row r="151" ht="15.75" customHeight="1">
      <c r="E151" s="39"/>
      <c r="F151" s="39"/>
      <c r="G151" s="33"/>
      <c r="H151" s="33" t="str">
        <f t="shared" si="1"/>
        <v/>
      </c>
    </row>
    <row r="152" ht="15.75" customHeight="1">
      <c r="E152" s="39"/>
      <c r="F152" s="39"/>
      <c r="G152" s="33"/>
      <c r="H152" s="33" t="str">
        <f t="shared" si="1"/>
        <v/>
      </c>
    </row>
    <row r="153" ht="15.75" customHeight="1">
      <c r="E153" s="39"/>
      <c r="F153" s="39"/>
      <c r="G153" s="33"/>
      <c r="H153" s="33" t="str">
        <f t="shared" si="1"/>
        <v/>
      </c>
    </row>
    <row r="154" ht="15.75" customHeight="1">
      <c r="E154" s="39"/>
      <c r="F154" s="39"/>
      <c r="G154" s="33"/>
      <c r="H154" s="33" t="str">
        <f t="shared" si="1"/>
        <v/>
      </c>
    </row>
    <row r="155" ht="15.75" customHeight="1">
      <c r="E155" s="39"/>
      <c r="F155" s="39"/>
      <c r="G155" s="33"/>
      <c r="H155" s="33" t="str">
        <f t="shared" si="1"/>
        <v/>
      </c>
    </row>
    <row r="156" ht="15.75" customHeight="1">
      <c r="E156" s="39"/>
      <c r="F156" s="39"/>
      <c r="G156" s="33"/>
      <c r="H156" s="33" t="str">
        <f t="shared" si="1"/>
        <v/>
      </c>
    </row>
    <row r="157" ht="15.75" customHeight="1">
      <c r="E157" s="39"/>
      <c r="F157" s="39"/>
      <c r="G157" s="33"/>
      <c r="H157" s="33" t="str">
        <f t="shared" si="1"/>
        <v/>
      </c>
    </row>
    <row r="158" ht="15.75" customHeight="1">
      <c r="E158" s="39"/>
      <c r="F158" s="39"/>
      <c r="G158" s="33"/>
      <c r="H158" s="33" t="str">
        <f t="shared" si="1"/>
        <v/>
      </c>
    </row>
    <row r="159" ht="15.75" customHeight="1">
      <c r="E159" s="39"/>
      <c r="F159" s="39"/>
      <c r="G159" s="33"/>
      <c r="H159" s="33" t="str">
        <f t="shared" si="1"/>
        <v/>
      </c>
    </row>
    <row r="160" ht="15.75" customHeight="1">
      <c r="E160" s="39"/>
      <c r="F160" s="39"/>
      <c r="G160" s="33"/>
      <c r="H160" s="33" t="str">
        <f t="shared" si="1"/>
        <v/>
      </c>
    </row>
    <row r="161" ht="15.75" customHeight="1">
      <c r="E161" s="39"/>
      <c r="F161" s="39"/>
      <c r="G161" s="33"/>
      <c r="H161" s="33" t="str">
        <f t="shared" si="1"/>
        <v/>
      </c>
    </row>
    <row r="162" ht="15.75" customHeight="1">
      <c r="E162" s="39"/>
      <c r="F162" s="39"/>
      <c r="G162" s="33"/>
      <c r="H162" s="33" t="str">
        <f t="shared" si="1"/>
        <v/>
      </c>
    </row>
    <row r="163" ht="15.75" customHeight="1">
      <c r="E163" s="39"/>
      <c r="F163" s="39"/>
      <c r="G163" s="33"/>
      <c r="H163" s="33" t="str">
        <f t="shared" si="1"/>
        <v/>
      </c>
    </row>
    <row r="164" ht="15.75" customHeight="1">
      <c r="E164" s="39"/>
      <c r="F164" s="39"/>
      <c r="G164" s="33"/>
      <c r="H164" s="33" t="str">
        <f t="shared" si="1"/>
        <v/>
      </c>
    </row>
    <row r="165" ht="15.75" customHeight="1">
      <c r="E165" s="39"/>
      <c r="F165" s="39"/>
      <c r="G165" s="33"/>
      <c r="H165" s="33" t="str">
        <f t="shared" si="1"/>
        <v/>
      </c>
    </row>
    <row r="166" ht="15.75" customHeight="1">
      <c r="E166" s="39"/>
      <c r="F166" s="39"/>
      <c r="G166" s="33"/>
      <c r="H166" s="33" t="str">
        <f t="shared" si="1"/>
        <v/>
      </c>
    </row>
    <row r="167" ht="15.75" customHeight="1">
      <c r="E167" s="39"/>
      <c r="F167" s="39"/>
      <c r="G167" s="33"/>
      <c r="H167" s="33" t="str">
        <f t="shared" si="1"/>
        <v/>
      </c>
    </row>
    <row r="168" ht="15.75" customHeight="1">
      <c r="E168" s="39"/>
      <c r="F168" s="39"/>
      <c r="G168" s="33"/>
      <c r="H168" s="33" t="str">
        <f t="shared" si="1"/>
        <v/>
      </c>
    </row>
    <row r="169" ht="15.75" customHeight="1">
      <c r="E169" s="39"/>
      <c r="F169" s="39"/>
      <c r="G169" s="33"/>
      <c r="H169" s="33" t="str">
        <f t="shared" si="1"/>
        <v/>
      </c>
    </row>
    <row r="170" ht="15.75" customHeight="1">
      <c r="E170" s="39"/>
      <c r="F170" s="39"/>
      <c r="G170" s="33"/>
      <c r="H170" s="33" t="str">
        <f t="shared" si="1"/>
        <v/>
      </c>
    </row>
    <row r="171" ht="15.75" customHeight="1">
      <c r="E171" s="39"/>
      <c r="F171" s="39"/>
      <c r="G171" s="33"/>
      <c r="H171" s="33" t="str">
        <f t="shared" si="1"/>
        <v/>
      </c>
    </row>
    <row r="172" ht="15.75" customHeight="1">
      <c r="E172" s="39"/>
      <c r="F172" s="39"/>
      <c r="G172" s="33"/>
      <c r="H172" s="33" t="str">
        <f t="shared" si="1"/>
        <v/>
      </c>
    </row>
    <row r="173" ht="15.75" customHeight="1">
      <c r="E173" s="39"/>
      <c r="F173" s="39"/>
      <c r="G173" s="33"/>
      <c r="H173" s="33" t="str">
        <f t="shared" si="1"/>
        <v/>
      </c>
    </row>
    <row r="174" ht="15.75" customHeight="1">
      <c r="E174" s="39"/>
      <c r="F174" s="39"/>
      <c r="G174" s="33"/>
      <c r="H174" s="33" t="str">
        <f t="shared" si="1"/>
        <v/>
      </c>
    </row>
    <row r="175" ht="15.75" customHeight="1">
      <c r="E175" s="39"/>
      <c r="F175" s="39"/>
      <c r="G175" s="33"/>
      <c r="H175" s="33" t="str">
        <f t="shared" si="1"/>
        <v/>
      </c>
    </row>
    <row r="176" ht="15.75" customHeight="1">
      <c r="E176" s="39"/>
      <c r="F176" s="39"/>
      <c r="G176" s="33"/>
      <c r="H176" s="33" t="str">
        <f t="shared" si="1"/>
        <v/>
      </c>
    </row>
    <row r="177" ht="15.75" customHeight="1">
      <c r="E177" s="39"/>
      <c r="F177" s="39"/>
      <c r="G177" s="33"/>
      <c r="H177" s="33" t="str">
        <f t="shared" si="1"/>
        <v/>
      </c>
    </row>
    <row r="178" ht="15.75" customHeight="1">
      <c r="E178" s="39"/>
      <c r="F178" s="39"/>
      <c r="G178" s="33"/>
      <c r="H178" s="33" t="str">
        <f t="shared" si="1"/>
        <v/>
      </c>
    </row>
    <row r="179" ht="15.75" customHeight="1">
      <c r="E179" s="39"/>
      <c r="F179" s="39"/>
      <c r="G179" s="33"/>
      <c r="H179" s="33" t="str">
        <f t="shared" si="1"/>
        <v/>
      </c>
    </row>
    <row r="180" ht="15.75" customHeight="1">
      <c r="E180" s="39"/>
      <c r="F180" s="39"/>
      <c r="G180" s="33"/>
      <c r="H180" s="33" t="str">
        <f t="shared" si="1"/>
        <v/>
      </c>
    </row>
    <row r="181" ht="15.75" customHeight="1">
      <c r="E181" s="39"/>
      <c r="F181" s="39"/>
      <c r="G181" s="33"/>
      <c r="H181" s="33" t="str">
        <f t="shared" si="1"/>
        <v/>
      </c>
    </row>
    <row r="182" ht="15.75" customHeight="1">
      <c r="E182" s="39"/>
      <c r="F182" s="39"/>
      <c r="G182" s="33"/>
      <c r="H182" s="33" t="str">
        <f t="shared" si="1"/>
        <v/>
      </c>
    </row>
    <row r="183" ht="15.75" customHeight="1">
      <c r="E183" s="39"/>
      <c r="F183" s="39"/>
      <c r="G183" s="33"/>
      <c r="H183" s="33" t="str">
        <f t="shared" si="1"/>
        <v/>
      </c>
    </row>
    <row r="184" ht="15.75" customHeight="1">
      <c r="E184" s="39"/>
      <c r="F184" s="39"/>
      <c r="G184" s="33"/>
      <c r="H184" s="33" t="str">
        <f t="shared" si="1"/>
        <v/>
      </c>
    </row>
    <row r="185" ht="15.75" customHeight="1">
      <c r="E185" s="39"/>
      <c r="F185" s="39"/>
      <c r="G185" s="33"/>
      <c r="H185" s="33" t="str">
        <f t="shared" si="1"/>
        <v/>
      </c>
    </row>
    <row r="186" ht="15.75" customHeight="1">
      <c r="E186" s="39"/>
      <c r="F186" s="39"/>
      <c r="G186" s="33"/>
      <c r="H186" s="33" t="str">
        <f t="shared" si="1"/>
        <v/>
      </c>
    </row>
    <row r="187" ht="15.75" customHeight="1">
      <c r="E187" s="39"/>
      <c r="F187" s="39"/>
      <c r="G187" s="33"/>
      <c r="H187" s="33" t="str">
        <f t="shared" si="1"/>
        <v/>
      </c>
    </row>
    <row r="188" ht="15.75" customHeight="1">
      <c r="E188" s="39"/>
      <c r="F188" s="39"/>
      <c r="G188" s="33"/>
      <c r="H188" s="33" t="str">
        <f t="shared" si="1"/>
        <v/>
      </c>
    </row>
    <row r="189" ht="15.75" customHeight="1">
      <c r="E189" s="39"/>
      <c r="F189" s="39"/>
      <c r="G189" s="33"/>
      <c r="H189" s="33" t="str">
        <f t="shared" si="1"/>
        <v/>
      </c>
    </row>
    <row r="190" ht="15.75" customHeight="1">
      <c r="E190" s="39"/>
      <c r="F190" s="39"/>
      <c r="G190" s="33"/>
      <c r="H190" s="33" t="str">
        <f t="shared" si="1"/>
        <v/>
      </c>
    </row>
    <row r="191" ht="15.75" customHeight="1">
      <c r="E191" s="39"/>
      <c r="F191" s="39"/>
      <c r="G191" s="33"/>
      <c r="H191" s="33" t="str">
        <f t="shared" si="1"/>
        <v/>
      </c>
    </row>
    <row r="192" ht="15.75" customHeight="1">
      <c r="E192" s="39"/>
      <c r="F192" s="39"/>
      <c r="G192" s="33"/>
      <c r="H192" s="33" t="str">
        <f t="shared" si="1"/>
        <v/>
      </c>
    </row>
    <row r="193" ht="15.75" customHeight="1">
      <c r="E193" s="39"/>
      <c r="F193" s="39"/>
      <c r="G193" s="33"/>
      <c r="H193" s="33" t="str">
        <f t="shared" si="1"/>
        <v/>
      </c>
    </row>
    <row r="194" ht="15.75" customHeight="1">
      <c r="E194" s="39"/>
      <c r="F194" s="39"/>
      <c r="G194" s="33"/>
      <c r="H194" s="33" t="str">
        <f t="shared" si="1"/>
        <v/>
      </c>
    </row>
    <row r="195" ht="15.75" customHeight="1">
      <c r="E195" s="39"/>
      <c r="F195" s="39"/>
      <c r="G195" s="33"/>
      <c r="H195" s="33" t="str">
        <f t="shared" si="1"/>
        <v/>
      </c>
    </row>
    <row r="196" ht="15.75" customHeight="1">
      <c r="E196" s="39"/>
      <c r="F196" s="39"/>
      <c r="G196" s="33"/>
      <c r="H196" s="33" t="str">
        <f t="shared" si="1"/>
        <v/>
      </c>
    </row>
    <row r="197" ht="15.75" customHeight="1">
      <c r="E197" s="39"/>
      <c r="F197" s="39"/>
      <c r="G197" s="33"/>
      <c r="H197" s="33" t="str">
        <f t="shared" si="1"/>
        <v/>
      </c>
    </row>
    <row r="198" ht="15.75" customHeight="1">
      <c r="E198" s="39"/>
      <c r="F198" s="39"/>
      <c r="G198" s="33"/>
      <c r="H198" s="33" t="str">
        <f t="shared" si="1"/>
        <v/>
      </c>
    </row>
    <row r="199" ht="15.75" customHeight="1">
      <c r="E199" s="39"/>
      <c r="F199" s="39"/>
      <c r="G199" s="33"/>
      <c r="H199" s="33" t="str">
        <f t="shared" si="1"/>
        <v/>
      </c>
    </row>
    <row r="200" ht="15.75" customHeight="1">
      <c r="E200" s="39"/>
      <c r="F200" s="39"/>
      <c r="G200" s="33"/>
      <c r="H200" s="33" t="str">
        <f t="shared" si="1"/>
        <v/>
      </c>
    </row>
    <row r="201" ht="15.75" customHeight="1">
      <c r="E201" s="39"/>
      <c r="F201" s="39"/>
      <c r="G201" s="33"/>
      <c r="H201" s="33" t="str">
        <f t="shared" si="1"/>
        <v/>
      </c>
    </row>
    <row r="202" ht="15.75" customHeight="1">
      <c r="E202" s="39"/>
      <c r="F202" s="39"/>
      <c r="G202" s="33"/>
      <c r="H202" s="33" t="str">
        <f t="shared" si="1"/>
        <v/>
      </c>
    </row>
    <row r="203" ht="15.75" customHeight="1">
      <c r="E203" s="39"/>
      <c r="F203" s="39"/>
      <c r="G203" s="33"/>
      <c r="H203" s="33" t="str">
        <f t="shared" si="1"/>
        <v/>
      </c>
    </row>
    <row r="204" ht="15.75" customHeight="1">
      <c r="E204" s="39"/>
      <c r="F204" s="39"/>
      <c r="G204" s="33"/>
      <c r="H204" s="33" t="str">
        <f t="shared" si="1"/>
        <v/>
      </c>
    </row>
    <row r="205" ht="15.75" customHeight="1">
      <c r="E205" s="39"/>
      <c r="F205" s="39"/>
      <c r="G205" s="33"/>
      <c r="H205" s="33" t="str">
        <f t="shared" si="1"/>
        <v/>
      </c>
    </row>
    <row r="206" ht="15.75" customHeight="1">
      <c r="E206" s="39"/>
      <c r="F206" s="39"/>
      <c r="G206" s="33"/>
      <c r="H206" s="33" t="str">
        <f t="shared" si="1"/>
        <v/>
      </c>
    </row>
    <row r="207" ht="15.75" customHeight="1">
      <c r="E207" s="39"/>
      <c r="F207" s="39"/>
      <c r="G207" s="33"/>
      <c r="H207" s="33" t="str">
        <f t="shared" si="1"/>
        <v/>
      </c>
    </row>
    <row r="208" ht="15.75" customHeight="1">
      <c r="E208" s="39"/>
      <c r="F208" s="39"/>
      <c r="G208" s="33"/>
      <c r="H208" s="33" t="str">
        <f t="shared" si="1"/>
        <v/>
      </c>
    </row>
    <row r="209" ht="15.75" customHeight="1">
      <c r="E209" s="39"/>
      <c r="F209" s="39"/>
      <c r="G209" s="33"/>
      <c r="H209" s="33" t="str">
        <f t="shared" si="1"/>
        <v/>
      </c>
    </row>
    <row r="210" ht="15.75" customHeight="1">
      <c r="E210" s="39"/>
      <c r="F210" s="39"/>
      <c r="G210" s="33"/>
      <c r="H210" s="33" t="str">
        <f t="shared" si="1"/>
        <v/>
      </c>
    </row>
    <row r="211" ht="15.75" customHeight="1">
      <c r="E211" s="39"/>
      <c r="F211" s="39"/>
      <c r="G211" s="33"/>
      <c r="H211" s="33" t="str">
        <f t="shared" si="1"/>
        <v/>
      </c>
    </row>
    <row r="212" ht="15.75" customHeight="1">
      <c r="E212" s="39"/>
      <c r="F212" s="39"/>
      <c r="G212" s="33"/>
      <c r="H212" s="33" t="str">
        <f t="shared" si="1"/>
        <v/>
      </c>
    </row>
    <row r="213" ht="15.75" customHeight="1">
      <c r="E213" s="39"/>
      <c r="F213" s="39"/>
      <c r="G213" s="33"/>
      <c r="H213" s="33" t="str">
        <f t="shared" si="1"/>
        <v/>
      </c>
    </row>
    <row r="214" ht="15.75" customHeight="1">
      <c r="E214" s="39"/>
      <c r="F214" s="39"/>
      <c r="G214" s="33"/>
      <c r="H214" s="33" t="str">
        <f t="shared" si="1"/>
        <v/>
      </c>
    </row>
    <row r="215" ht="15.75" customHeight="1">
      <c r="E215" s="39"/>
      <c r="F215" s="39"/>
      <c r="G215" s="33"/>
      <c r="H215" s="33" t="str">
        <f t="shared" si="1"/>
        <v/>
      </c>
    </row>
    <row r="216" ht="15.75" customHeight="1">
      <c r="E216" s="39"/>
      <c r="F216" s="39"/>
      <c r="G216" s="33"/>
      <c r="H216" s="33" t="str">
        <f t="shared" si="1"/>
        <v/>
      </c>
    </row>
    <row r="217" ht="15.75" customHeight="1">
      <c r="E217" s="39"/>
      <c r="F217" s="39"/>
      <c r="G217" s="33"/>
      <c r="H217" s="33" t="str">
        <f t="shared" si="1"/>
        <v/>
      </c>
    </row>
    <row r="218" ht="15.75" customHeight="1">
      <c r="E218" s="39"/>
      <c r="F218" s="39"/>
      <c r="G218" s="33"/>
      <c r="H218" s="33" t="str">
        <f t="shared" si="1"/>
        <v/>
      </c>
    </row>
    <row r="219" ht="15.75" customHeight="1">
      <c r="E219" s="39"/>
      <c r="F219" s="39"/>
      <c r="G219" s="33"/>
      <c r="H219" s="33" t="str">
        <f t="shared" si="1"/>
        <v/>
      </c>
    </row>
    <row r="220" ht="15.75" customHeight="1">
      <c r="E220" s="39"/>
      <c r="F220" s="39"/>
      <c r="G220" s="33"/>
      <c r="H220" s="33" t="str">
        <f t="shared" si="1"/>
        <v/>
      </c>
    </row>
    <row r="221" ht="15.75" customHeight="1">
      <c r="E221" s="39"/>
      <c r="F221" s="39"/>
      <c r="G221" s="33"/>
      <c r="H221" s="33" t="str">
        <f t="shared" si="1"/>
        <v/>
      </c>
    </row>
    <row r="222" ht="15.75" customHeight="1">
      <c r="E222" s="39"/>
      <c r="F222" s="39"/>
      <c r="G222" s="33"/>
      <c r="H222" s="33" t="str">
        <f t="shared" si="1"/>
        <v/>
      </c>
    </row>
    <row r="223" ht="15.75" customHeight="1">
      <c r="E223" s="39"/>
      <c r="F223" s="39"/>
      <c r="G223" s="33"/>
      <c r="H223" s="33" t="str">
        <f t="shared" si="1"/>
        <v/>
      </c>
    </row>
    <row r="224" ht="15.75" customHeight="1">
      <c r="E224" s="39"/>
      <c r="F224" s="39"/>
      <c r="G224" s="33"/>
      <c r="H224" s="33" t="str">
        <f t="shared" si="1"/>
        <v/>
      </c>
    </row>
    <row r="225" ht="15.75" customHeight="1">
      <c r="E225" s="39"/>
      <c r="F225" s="39"/>
      <c r="G225" s="33"/>
      <c r="H225" s="33" t="str">
        <f t="shared" si="1"/>
        <v/>
      </c>
    </row>
    <row r="226" ht="15.75" customHeight="1">
      <c r="E226" s="39"/>
      <c r="F226" s="39"/>
      <c r="G226" s="33"/>
      <c r="H226" s="33" t="str">
        <f t="shared" si="1"/>
        <v/>
      </c>
    </row>
    <row r="227" ht="15.75" customHeight="1">
      <c r="E227" s="39"/>
      <c r="F227" s="39"/>
      <c r="G227" s="33"/>
      <c r="H227" s="33" t="str">
        <f t="shared" si="1"/>
        <v/>
      </c>
    </row>
    <row r="228" ht="15.75" customHeight="1">
      <c r="E228" s="39"/>
      <c r="F228" s="39"/>
      <c r="G228" s="33"/>
      <c r="H228" s="33" t="str">
        <f t="shared" si="1"/>
        <v/>
      </c>
    </row>
    <row r="229" ht="15.75" customHeight="1">
      <c r="E229" s="39"/>
      <c r="F229" s="39"/>
      <c r="G229" s="33"/>
      <c r="H229" s="33" t="str">
        <f t="shared" si="1"/>
        <v/>
      </c>
    </row>
    <row r="230" ht="15.75" customHeight="1">
      <c r="E230" s="39"/>
      <c r="F230" s="39"/>
      <c r="G230" s="33"/>
      <c r="H230" s="33" t="str">
        <f t="shared" si="1"/>
        <v/>
      </c>
    </row>
    <row r="231" ht="15.75" customHeight="1">
      <c r="E231" s="39"/>
      <c r="F231" s="39"/>
      <c r="G231" s="33"/>
      <c r="H231" s="33" t="str">
        <f t="shared" si="1"/>
        <v/>
      </c>
    </row>
    <row r="232" ht="15.75" customHeight="1">
      <c r="E232" s="39"/>
      <c r="F232" s="39"/>
      <c r="G232" s="33"/>
      <c r="H232" s="33" t="str">
        <f t="shared" si="1"/>
        <v/>
      </c>
    </row>
    <row r="233" ht="15.75" customHeight="1">
      <c r="E233" s="39"/>
      <c r="F233" s="39"/>
      <c r="G233" s="33"/>
      <c r="H233" s="33" t="str">
        <f t="shared" si="1"/>
        <v/>
      </c>
    </row>
    <row r="234" ht="15.75" customHeight="1">
      <c r="E234" s="39"/>
      <c r="F234" s="39"/>
      <c r="G234" s="33"/>
      <c r="H234" s="33" t="str">
        <f t="shared" si="1"/>
        <v/>
      </c>
    </row>
    <row r="235" ht="15.75" customHeight="1">
      <c r="E235" s="39"/>
      <c r="F235" s="39"/>
      <c r="G235" s="33"/>
      <c r="H235" s="33" t="str">
        <f t="shared" si="1"/>
        <v/>
      </c>
    </row>
    <row r="236" ht="15.75" customHeight="1">
      <c r="E236" s="39"/>
      <c r="F236" s="39"/>
      <c r="G236" s="33"/>
      <c r="H236" s="33" t="str">
        <f t="shared" si="1"/>
        <v/>
      </c>
    </row>
    <row r="237" ht="15.75" customHeight="1">
      <c r="E237" s="39"/>
      <c r="F237" s="39"/>
      <c r="G237" s="33"/>
      <c r="H237" s="33" t="str">
        <f t="shared" si="1"/>
        <v/>
      </c>
    </row>
    <row r="238" ht="15.75" customHeight="1">
      <c r="E238" s="39"/>
      <c r="F238" s="39"/>
      <c r="G238" s="33"/>
      <c r="H238" s="33" t="str">
        <f t="shared" si="1"/>
        <v/>
      </c>
    </row>
    <row r="239" ht="15.75" customHeight="1">
      <c r="E239" s="39"/>
      <c r="F239" s="39"/>
      <c r="G239" s="33"/>
      <c r="H239" s="33" t="str">
        <f t="shared" si="1"/>
        <v/>
      </c>
    </row>
    <row r="240" ht="15.75" customHeight="1">
      <c r="E240" s="39"/>
      <c r="F240" s="39"/>
      <c r="G240" s="33"/>
      <c r="H240" s="33" t="str">
        <f t="shared" si="1"/>
        <v/>
      </c>
    </row>
    <row r="241" ht="15.75" customHeight="1">
      <c r="E241" s="39"/>
      <c r="F241" s="39"/>
      <c r="G241" s="33"/>
      <c r="H241" s="33" t="str">
        <f t="shared" si="1"/>
        <v/>
      </c>
    </row>
    <row r="242" ht="15.75" customHeight="1">
      <c r="E242" s="39"/>
      <c r="F242" s="39"/>
      <c r="G242" s="33"/>
      <c r="H242" s="33" t="str">
        <f t="shared" si="1"/>
        <v/>
      </c>
    </row>
    <row r="243" ht="15.75" customHeight="1">
      <c r="E243" s="39"/>
      <c r="F243" s="39"/>
      <c r="G243" s="33"/>
      <c r="H243" s="33" t="str">
        <f t="shared" si="1"/>
        <v/>
      </c>
    </row>
    <row r="244" ht="15.75" customHeight="1">
      <c r="E244" s="39"/>
      <c r="F244" s="39"/>
      <c r="G244" s="33"/>
      <c r="H244" s="33" t="str">
        <f t="shared" si="1"/>
        <v/>
      </c>
    </row>
    <row r="245" ht="15.75" customHeight="1">
      <c r="E245" s="39"/>
      <c r="F245" s="39"/>
      <c r="G245" s="33"/>
      <c r="H245" s="33" t="str">
        <f t="shared" si="1"/>
        <v/>
      </c>
    </row>
    <row r="246" ht="15.75" customHeight="1">
      <c r="E246" s="39"/>
      <c r="F246" s="39"/>
      <c r="G246" s="33"/>
      <c r="H246" s="33" t="str">
        <f t="shared" si="1"/>
        <v/>
      </c>
    </row>
    <row r="247" ht="15.75" customHeight="1">
      <c r="E247" s="39"/>
      <c r="F247" s="39"/>
      <c r="G247" s="33"/>
      <c r="H247" s="33" t="str">
        <f t="shared" si="1"/>
        <v/>
      </c>
    </row>
    <row r="248" ht="15.75" customHeight="1">
      <c r="E248" s="39"/>
      <c r="F248" s="39"/>
      <c r="G248" s="33"/>
      <c r="H248" s="33" t="str">
        <f t="shared" si="1"/>
        <v/>
      </c>
    </row>
    <row r="249" ht="15.75" customHeight="1">
      <c r="E249" s="39"/>
      <c r="F249" s="39"/>
      <c r="G249" s="33"/>
      <c r="H249" s="33" t="str">
        <f t="shared" si="1"/>
        <v/>
      </c>
    </row>
    <row r="250" ht="15.75" customHeight="1">
      <c r="E250" s="39"/>
      <c r="F250" s="39"/>
      <c r="G250" s="33"/>
      <c r="H250" s="33" t="str">
        <f t="shared" si="1"/>
        <v/>
      </c>
    </row>
    <row r="251" ht="15.75" customHeight="1">
      <c r="E251" s="39"/>
      <c r="F251" s="39"/>
      <c r="G251" s="33"/>
      <c r="H251" s="33" t="str">
        <f t="shared" si="1"/>
        <v/>
      </c>
    </row>
    <row r="252" ht="15.75" customHeight="1">
      <c r="E252" s="39"/>
      <c r="F252" s="39"/>
      <c r="G252" s="33"/>
      <c r="H252" s="33" t="str">
        <f t="shared" si="1"/>
        <v/>
      </c>
    </row>
    <row r="253" ht="15.75" customHeight="1">
      <c r="E253" s="39"/>
      <c r="F253" s="39"/>
      <c r="G253" s="33"/>
      <c r="H253" s="33" t="str">
        <f t="shared" si="1"/>
        <v/>
      </c>
    </row>
    <row r="254" ht="15.75" customHeight="1">
      <c r="E254" s="39"/>
      <c r="F254" s="39"/>
      <c r="G254" s="33"/>
      <c r="H254" s="33" t="str">
        <f t="shared" si="1"/>
        <v/>
      </c>
    </row>
    <row r="255" ht="15.75" customHeight="1">
      <c r="E255" s="39"/>
      <c r="F255" s="39"/>
      <c r="G255" s="33"/>
      <c r="H255" s="33" t="str">
        <f t="shared" si="1"/>
        <v/>
      </c>
    </row>
    <row r="256" ht="15.75" customHeight="1">
      <c r="E256" s="39"/>
      <c r="F256" s="39"/>
      <c r="G256" s="33"/>
      <c r="H256" s="33" t="str">
        <f t="shared" si="1"/>
        <v/>
      </c>
    </row>
    <row r="257" ht="15.75" customHeight="1">
      <c r="E257" s="39"/>
      <c r="F257" s="39"/>
      <c r="G257" s="33"/>
      <c r="H257" s="33" t="str">
        <f t="shared" si="1"/>
        <v/>
      </c>
    </row>
    <row r="258" ht="15.75" customHeight="1">
      <c r="E258" s="39"/>
      <c r="F258" s="39"/>
      <c r="G258" s="33"/>
      <c r="H258" s="33" t="str">
        <f t="shared" si="1"/>
        <v/>
      </c>
    </row>
    <row r="259" ht="15.75" customHeight="1">
      <c r="E259" s="39"/>
      <c r="F259" s="39"/>
      <c r="G259" s="33"/>
      <c r="H259" s="33" t="str">
        <f t="shared" si="1"/>
        <v/>
      </c>
    </row>
    <row r="260" ht="15.75" customHeight="1">
      <c r="E260" s="39"/>
      <c r="F260" s="39"/>
      <c r="G260" s="33"/>
      <c r="H260" s="33" t="str">
        <f t="shared" si="1"/>
        <v/>
      </c>
    </row>
    <row r="261" ht="15.75" customHeight="1">
      <c r="E261" s="39"/>
      <c r="F261" s="39"/>
      <c r="G261" s="33"/>
      <c r="H261" s="33" t="str">
        <f t="shared" si="1"/>
        <v/>
      </c>
    </row>
    <row r="262" ht="15.75" customHeight="1">
      <c r="E262" s="39"/>
      <c r="F262" s="39"/>
      <c r="G262" s="33"/>
      <c r="H262" s="33" t="str">
        <f t="shared" si="1"/>
        <v/>
      </c>
    </row>
    <row r="263" ht="15.75" customHeight="1">
      <c r="E263" s="39"/>
      <c r="F263" s="39"/>
      <c r="G263" s="33"/>
      <c r="H263" s="33" t="str">
        <f t="shared" si="1"/>
        <v/>
      </c>
    </row>
    <row r="264" ht="15.75" customHeight="1">
      <c r="E264" s="39"/>
      <c r="F264" s="39"/>
      <c r="G264" s="33"/>
      <c r="H264" s="33" t="str">
        <f t="shared" si="1"/>
        <v/>
      </c>
    </row>
    <row r="265" ht="15.75" customHeight="1">
      <c r="E265" s="39"/>
      <c r="F265" s="39"/>
      <c r="G265" s="33"/>
      <c r="H265" s="33" t="str">
        <f t="shared" si="1"/>
        <v/>
      </c>
    </row>
    <row r="266" ht="15.75" customHeight="1">
      <c r="E266" s="39"/>
      <c r="F266" s="39"/>
      <c r="G266" s="33"/>
      <c r="H266" s="33" t="str">
        <f t="shared" si="1"/>
        <v/>
      </c>
    </row>
    <row r="267" ht="15.75" customHeight="1">
      <c r="E267" s="39"/>
      <c r="F267" s="39"/>
      <c r="G267" s="33"/>
      <c r="H267" s="33" t="str">
        <f t="shared" si="1"/>
        <v/>
      </c>
    </row>
    <row r="268" ht="15.75" customHeight="1">
      <c r="E268" s="39"/>
      <c r="F268" s="39"/>
      <c r="G268" s="33"/>
      <c r="H268" s="33" t="str">
        <f t="shared" si="1"/>
        <v/>
      </c>
    </row>
    <row r="269" ht="15.75" customHeight="1">
      <c r="E269" s="39"/>
      <c r="F269" s="39"/>
      <c r="G269" s="33"/>
      <c r="H269" s="33" t="str">
        <f t="shared" si="1"/>
        <v/>
      </c>
    </row>
    <row r="270" ht="15.75" customHeight="1">
      <c r="E270" s="39"/>
      <c r="F270" s="39"/>
      <c r="G270" s="33"/>
      <c r="H270" s="33" t="str">
        <f t="shared" si="1"/>
        <v/>
      </c>
    </row>
    <row r="271" ht="15.75" customHeight="1">
      <c r="E271" s="39"/>
      <c r="F271" s="39"/>
      <c r="G271" s="33"/>
      <c r="H271" s="33" t="str">
        <f t="shared" si="1"/>
        <v/>
      </c>
    </row>
    <row r="272" ht="15.75" customHeight="1">
      <c r="E272" s="39"/>
      <c r="F272" s="39"/>
      <c r="G272" s="33"/>
      <c r="H272" s="33" t="str">
        <f t="shared" si="1"/>
        <v/>
      </c>
    </row>
    <row r="273" ht="15.75" customHeight="1">
      <c r="E273" s="39"/>
      <c r="F273" s="39"/>
      <c r="G273" s="33"/>
      <c r="H273" s="33" t="str">
        <f t="shared" si="1"/>
        <v/>
      </c>
    </row>
    <row r="274" ht="15.75" customHeight="1">
      <c r="E274" s="39"/>
      <c r="F274" s="39"/>
      <c r="G274" s="33"/>
      <c r="H274" s="33" t="str">
        <f t="shared" si="1"/>
        <v/>
      </c>
    </row>
    <row r="275" ht="15.75" customHeight="1">
      <c r="E275" s="39"/>
      <c r="F275" s="39"/>
      <c r="G275" s="33"/>
      <c r="H275" s="33" t="str">
        <f t="shared" si="1"/>
        <v/>
      </c>
    </row>
    <row r="276" ht="15.75" customHeight="1">
      <c r="E276" s="39"/>
      <c r="F276" s="39"/>
      <c r="G276" s="33"/>
      <c r="H276" s="33" t="str">
        <f t="shared" si="1"/>
        <v/>
      </c>
    </row>
    <row r="277" ht="15.75" customHeight="1">
      <c r="E277" s="39"/>
      <c r="F277" s="39"/>
      <c r="G277" s="33"/>
      <c r="H277" s="33" t="str">
        <f t="shared" si="1"/>
        <v/>
      </c>
    </row>
    <row r="278" ht="15.75" customHeight="1">
      <c r="E278" s="39"/>
      <c r="F278" s="39"/>
      <c r="G278" s="33"/>
      <c r="H278" s="33" t="str">
        <f t="shared" si="1"/>
        <v/>
      </c>
    </row>
    <row r="279" ht="15.75" customHeight="1">
      <c r="E279" s="39"/>
      <c r="F279" s="39"/>
      <c r="G279" s="33"/>
      <c r="H279" s="33" t="str">
        <f t="shared" si="1"/>
        <v/>
      </c>
    </row>
    <row r="280" ht="15.75" customHeight="1">
      <c r="E280" s="39"/>
      <c r="F280" s="39"/>
      <c r="G280" s="33"/>
      <c r="H280" s="33" t="str">
        <f t="shared" si="1"/>
        <v/>
      </c>
    </row>
    <row r="281" ht="15.75" customHeight="1">
      <c r="E281" s="39"/>
      <c r="F281" s="39"/>
      <c r="G281" s="33"/>
      <c r="H281" s="33" t="str">
        <f t="shared" si="1"/>
        <v/>
      </c>
    </row>
    <row r="282" ht="15.75" customHeight="1">
      <c r="E282" s="39"/>
      <c r="F282" s="39"/>
      <c r="G282" s="33"/>
      <c r="H282" s="33" t="str">
        <f t="shared" si="1"/>
        <v/>
      </c>
    </row>
    <row r="283" ht="15.75" customHeight="1">
      <c r="E283" s="39"/>
      <c r="F283" s="39"/>
      <c r="G283" s="33"/>
      <c r="H283" s="33" t="str">
        <f t="shared" si="1"/>
        <v/>
      </c>
    </row>
    <row r="284" ht="15.75" customHeight="1">
      <c r="E284" s="39"/>
      <c r="F284" s="39"/>
      <c r="G284" s="33"/>
      <c r="H284" s="33" t="str">
        <f t="shared" si="1"/>
        <v/>
      </c>
    </row>
    <row r="285" ht="15.75" customHeight="1">
      <c r="E285" s="39"/>
      <c r="F285" s="39"/>
      <c r="G285" s="33"/>
      <c r="H285" s="33" t="str">
        <f t="shared" si="1"/>
        <v/>
      </c>
    </row>
    <row r="286" ht="15.75" customHeight="1">
      <c r="E286" s="39"/>
      <c r="F286" s="39"/>
      <c r="G286" s="33"/>
      <c r="H286" s="33" t="str">
        <f t="shared" si="1"/>
        <v/>
      </c>
    </row>
    <row r="287" ht="15.75" customHeight="1">
      <c r="E287" s="39"/>
      <c r="F287" s="39"/>
      <c r="G287" s="33"/>
      <c r="H287" s="33" t="str">
        <f t="shared" si="1"/>
        <v/>
      </c>
    </row>
    <row r="288" ht="15.75" customHeight="1">
      <c r="E288" s="39"/>
      <c r="F288" s="39"/>
      <c r="G288" s="33"/>
      <c r="H288" s="33" t="str">
        <f t="shared" si="1"/>
        <v/>
      </c>
    </row>
    <row r="289" ht="15.75" customHeight="1">
      <c r="E289" s="39"/>
      <c r="F289" s="39"/>
      <c r="G289" s="33"/>
      <c r="H289" s="33" t="str">
        <f t="shared" si="1"/>
        <v/>
      </c>
    </row>
    <row r="290" ht="15.75" customHeight="1">
      <c r="E290" s="39"/>
      <c r="F290" s="39"/>
      <c r="G290" s="33"/>
      <c r="H290" s="33" t="str">
        <f t="shared" si="1"/>
        <v/>
      </c>
    </row>
    <row r="291" ht="15.75" customHeight="1">
      <c r="E291" s="39"/>
      <c r="F291" s="39"/>
      <c r="G291" s="33"/>
      <c r="H291" s="33" t="str">
        <f t="shared" si="1"/>
        <v/>
      </c>
    </row>
    <row r="292" ht="15.75" customHeight="1">
      <c r="E292" s="39"/>
      <c r="F292" s="39"/>
      <c r="G292" s="33"/>
      <c r="H292" s="33" t="str">
        <f t="shared" si="1"/>
        <v/>
      </c>
    </row>
    <row r="293" ht="15.75" customHeight="1">
      <c r="E293" s="39"/>
      <c r="F293" s="39"/>
      <c r="G293" s="33"/>
      <c r="H293" s="33" t="str">
        <f t="shared" si="1"/>
        <v/>
      </c>
    </row>
    <row r="294" ht="15.75" customHeight="1">
      <c r="E294" s="39"/>
      <c r="F294" s="39"/>
      <c r="G294" s="33"/>
      <c r="H294" s="33" t="str">
        <f t="shared" si="1"/>
        <v/>
      </c>
    </row>
    <row r="295" ht="15.75" customHeight="1">
      <c r="E295" s="39"/>
      <c r="F295" s="39"/>
      <c r="G295" s="33"/>
      <c r="H295" s="33" t="str">
        <f t="shared" si="1"/>
        <v/>
      </c>
    </row>
    <row r="296" ht="15.75" customHeight="1">
      <c r="E296" s="39"/>
      <c r="F296" s="39"/>
      <c r="G296" s="33"/>
      <c r="H296" s="33" t="str">
        <f t="shared" si="1"/>
        <v/>
      </c>
    </row>
    <row r="297" ht="15.75" customHeight="1">
      <c r="E297" s="39"/>
      <c r="F297" s="39"/>
      <c r="G297" s="33"/>
      <c r="H297" s="33" t="str">
        <f t="shared" si="1"/>
        <v/>
      </c>
    </row>
    <row r="298" ht="15.75" customHeight="1">
      <c r="E298" s="39"/>
      <c r="F298" s="39"/>
      <c r="G298" s="33"/>
      <c r="H298" s="33" t="str">
        <f t="shared" si="1"/>
        <v/>
      </c>
    </row>
    <row r="299" ht="15.75" customHeight="1">
      <c r="E299" s="39"/>
      <c r="F299" s="39"/>
      <c r="G299" s="33"/>
      <c r="H299" s="33" t="str">
        <f t="shared" si="1"/>
        <v/>
      </c>
    </row>
    <row r="300" ht="15.75" customHeight="1">
      <c r="E300" s="39"/>
      <c r="F300" s="39"/>
      <c r="G300" s="33"/>
      <c r="H300" s="33" t="str">
        <f t="shared" si="1"/>
        <v/>
      </c>
    </row>
    <row r="301" ht="15.75" customHeight="1">
      <c r="E301" s="39"/>
      <c r="F301" s="39"/>
      <c r="G301" s="33"/>
      <c r="H301" s="33" t="str">
        <f t="shared" si="1"/>
        <v/>
      </c>
    </row>
    <row r="302" ht="15.75" customHeight="1">
      <c r="E302" s="39"/>
      <c r="F302" s="39"/>
      <c r="G302" s="33"/>
      <c r="H302" s="33" t="str">
        <f t="shared" si="1"/>
        <v/>
      </c>
    </row>
    <row r="303" ht="15.75" customHeight="1">
      <c r="E303" s="39"/>
      <c r="F303" s="39"/>
      <c r="G303" s="33"/>
      <c r="H303" s="33" t="str">
        <f t="shared" si="1"/>
        <v/>
      </c>
    </row>
    <row r="304" ht="15.75" customHeight="1">
      <c r="E304" s="39"/>
      <c r="F304" s="39"/>
      <c r="G304" s="33"/>
      <c r="H304" s="33" t="str">
        <f t="shared" si="1"/>
        <v/>
      </c>
    </row>
    <row r="305" ht="15.75" customHeight="1">
      <c r="E305" s="39"/>
      <c r="F305" s="39"/>
      <c r="G305" s="33"/>
      <c r="H305" s="33" t="str">
        <f t="shared" si="1"/>
        <v/>
      </c>
    </row>
    <row r="306" ht="15.75" customHeight="1">
      <c r="E306" s="39"/>
      <c r="F306" s="39"/>
      <c r="G306" s="33"/>
      <c r="H306" s="33" t="str">
        <f t="shared" si="1"/>
        <v/>
      </c>
    </row>
    <row r="307" ht="15.75" customHeight="1">
      <c r="E307" s="39"/>
      <c r="F307" s="39"/>
      <c r="G307" s="33"/>
      <c r="H307" s="33" t="str">
        <f t="shared" si="1"/>
        <v/>
      </c>
    </row>
    <row r="308" ht="15.75" customHeight="1">
      <c r="E308" s="39"/>
      <c r="F308" s="39"/>
      <c r="G308" s="33"/>
      <c r="H308" s="33" t="str">
        <f t="shared" si="1"/>
        <v/>
      </c>
    </row>
    <row r="309" ht="15.75" customHeight="1">
      <c r="E309" s="39"/>
      <c r="F309" s="39"/>
      <c r="G309" s="33"/>
      <c r="H309" s="33" t="str">
        <f t="shared" si="1"/>
        <v/>
      </c>
    </row>
    <row r="310" ht="15.75" customHeight="1">
      <c r="E310" s="39"/>
      <c r="F310" s="39"/>
      <c r="G310" s="33"/>
      <c r="H310" s="33" t="str">
        <f t="shared" si="1"/>
        <v/>
      </c>
    </row>
    <row r="311" ht="15.75" customHeight="1">
      <c r="E311" s="39"/>
      <c r="F311" s="39"/>
      <c r="G311" s="33"/>
      <c r="H311" s="33" t="str">
        <f t="shared" si="1"/>
        <v/>
      </c>
    </row>
    <row r="312" ht="15.75" customHeight="1">
      <c r="E312" s="39"/>
      <c r="F312" s="39"/>
      <c r="G312" s="33"/>
      <c r="H312" s="33" t="str">
        <f t="shared" si="1"/>
        <v/>
      </c>
    </row>
    <row r="313" ht="15.75" customHeight="1">
      <c r="E313" s="39"/>
      <c r="F313" s="39"/>
      <c r="G313" s="33"/>
      <c r="H313" s="33" t="str">
        <f t="shared" si="1"/>
        <v/>
      </c>
    </row>
    <row r="314" ht="15.75" customHeight="1">
      <c r="E314" s="39"/>
      <c r="F314" s="39"/>
      <c r="G314" s="33"/>
      <c r="H314" s="33" t="str">
        <f t="shared" si="1"/>
        <v/>
      </c>
    </row>
    <row r="315" ht="15.75" customHeight="1">
      <c r="E315" s="39"/>
      <c r="F315" s="39"/>
      <c r="G315" s="33"/>
      <c r="H315" s="33" t="str">
        <f t="shared" si="1"/>
        <v/>
      </c>
    </row>
    <row r="316" ht="15.75" customHeight="1">
      <c r="E316" s="39"/>
      <c r="F316" s="39"/>
      <c r="G316" s="33"/>
      <c r="H316" s="33" t="str">
        <f t="shared" si="1"/>
        <v/>
      </c>
    </row>
    <row r="317" ht="15.75" customHeight="1">
      <c r="E317" s="39"/>
      <c r="F317" s="39"/>
      <c r="G317" s="33"/>
      <c r="H317" s="33" t="str">
        <f t="shared" si="1"/>
        <v/>
      </c>
    </row>
    <row r="318" ht="15.75" customHeight="1">
      <c r="E318" s="39"/>
      <c r="F318" s="39"/>
      <c r="G318" s="33"/>
      <c r="H318" s="33" t="str">
        <f t="shared" si="1"/>
        <v/>
      </c>
    </row>
    <row r="319" ht="15.75" customHeight="1">
      <c r="E319" s="39"/>
      <c r="F319" s="39"/>
      <c r="G319" s="33"/>
      <c r="H319" s="33" t="str">
        <f t="shared" si="1"/>
        <v/>
      </c>
    </row>
    <row r="320" ht="15.75" customHeight="1">
      <c r="E320" s="39"/>
      <c r="F320" s="39"/>
      <c r="G320" s="33"/>
      <c r="H320" s="33" t="str">
        <f t="shared" si="1"/>
        <v/>
      </c>
    </row>
    <row r="321" ht="15.75" customHeight="1">
      <c r="E321" s="39"/>
      <c r="F321" s="39"/>
      <c r="G321" s="33"/>
      <c r="H321" s="33" t="str">
        <f t="shared" si="1"/>
        <v/>
      </c>
    </row>
    <row r="322" ht="15.75" customHeight="1">
      <c r="E322" s="39"/>
      <c r="F322" s="39"/>
      <c r="G322" s="33"/>
      <c r="H322" s="33" t="str">
        <f t="shared" si="1"/>
        <v/>
      </c>
    </row>
    <row r="323" ht="15.75" customHeight="1">
      <c r="E323" s="39"/>
      <c r="F323" s="39"/>
      <c r="G323" s="33"/>
      <c r="H323" s="33" t="str">
        <f t="shared" si="1"/>
        <v/>
      </c>
    </row>
    <row r="324" ht="15.75" customHeight="1">
      <c r="E324" s="39"/>
      <c r="F324" s="39"/>
      <c r="G324" s="33"/>
      <c r="H324" s="33" t="str">
        <f t="shared" si="1"/>
        <v/>
      </c>
    </row>
    <row r="325" ht="15.75" customHeight="1">
      <c r="E325" s="39"/>
      <c r="F325" s="39"/>
      <c r="G325" s="33"/>
      <c r="H325" s="33" t="str">
        <f t="shared" si="1"/>
        <v/>
      </c>
    </row>
    <row r="326" ht="15.75" customHeight="1">
      <c r="E326" s="39"/>
      <c r="F326" s="39"/>
      <c r="G326" s="33"/>
      <c r="H326" s="33" t="str">
        <f t="shared" si="1"/>
        <v/>
      </c>
    </row>
    <row r="327" ht="15.75" customHeight="1">
      <c r="E327" s="39"/>
      <c r="F327" s="39"/>
      <c r="G327" s="33"/>
      <c r="H327" s="33" t="str">
        <f t="shared" si="1"/>
        <v/>
      </c>
    </row>
    <row r="328" ht="15.75" customHeight="1">
      <c r="E328" s="39"/>
      <c r="F328" s="39"/>
      <c r="G328" s="33"/>
      <c r="H328" s="33" t="str">
        <f t="shared" si="1"/>
        <v/>
      </c>
    </row>
    <row r="329" ht="15.75" customHeight="1">
      <c r="E329" s="39"/>
      <c r="F329" s="39"/>
      <c r="G329" s="33"/>
      <c r="H329" s="33" t="str">
        <f t="shared" si="1"/>
        <v/>
      </c>
    </row>
    <row r="330" ht="15.75" customHeight="1">
      <c r="E330" s="39"/>
      <c r="F330" s="39"/>
      <c r="G330" s="33"/>
      <c r="H330" s="33" t="str">
        <f t="shared" si="1"/>
        <v/>
      </c>
    </row>
    <row r="331" ht="15.75" customHeight="1">
      <c r="E331" s="39"/>
      <c r="F331" s="39"/>
      <c r="G331" s="33"/>
      <c r="H331" s="33" t="str">
        <f t="shared" si="1"/>
        <v/>
      </c>
    </row>
    <row r="332" ht="15.75" customHeight="1">
      <c r="E332" s="39"/>
      <c r="F332" s="39"/>
      <c r="G332" s="33"/>
      <c r="H332" s="33" t="str">
        <f t="shared" si="1"/>
        <v/>
      </c>
    </row>
    <row r="333" ht="15.75" customHeight="1">
      <c r="E333" s="39"/>
      <c r="F333" s="39"/>
      <c r="G333" s="33"/>
      <c r="H333" s="33" t="str">
        <f t="shared" si="1"/>
        <v/>
      </c>
    </row>
    <row r="334" ht="15.75" customHeight="1">
      <c r="E334" s="39"/>
      <c r="F334" s="39"/>
      <c r="G334" s="33"/>
      <c r="H334" s="33" t="str">
        <f t="shared" si="1"/>
        <v/>
      </c>
    </row>
    <row r="335" ht="15.75" customHeight="1">
      <c r="E335" s="39"/>
      <c r="F335" s="39"/>
      <c r="G335" s="33"/>
      <c r="H335" s="33" t="str">
        <f t="shared" si="1"/>
        <v/>
      </c>
    </row>
    <row r="336" ht="15.75" customHeight="1">
      <c r="E336" s="39"/>
      <c r="F336" s="39"/>
      <c r="G336" s="33"/>
      <c r="H336" s="33" t="str">
        <f t="shared" si="1"/>
        <v/>
      </c>
    </row>
    <row r="337" ht="15.75" customHeight="1">
      <c r="E337" s="39"/>
      <c r="F337" s="39"/>
      <c r="G337" s="33"/>
      <c r="H337" s="33" t="str">
        <f t="shared" si="1"/>
        <v/>
      </c>
    </row>
    <row r="338" ht="15.75" customHeight="1">
      <c r="E338" s="39"/>
      <c r="F338" s="39"/>
      <c r="G338" s="33"/>
      <c r="H338" s="33" t="str">
        <f t="shared" si="1"/>
        <v/>
      </c>
    </row>
    <row r="339" ht="15.75" customHeight="1">
      <c r="E339" s="39"/>
      <c r="F339" s="39"/>
      <c r="G339" s="33"/>
      <c r="H339" s="33" t="str">
        <f t="shared" si="1"/>
        <v/>
      </c>
    </row>
    <row r="340" ht="15.75" customHeight="1">
      <c r="E340" s="39"/>
      <c r="F340" s="39"/>
      <c r="G340" s="33"/>
      <c r="H340" s="33" t="str">
        <f t="shared" si="1"/>
        <v/>
      </c>
    </row>
    <row r="341" ht="15.75" customHeight="1">
      <c r="E341" s="39"/>
      <c r="F341" s="39"/>
      <c r="G341" s="33"/>
      <c r="H341" s="33" t="str">
        <f t="shared" si="1"/>
        <v/>
      </c>
    </row>
    <row r="342" ht="15.75" customHeight="1">
      <c r="E342" s="39"/>
      <c r="F342" s="39"/>
      <c r="G342" s="33"/>
      <c r="H342" s="33" t="str">
        <f t="shared" si="1"/>
        <v/>
      </c>
    </row>
    <row r="343" ht="15.75" customHeight="1">
      <c r="E343" s="39"/>
      <c r="F343" s="39"/>
      <c r="G343" s="33"/>
      <c r="H343" s="33" t="str">
        <f t="shared" si="1"/>
        <v/>
      </c>
    </row>
    <row r="344" ht="15.75" customHeight="1">
      <c r="E344" s="39"/>
      <c r="F344" s="39"/>
      <c r="G344" s="33"/>
      <c r="H344" s="33" t="str">
        <f t="shared" si="1"/>
        <v/>
      </c>
    </row>
    <row r="345" ht="15.75" customHeight="1">
      <c r="E345" s="39"/>
      <c r="F345" s="39"/>
      <c r="G345" s="33"/>
      <c r="H345" s="33" t="str">
        <f t="shared" si="1"/>
        <v/>
      </c>
    </row>
    <row r="346" ht="15.75" customHeight="1">
      <c r="E346" s="39"/>
      <c r="F346" s="39"/>
      <c r="G346" s="33"/>
      <c r="H346" s="33" t="str">
        <f t="shared" si="1"/>
        <v/>
      </c>
    </row>
    <row r="347" ht="15.75" customHeight="1">
      <c r="E347" s="39"/>
      <c r="F347" s="39"/>
      <c r="G347" s="33"/>
      <c r="H347" s="33" t="str">
        <f t="shared" si="1"/>
        <v/>
      </c>
    </row>
    <row r="348" ht="15.75" customHeight="1">
      <c r="E348" s="39"/>
      <c r="F348" s="39"/>
      <c r="G348" s="33"/>
      <c r="H348" s="33" t="str">
        <f t="shared" si="1"/>
        <v/>
      </c>
    </row>
    <row r="349" ht="15.75" customHeight="1">
      <c r="E349" s="39"/>
      <c r="F349" s="39"/>
      <c r="G349" s="33"/>
      <c r="H349" s="33" t="str">
        <f t="shared" si="1"/>
        <v/>
      </c>
    </row>
    <row r="350" ht="15.75" customHeight="1">
      <c r="E350" s="39"/>
      <c r="F350" s="39"/>
      <c r="G350" s="33"/>
      <c r="H350" s="33" t="str">
        <f t="shared" si="1"/>
        <v/>
      </c>
    </row>
    <row r="351" ht="15.75" customHeight="1">
      <c r="E351" s="39"/>
      <c r="F351" s="39"/>
      <c r="G351" s="33"/>
      <c r="H351" s="33" t="str">
        <f t="shared" si="1"/>
        <v/>
      </c>
    </row>
    <row r="352" ht="15.75" customHeight="1">
      <c r="E352" s="39"/>
      <c r="F352" s="39"/>
      <c r="G352" s="33"/>
      <c r="H352" s="33" t="str">
        <f t="shared" si="1"/>
        <v/>
      </c>
    </row>
    <row r="353" ht="15.75" customHeight="1">
      <c r="E353" s="39"/>
      <c r="F353" s="39"/>
      <c r="G353" s="33"/>
      <c r="H353" s="33" t="str">
        <f t="shared" si="1"/>
        <v/>
      </c>
    </row>
    <row r="354" ht="15.75" customHeight="1">
      <c r="E354" s="39"/>
      <c r="F354" s="39"/>
      <c r="G354" s="33"/>
      <c r="H354" s="33" t="str">
        <f t="shared" si="1"/>
        <v/>
      </c>
    </row>
    <row r="355" ht="15.75" customHeight="1">
      <c r="E355" s="39"/>
      <c r="F355" s="39"/>
      <c r="G355" s="33"/>
      <c r="H355" s="33" t="str">
        <f t="shared" si="1"/>
        <v/>
      </c>
    </row>
    <row r="356" ht="15.75" customHeight="1">
      <c r="E356" s="39"/>
      <c r="F356" s="39"/>
      <c r="G356" s="33"/>
      <c r="H356" s="33" t="str">
        <f t="shared" si="1"/>
        <v/>
      </c>
    </row>
    <row r="357" ht="15.75" customHeight="1">
      <c r="E357" s="39"/>
      <c r="F357" s="39"/>
      <c r="G357" s="33"/>
      <c r="H357" s="33" t="str">
        <f t="shared" si="1"/>
        <v/>
      </c>
    </row>
    <row r="358" ht="15.75" customHeight="1">
      <c r="E358" s="39"/>
      <c r="F358" s="39"/>
      <c r="G358" s="33"/>
      <c r="H358" s="33" t="str">
        <f t="shared" si="1"/>
        <v/>
      </c>
    </row>
    <row r="359" ht="15.75" customHeight="1">
      <c r="E359" s="39"/>
      <c r="F359" s="39"/>
      <c r="G359" s="33"/>
      <c r="H359" s="33" t="str">
        <f t="shared" si="1"/>
        <v/>
      </c>
    </row>
    <row r="360" ht="15.75" customHeight="1">
      <c r="E360" s="39"/>
      <c r="F360" s="39"/>
      <c r="G360" s="33"/>
      <c r="H360" s="33" t="str">
        <f t="shared" si="1"/>
        <v/>
      </c>
    </row>
    <row r="361" ht="15.75" customHeight="1">
      <c r="E361" s="39"/>
      <c r="F361" s="39"/>
      <c r="G361" s="33"/>
      <c r="H361" s="33" t="str">
        <f t="shared" si="1"/>
        <v/>
      </c>
    </row>
    <row r="362" ht="15.75" customHeight="1">
      <c r="E362" s="39"/>
      <c r="F362" s="39"/>
      <c r="G362" s="33"/>
      <c r="H362" s="33" t="str">
        <f t="shared" si="1"/>
        <v/>
      </c>
    </row>
    <row r="363" ht="15.75" customHeight="1">
      <c r="E363" s="39"/>
      <c r="F363" s="39"/>
      <c r="G363" s="33"/>
      <c r="H363" s="33" t="str">
        <f t="shared" si="1"/>
        <v/>
      </c>
    </row>
    <row r="364" ht="15.75" customHeight="1">
      <c r="E364" s="39"/>
      <c r="F364" s="39"/>
      <c r="G364" s="33"/>
      <c r="H364" s="33" t="str">
        <f t="shared" si="1"/>
        <v/>
      </c>
    </row>
    <row r="365" ht="15.75" customHeight="1">
      <c r="E365" s="39"/>
      <c r="F365" s="39"/>
      <c r="G365" s="33"/>
      <c r="H365" s="33" t="str">
        <f t="shared" si="1"/>
        <v/>
      </c>
    </row>
    <row r="366" ht="15.75" customHeight="1">
      <c r="E366" s="39"/>
      <c r="F366" s="39"/>
      <c r="G366" s="33"/>
      <c r="H366" s="33" t="str">
        <f t="shared" si="1"/>
        <v/>
      </c>
    </row>
    <row r="367" ht="15.75" customHeight="1">
      <c r="E367" s="39"/>
      <c r="F367" s="39"/>
      <c r="G367" s="33"/>
      <c r="H367" s="33" t="str">
        <f t="shared" si="1"/>
        <v/>
      </c>
    </row>
    <row r="368" ht="15.75" customHeight="1">
      <c r="E368" s="39"/>
      <c r="F368" s="39"/>
      <c r="G368" s="33"/>
      <c r="H368" s="33" t="str">
        <f t="shared" si="1"/>
        <v/>
      </c>
    </row>
    <row r="369" ht="15.75" customHeight="1">
      <c r="E369" s="39"/>
      <c r="F369" s="39"/>
      <c r="G369" s="33"/>
      <c r="H369" s="33" t="str">
        <f t="shared" si="1"/>
        <v/>
      </c>
    </row>
    <row r="370" ht="15.75" customHeight="1">
      <c r="E370" s="39"/>
      <c r="F370" s="39"/>
      <c r="G370" s="33"/>
      <c r="H370" s="33" t="str">
        <f t="shared" si="1"/>
        <v/>
      </c>
    </row>
    <row r="371" ht="15.75" customHeight="1">
      <c r="E371" s="39"/>
      <c r="F371" s="39"/>
      <c r="G371" s="33"/>
      <c r="H371" s="33" t="str">
        <f t="shared" si="1"/>
        <v/>
      </c>
    </row>
    <row r="372" ht="15.75" customHeight="1">
      <c r="E372" s="39"/>
      <c r="F372" s="39"/>
      <c r="G372" s="33"/>
      <c r="H372" s="33" t="str">
        <f t="shared" si="1"/>
        <v/>
      </c>
    </row>
    <row r="373" ht="15.75" customHeight="1">
      <c r="E373" s="39"/>
      <c r="F373" s="39"/>
      <c r="G373" s="33"/>
      <c r="H373" s="33" t="str">
        <f t="shared" si="1"/>
        <v/>
      </c>
    </row>
    <row r="374" ht="15.75" customHeight="1">
      <c r="E374" s="39"/>
      <c r="F374" s="39"/>
      <c r="G374" s="33"/>
      <c r="H374" s="33" t="str">
        <f t="shared" si="1"/>
        <v/>
      </c>
    </row>
    <row r="375" ht="15.75" customHeight="1">
      <c r="E375" s="39"/>
      <c r="F375" s="39"/>
      <c r="G375" s="33"/>
      <c r="H375" s="33" t="str">
        <f t="shared" si="1"/>
        <v/>
      </c>
    </row>
    <row r="376" ht="15.75" customHeight="1">
      <c r="E376" s="39"/>
      <c r="F376" s="39"/>
      <c r="G376" s="33"/>
      <c r="H376" s="33" t="str">
        <f t="shared" si="1"/>
        <v/>
      </c>
    </row>
    <row r="377" ht="15.75" customHeight="1">
      <c r="E377" s="39"/>
      <c r="F377" s="39"/>
      <c r="G377" s="33"/>
      <c r="H377" s="33" t="str">
        <f t="shared" si="1"/>
        <v/>
      </c>
    </row>
    <row r="378" ht="15.75" customHeight="1">
      <c r="E378" s="39"/>
      <c r="F378" s="39"/>
      <c r="G378" s="33"/>
      <c r="H378" s="33" t="str">
        <f t="shared" si="1"/>
        <v/>
      </c>
    </row>
    <row r="379" ht="15.75" customHeight="1">
      <c r="E379" s="39"/>
      <c r="F379" s="39"/>
      <c r="G379" s="33"/>
      <c r="H379" s="33" t="str">
        <f t="shared" si="1"/>
        <v/>
      </c>
    </row>
    <row r="380" ht="15.75" customHeight="1">
      <c r="E380" s="39"/>
      <c r="F380" s="39"/>
      <c r="G380" s="33"/>
      <c r="H380" s="33" t="str">
        <f t="shared" si="1"/>
        <v/>
      </c>
    </row>
    <row r="381" ht="15.75" customHeight="1">
      <c r="E381" s="39"/>
      <c r="F381" s="39"/>
      <c r="G381" s="33"/>
      <c r="H381" s="33" t="str">
        <f t="shared" si="1"/>
        <v/>
      </c>
    </row>
    <row r="382" ht="15.75" customHeight="1">
      <c r="E382" s="39"/>
      <c r="F382" s="39"/>
      <c r="G382" s="33"/>
      <c r="H382" s="33" t="str">
        <f t="shared" si="1"/>
        <v/>
      </c>
    </row>
    <row r="383" ht="15.75" customHeight="1">
      <c r="E383" s="39"/>
      <c r="F383" s="39"/>
      <c r="G383" s="33"/>
      <c r="H383" s="33" t="str">
        <f t="shared" si="1"/>
        <v/>
      </c>
    </row>
    <row r="384" ht="15.75" customHeight="1">
      <c r="E384" s="39"/>
      <c r="F384" s="39"/>
      <c r="G384" s="33"/>
      <c r="H384" s="33" t="str">
        <f t="shared" si="1"/>
        <v/>
      </c>
    </row>
    <row r="385" ht="15.75" customHeight="1">
      <c r="E385" s="39"/>
      <c r="F385" s="39"/>
      <c r="G385" s="33"/>
      <c r="H385" s="33" t="str">
        <f t="shared" si="1"/>
        <v/>
      </c>
    </row>
    <row r="386" ht="15.75" customHeight="1">
      <c r="E386" s="39"/>
      <c r="F386" s="39"/>
      <c r="G386" s="33"/>
      <c r="H386" s="33" t="str">
        <f t="shared" si="1"/>
        <v/>
      </c>
    </row>
    <row r="387" ht="15.75" customHeight="1">
      <c r="E387" s="39"/>
      <c r="F387" s="39"/>
      <c r="G387" s="33"/>
      <c r="H387" s="33" t="str">
        <f t="shared" si="1"/>
        <v/>
      </c>
    </row>
    <row r="388" ht="15.75" customHeight="1">
      <c r="E388" s="39"/>
      <c r="F388" s="39"/>
      <c r="G388" s="33"/>
      <c r="H388" s="33" t="str">
        <f t="shared" si="1"/>
        <v/>
      </c>
    </row>
    <row r="389" ht="15.75" customHeight="1">
      <c r="E389" s="39"/>
      <c r="F389" s="39"/>
      <c r="G389" s="33"/>
      <c r="H389" s="33" t="str">
        <f t="shared" si="1"/>
        <v/>
      </c>
    </row>
    <row r="390" ht="15.75" customHeight="1">
      <c r="E390" s="39"/>
      <c r="F390" s="39"/>
      <c r="G390" s="33"/>
      <c r="H390" s="33" t="str">
        <f t="shared" si="1"/>
        <v/>
      </c>
    </row>
    <row r="391" ht="15.75" customHeight="1">
      <c r="E391" s="39"/>
      <c r="F391" s="39"/>
      <c r="G391" s="33"/>
      <c r="H391" s="33" t="str">
        <f t="shared" si="1"/>
        <v/>
      </c>
    </row>
    <row r="392" ht="15.75" customHeight="1">
      <c r="E392" s="39"/>
      <c r="F392" s="39"/>
      <c r="G392" s="33"/>
      <c r="H392" s="33" t="str">
        <f t="shared" si="1"/>
        <v/>
      </c>
    </row>
    <row r="393" ht="15.75" customHeight="1">
      <c r="E393" s="39"/>
      <c r="F393" s="39"/>
      <c r="G393" s="33"/>
      <c r="H393" s="33" t="str">
        <f t="shared" si="1"/>
        <v/>
      </c>
    </row>
    <row r="394" ht="15.75" customHeight="1">
      <c r="E394" s="39"/>
      <c r="F394" s="39"/>
      <c r="G394" s="33"/>
      <c r="H394" s="33" t="str">
        <f t="shared" si="1"/>
        <v/>
      </c>
    </row>
    <row r="395" ht="15.75" customHeight="1">
      <c r="E395" s="39"/>
      <c r="F395" s="39"/>
      <c r="G395" s="33"/>
      <c r="H395" s="33" t="str">
        <f t="shared" si="1"/>
        <v/>
      </c>
    </row>
    <row r="396" ht="15.75" customHeight="1">
      <c r="E396" s="39"/>
      <c r="F396" s="39"/>
      <c r="G396" s="33"/>
      <c r="H396" s="33" t="str">
        <f t="shared" si="1"/>
        <v/>
      </c>
    </row>
    <row r="397" ht="15.75" customHeight="1">
      <c r="E397" s="39"/>
      <c r="F397" s="39"/>
      <c r="G397" s="33"/>
      <c r="H397" s="33" t="str">
        <f t="shared" si="1"/>
        <v/>
      </c>
    </row>
    <row r="398" ht="15.75" customHeight="1">
      <c r="E398" s="39"/>
      <c r="F398" s="39"/>
      <c r="G398" s="33"/>
      <c r="H398" s="33" t="str">
        <f t="shared" si="1"/>
        <v/>
      </c>
    </row>
    <row r="399" ht="15.75" customHeight="1">
      <c r="E399" s="39"/>
      <c r="F399" s="39"/>
      <c r="G399" s="33"/>
      <c r="H399" s="33" t="str">
        <f t="shared" si="1"/>
        <v/>
      </c>
    </row>
    <row r="400" ht="15.75" customHeight="1">
      <c r="E400" s="39"/>
      <c r="F400" s="39"/>
      <c r="G400" s="33"/>
      <c r="H400" s="33" t="str">
        <f t="shared" si="1"/>
        <v/>
      </c>
    </row>
    <row r="401" ht="15.75" customHeight="1">
      <c r="E401" s="39"/>
      <c r="F401" s="39"/>
      <c r="G401" s="33"/>
      <c r="H401" s="33" t="str">
        <f t="shared" si="1"/>
        <v/>
      </c>
    </row>
    <row r="402" ht="15.75" customHeight="1">
      <c r="E402" s="39"/>
      <c r="F402" s="39"/>
      <c r="G402" s="33"/>
      <c r="H402" s="33" t="str">
        <f t="shared" si="1"/>
        <v/>
      </c>
    </row>
    <row r="403" ht="15.75" customHeight="1">
      <c r="E403" s="39"/>
      <c r="F403" s="39"/>
      <c r="G403" s="33"/>
      <c r="H403" s="33" t="str">
        <f t="shared" si="1"/>
        <v/>
      </c>
    </row>
    <row r="404" ht="15.75" customHeight="1">
      <c r="E404" s="39"/>
      <c r="F404" s="39"/>
      <c r="G404" s="33"/>
      <c r="H404" s="33" t="str">
        <f t="shared" si="1"/>
        <v/>
      </c>
    </row>
    <row r="405" ht="15.75" customHeight="1">
      <c r="E405" s="39"/>
      <c r="F405" s="39"/>
      <c r="G405" s="33"/>
      <c r="H405" s="33" t="str">
        <f t="shared" si="1"/>
        <v/>
      </c>
    </row>
    <row r="406" ht="15.75" customHeight="1">
      <c r="E406" s="39"/>
      <c r="F406" s="39"/>
      <c r="G406" s="33"/>
      <c r="H406" s="33" t="str">
        <f t="shared" si="1"/>
        <v/>
      </c>
    </row>
    <row r="407" ht="15.75" customHeight="1">
      <c r="E407" s="39"/>
      <c r="F407" s="39"/>
      <c r="G407" s="33"/>
      <c r="H407" s="33" t="str">
        <f t="shared" si="1"/>
        <v/>
      </c>
    </row>
    <row r="408" ht="15.75" customHeight="1">
      <c r="E408" s="39"/>
      <c r="F408" s="39"/>
      <c r="G408" s="33"/>
      <c r="H408" s="33" t="str">
        <f t="shared" si="1"/>
        <v/>
      </c>
    </row>
    <row r="409" ht="15.75" customHeight="1">
      <c r="E409" s="39"/>
      <c r="F409" s="39"/>
      <c r="G409" s="33"/>
      <c r="H409" s="33" t="str">
        <f t="shared" si="1"/>
        <v/>
      </c>
    </row>
    <row r="410" ht="15.75" customHeight="1">
      <c r="E410" s="39"/>
      <c r="F410" s="39"/>
      <c r="G410" s="33"/>
      <c r="H410" s="33" t="str">
        <f t="shared" si="1"/>
        <v/>
      </c>
    </row>
    <row r="411" ht="15.75" customHeight="1">
      <c r="E411" s="39"/>
      <c r="F411" s="39"/>
      <c r="G411" s="33"/>
      <c r="H411" s="33" t="str">
        <f t="shared" si="1"/>
        <v/>
      </c>
    </row>
    <row r="412" ht="15.75" customHeight="1">
      <c r="E412" s="39"/>
      <c r="F412" s="39"/>
      <c r="G412" s="33"/>
      <c r="H412" s="33" t="str">
        <f t="shared" si="1"/>
        <v/>
      </c>
    </row>
    <row r="413" ht="15.75" customHeight="1">
      <c r="E413" s="39"/>
      <c r="F413" s="39"/>
      <c r="G413" s="33"/>
      <c r="H413" s="33" t="str">
        <f t="shared" si="1"/>
        <v/>
      </c>
    </row>
    <row r="414" ht="15.75" customHeight="1">
      <c r="E414" s="39"/>
      <c r="F414" s="39"/>
      <c r="G414" s="33"/>
      <c r="H414" s="33" t="str">
        <f t="shared" si="1"/>
        <v/>
      </c>
    </row>
    <row r="415" ht="15.75" customHeight="1">
      <c r="E415" s="39"/>
      <c r="F415" s="39"/>
      <c r="G415" s="33"/>
      <c r="H415" s="33" t="str">
        <f t="shared" si="1"/>
        <v/>
      </c>
    </row>
    <row r="416" ht="15.75" customHeight="1">
      <c r="E416" s="39"/>
      <c r="F416" s="39"/>
      <c r="G416" s="33"/>
      <c r="H416" s="33" t="str">
        <f t="shared" si="1"/>
        <v/>
      </c>
    </row>
    <row r="417" ht="15.75" customHeight="1">
      <c r="E417" s="39"/>
      <c r="F417" s="39"/>
      <c r="G417" s="33"/>
      <c r="H417" s="33" t="str">
        <f t="shared" si="1"/>
        <v/>
      </c>
    </row>
    <row r="418" ht="15.75" customHeight="1">
      <c r="E418" s="39"/>
      <c r="F418" s="39"/>
      <c r="G418" s="33"/>
      <c r="H418" s="33" t="str">
        <f t="shared" si="1"/>
        <v/>
      </c>
    </row>
    <row r="419" ht="15.75" customHeight="1">
      <c r="E419" s="39"/>
      <c r="F419" s="39"/>
      <c r="G419" s="33"/>
      <c r="H419" s="33" t="str">
        <f t="shared" si="1"/>
        <v/>
      </c>
    </row>
    <row r="420" ht="15.75" customHeight="1">
      <c r="E420" s="39"/>
      <c r="F420" s="39"/>
      <c r="G420" s="33"/>
      <c r="H420" s="33" t="str">
        <f t="shared" si="1"/>
        <v/>
      </c>
    </row>
    <row r="421" ht="15.75" customHeight="1">
      <c r="E421" s="39"/>
      <c r="F421" s="39"/>
      <c r="G421" s="33"/>
      <c r="H421" s="33" t="str">
        <f t="shared" si="1"/>
        <v/>
      </c>
    </row>
    <row r="422" ht="15.75" customHeight="1">
      <c r="E422" s="39"/>
      <c r="F422" s="39"/>
      <c r="G422" s="33"/>
      <c r="H422" s="33" t="str">
        <f t="shared" si="1"/>
        <v/>
      </c>
    </row>
    <row r="423" ht="15.75" customHeight="1">
      <c r="E423" s="39"/>
      <c r="F423" s="39"/>
      <c r="G423" s="33"/>
      <c r="H423" s="33" t="str">
        <f t="shared" si="1"/>
        <v/>
      </c>
    </row>
    <row r="424" ht="15.75" customHeight="1">
      <c r="E424" s="39"/>
      <c r="F424" s="39"/>
      <c r="G424" s="33"/>
      <c r="H424" s="33" t="str">
        <f t="shared" si="1"/>
        <v/>
      </c>
    </row>
    <row r="425" ht="15.75" customHeight="1">
      <c r="E425" s="39"/>
      <c r="F425" s="39"/>
      <c r="G425" s="33"/>
      <c r="H425" s="33" t="str">
        <f t="shared" si="1"/>
        <v/>
      </c>
    </row>
    <row r="426" ht="15.75" customHeight="1">
      <c r="E426" s="39"/>
      <c r="F426" s="39"/>
      <c r="G426" s="33"/>
      <c r="H426" s="33" t="str">
        <f t="shared" si="1"/>
        <v/>
      </c>
    </row>
    <row r="427" ht="15.75" customHeight="1">
      <c r="E427" s="39"/>
      <c r="F427" s="39"/>
      <c r="G427" s="33"/>
      <c r="H427" s="33" t="str">
        <f t="shared" si="1"/>
        <v/>
      </c>
    </row>
    <row r="428" ht="15.75" customHeight="1">
      <c r="E428" s="39"/>
      <c r="F428" s="39"/>
      <c r="G428" s="33"/>
      <c r="H428" s="33" t="str">
        <f t="shared" si="1"/>
        <v/>
      </c>
    </row>
    <row r="429" ht="15.75" customHeight="1">
      <c r="E429" s="39"/>
      <c r="F429" s="39"/>
      <c r="G429" s="33"/>
      <c r="H429" s="33" t="str">
        <f t="shared" si="1"/>
        <v/>
      </c>
    </row>
    <row r="430" ht="15.75" customHeight="1">
      <c r="E430" s="39"/>
      <c r="F430" s="39"/>
      <c r="G430" s="33"/>
      <c r="H430" s="33" t="str">
        <f t="shared" si="1"/>
        <v/>
      </c>
    </row>
    <row r="431" ht="15.75" customHeight="1">
      <c r="E431" s="39"/>
      <c r="F431" s="39"/>
      <c r="G431" s="33"/>
      <c r="H431" s="33" t="str">
        <f t="shared" si="1"/>
        <v/>
      </c>
    </row>
    <row r="432" ht="15.75" customHeight="1">
      <c r="E432" s="39"/>
      <c r="F432" s="39"/>
      <c r="G432" s="33"/>
      <c r="H432" s="33" t="str">
        <f t="shared" si="1"/>
        <v/>
      </c>
    </row>
    <row r="433" ht="15.75" customHeight="1">
      <c r="E433" s="39"/>
      <c r="F433" s="39"/>
      <c r="G433" s="33"/>
      <c r="H433" s="33" t="str">
        <f t="shared" si="1"/>
        <v/>
      </c>
    </row>
    <row r="434" ht="15.75" customHeight="1">
      <c r="E434" s="39"/>
      <c r="F434" s="39"/>
      <c r="G434" s="33"/>
      <c r="H434" s="33" t="str">
        <f t="shared" si="1"/>
        <v/>
      </c>
    </row>
    <row r="435" ht="15.75" customHeight="1">
      <c r="E435" s="39"/>
      <c r="F435" s="39"/>
      <c r="G435" s="33"/>
      <c r="H435" s="33" t="str">
        <f t="shared" si="1"/>
        <v/>
      </c>
    </row>
    <row r="436" ht="15.75" customHeight="1">
      <c r="E436" s="39"/>
      <c r="F436" s="39"/>
      <c r="G436" s="33"/>
      <c r="H436" s="33" t="str">
        <f t="shared" si="1"/>
        <v/>
      </c>
    </row>
    <row r="437" ht="15.75" customHeight="1">
      <c r="E437" s="39"/>
      <c r="F437" s="39"/>
      <c r="G437" s="33"/>
      <c r="H437" s="33" t="str">
        <f t="shared" si="1"/>
        <v/>
      </c>
    </row>
    <row r="438" ht="15.75" customHeight="1">
      <c r="E438" s="39"/>
      <c r="F438" s="39"/>
      <c r="G438" s="33"/>
      <c r="H438" s="33" t="str">
        <f t="shared" si="1"/>
        <v/>
      </c>
    </row>
    <row r="439" ht="15.75" customHeight="1">
      <c r="E439" s="39"/>
      <c r="F439" s="39"/>
      <c r="G439" s="33"/>
      <c r="H439" s="33" t="str">
        <f t="shared" si="1"/>
        <v/>
      </c>
    </row>
    <row r="440" ht="15.75" customHeight="1">
      <c r="E440" s="39"/>
      <c r="F440" s="39"/>
      <c r="G440" s="33"/>
      <c r="H440" s="33" t="str">
        <f t="shared" si="1"/>
        <v/>
      </c>
    </row>
    <row r="441" ht="15.75" customHeight="1">
      <c r="E441" s="39"/>
      <c r="F441" s="39"/>
      <c r="G441" s="33"/>
      <c r="H441" s="33" t="str">
        <f t="shared" si="1"/>
        <v/>
      </c>
    </row>
    <row r="442" ht="15.75" customHeight="1">
      <c r="E442" s="39"/>
      <c r="F442" s="39"/>
      <c r="G442" s="33"/>
      <c r="H442" s="33" t="str">
        <f t="shared" si="1"/>
        <v/>
      </c>
    </row>
    <row r="443" ht="15.75" customHeight="1">
      <c r="E443" s="39"/>
      <c r="F443" s="39"/>
      <c r="G443" s="33"/>
      <c r="H443" s="33" t="str">
        <f t="shared" si="1"/>
        <v/>
      </c>
    </row>
    <row r="444" ht="15.75" customHeight="1">
      <c r="E444" s="39"/>
      <c r="F444" s="39"/>
      <c r="G444" s="33"/>
      <c r="H444" s="33" t="str">
        <f t="shared" si="1"/>
        <v/>
      </c>
    </row>
    <row r="445" ht="15.75" customHeight="1">
      <c r="E445" s="39"/>
      <c r="F445" s="39"/>
      <c r="G445" s="33"/>
      <c r="H445" s="33" t="str">
        <f t="shared" si="1"/>
        <v/>
      </c>
    </row>
    <row r="446" ht="15.75" customHeight="1">
      <c r="E446" s="39"/>
      <c r="F446" s="39"/>
      <c r="G446" s="33"/>
      <c r="H446" s="33" t="str">
        <f t="shared" si="1"/>
        <v/>
      </c>
    </row>
    <row r="447" ht="15.75" customHeight="1">
      <c r="E447" s="39"/>
      <c r="F447" s="39"/>
      <c r="G447" s="33"/>
      <c r="H447" s="33" t="str">
        <f t="shared" si="1"/>
        <v/>
      </c>
    </row>
    <row r="448" ht="15.75" customHeight="1">
      <c r="E448" s="39"/>
      <c r="F448" s="39"/>
      <c r="G448" s="33"/>
      <c r="H448" s="33" t="str">
        <f t="shared" si="1"/>
        <v/>
      </c>
    </row>
    <row r="449" ht="15.75" customHeight="1">
      <c r="E449" s="39"/>
      <c r="F449" s="39"/>
      <c r="G449" s="33"/>
      <c r="H449" s="33" t="str">
        <f t="shared" si="1"/>
        <v/>
      </c>
    </row>
    <row r="450" ht="15.75" customHeight="1">
      <c r="E450" s="39"/>
      <c r="F450" s="39"/>
      <c r="G450" s="33"/>
      <c r="H450" s="33" t="str">
        <f t="shared" si="1"/>
        <v/>
      </c>
    </row>
    <row r="451" ht="15.75" customHeight="1">
      <c r="E451" s="39"/>
      <c r="F451" s="39"/>
      <c r="G451" s="33"/>
      <c r="H451" s="33" t="str">
        <f t="shared" si="1"/>
        <v/>
      </c>
    </row>
    <row r="452" ht="15.75" customHeight="1">
      <c r="E452" s="39"/>
      <c r="F452" s="39"/>
      <c r="G452" s="33"/>
      <c r="H452" s="33" t="str">
        <f t="shared" si="1"/>
        <v/>
      </c>
    </row>
    <row r="453" ht="15.75" customHeight="1">
      <c r="E453" s="39"/>
      <c r="F453" s="39"/>
      <c r="G453" s="33"/>
      <c r="H453" s="33" t="str">
        <f t="shared" si="1"/>
        <v/>
      </c>
    </row>
    <row r="454" ht="15.75" customHeight="1">
      <c r="E454" s="39"/>
      <c r="F454" s="39"/>
      <c r="G454" s="33"/>
      <c r="H454" s="33" t="str">
        <f t="shared" si="1"/>
        <v/>
      </c>
    </row>
    <row r="455" ht="15.75" customHeight="1">
      <c r="E455" s="39"/>
      <c r="F455" s="39"/>
      <c r="G455" s="33"/>
      <c r="H455" s="33" t="str">
        <f t="shared" si="1"/>
        <v/>
      </c>
    </row>
    <row r="456" ht="15.75" customHeight="1">
      <c r="E456" s="39"/>
      <c r="F456" s="39"/>
      <c r="G456" s="33"/>
      <c r="H456" s="33" t="str">
        <f t="shared" si="1"/>
        <v/>
      </c>
    </row>
    <row r="457" ht="15.75" customHeight="1">
      <c r="E457" s="39"/>
      <c r="F457" s="39"/>
      <c r="G457" s="33"/>
      <c r="H457" s="33" t="str">
        <f t="shared" si="1"/>
        <v/>
      </c>
    </row>
    <row r="458" ht="15.75" customHeight="1">
      <c r="E458" s="39"/>
      <c r="F458" s="39"/>
      <c r="G458" s="33"/>
      <c r="H458" s="33" t="str">
        <f t="shared" si="1"/>
        <v/>
      </c>
    </row>
    <row r="459" ht="15.75" customHeight="1">
      <c r="E459" s="39"/>
      <c r="F459" s="39"/>
      <c r="G459" s="33"/>
      <c r="H459" s="33" t="str">
        <f t="shared" si="1"/>
        <v/>
      </c>
    </row>
    <row r="460" ht="15.75" customHeight="1">
      <c r="E460" s="39"/>
      <c r="F460" s="39"/>
      <c r="G460" s="33"/>
      <c r="H460" s="33" t="str">
        <f t="shared" si="1"/>
        <v/>
      </c>
    </row>
    <row r="461" ht="15.75" customHeight="1">
      <c r="E461" s="39"/>
      <c r="F461" s="39"/>
      <c r="G461" s="33"/>
      <c r="H461" s="33" t="str">
        <f t="shared" si="1"/>
        <v/>
      </c>
    </row>
    <row r="462" ht="15.75" customHeight="1">
      <c r="E462" s="39"/>
      <c r="F462" s="39"/>
      <c r="G462" s="33"/>
      <c r="H462" s="33" t="str">
        <f t="shared" si="1"/>
        <v/>
      </c>
    </row>
    <row r="463" ht="15.75" customHeight="1">
      <c r="E463" s="39"/>
      <c r="F463" s="39"/>
      <c r="G463" s="33"/>
      <c r="H463" s="33" t="str">
        <f t="shared" si="1"/>
        <v/>
      </c>
    </row>
    <row r="464" ht="15.75" customHeight="1">
      <c r="E464" s="39"/>
      <c r="F464" s="39"/>
      <c r="G464" s="33"/>
      <c r="H464" s="33" t="str">
        <f t="shared" si="1"/>
        <v/>
      </c>
    </row>
    <row r="465" ht="15.75" customHeight="1">
      <c r="E465" s="39"/>
      <c r="F465" s="39"/>
      <c r="G465" s="33"/>
      <c r="H465" s="33" t="str">
        <f t="shared" si="1"/>
        <v/>
      </c>
    </row>
    <row r="466" ht="15.75" customHeight="1">
      <c r="E466" s="39"/>
      <c r="F466" s="39"/>
      <c r="G466" s="33"/>
      <c r="H466" s="33" t="str">
        <f t="shared" si="1"/>
        <v/>
      </c>
    </row>
    <row r="467" ht="15.75" customHeight="1">
      <c r="E467" s="39"/>
      <c r="F467" s="39"/>
      <c r="G467" s="33"/>
      <c r="H467" s="33" t="str">
        <f t="shared" si="1"/>
        <v/>
      </c>
    </row>
    <row r="468" ht="15.75" customHeight="1">
      <c r="E468" s="39"/>
      <c r="F468" s="39"/>
      <c r="G468" s="33"/>
      <c r="H468" s="33" t="str">
        <f t="shared" si="1"/>
        <v/>
      </c>
    </row>
    <row r="469" ht="15.75" customHeight="1">
      <c r="E469" s="39"/>
      <c r="F469" s="39"/>
      <c r="G469" s="33"/>
      <c r="H469" s="33" t="str">
        <f t="shared" si="1"/>
        <v/>
      </c>
    </row>
    <row r="470" ht="15.75" customHeight="1">
      <c r="E470" s="39"/>
      <c r="F470" s="39"/>
      <c r="G470" s="33"/>
      <c r="H470" s="33" t="str">
        <f t="shared" si="1"/>
        <v/>
      </c>
    </row>
    <row r="471" ht="15.75" customHeight="1">
      <c r="E471" s="39"/>
      <c r="F471" s="39"/>
      <c r="G471" s="33"/>
      <c r="H471" s="33" t="str">
        <f t="shared" si="1"/>
        <v/>
      </c>
    </row>
    <row r="472" ht="15.75" customHeight="1">
      <c r="E472" s="39"/>
      <c r="F472" s="39"/>
      <c r="G472" s="33"/>
      <c r="H472" s="33" t="str">
        <f t="shared" si="1"/>
        <v/>
      </c>
    </row>
    <row r="473" ht="15.75" customHeight="1">
      <c r="E473" s="39"/>
      <c r="F473" s="39"/>
      <c r="G473" s="33"/>
      <c r="H473" s="33" t="str">
        <f t="shared" si="1"/>
        <v/>
      </c>
    </row>
    <row r="474" ht="15.75" customHeight="1">
      <c r="E474" s="39"/>
      <c r="F474" s="39"/>
      <c r="G474" s="33"/>
      <c r="H474" s="33" t="str">
        <f t="shared" si="1"/>
        <v/>
      </c>
    </row>
    <row r="475" ht="15.75" customHeight="1">
      <c r="E475" s="39"/>
      <c r="F475" s="39"/>
      <c r="G475" s="33"/>
      <c r="H475" s="33" t="str">
        <f t="shared" si="1"/>
        <v/>
      </c>
    </row>
    <row r="476" ht="15.75" customHeight="1">
      <c r="E476" s="39"/>
      <c r="F476" s="39"/>
      <c r="G476" s="33"/>
      <c r="H476" s="33" t="str">
        <f t="shared" si="1"/>
        <v/>
      </c>
    </row>
    <row r="477" ht="15.75" customHeight="1">
      <c r="E477" s="39"/>
      <c r="F477" s="39"/>
      <c r="G477" s="33"/>
      <c r="H477" s="33" t="str">
        <f t="shared" si="1"/>
        <v/>
      </c>
    </row>
    <row r="478" ht="15.75" customHeight="1">
      <c r="E478" s="39"/>
      <c r="F478" s="39"/>
      <c r="G478" s="33"/>
      <c r="H478" s="33" t="str">
        <f t="shared" si="1"/>
        <v/>
      </c>
    </row>
    <row r="479" ht="15.75" customHeight="1">
      <c r="E479" s="39"/>
      <c r="F479" s="39"/>
      <c r="G479" s="33"/>
      <c r="H479" s="33" t="str">
        <f t="shared" si="1"/>
        <v/>
      </c>
    </row>
    <row r="480" ht="15.75" customHeight="1">
      <c r="E480" s="39"/>
      <c r="F480" s="39"/>
      <c r="G480" s="33"/>
      <c r="H480" s="33" t="str">
        <f t="shared" si="1"/>
        <v/>
      </c>
    </row>
    <row r="481" ht="15.75" customHeight="1">
      <c r="E481" s="39"/>
      <c r="F481" s="39"/>
      <c r="G481" s="33"/>
      <c r="H481" s="33" t="str">
        <f t="shared" si="1"/>
        <v/>
      </c>
    </row>
    <row r="482" ht="15.75" customHeight="1">
      <c r="E482" s="39"/>
      <c r="F482" s="39"/>
      <c r="G482" s="33"/>
      <c r="H482" s="33" t="str">
        <f t="shared" si="1"/>
        <v/>
      </c>
    </row>
    <row r="483" ht="15.75" customHeight="1">
      <c r="E483" s="39"/>
      <c r="F483" s="39"/>
      <c r="G483" s="33"/>
      <c r="H483" s="33" t="str">
        <f t="shared" si="1"/>
        <v/>
      </c>
    </row>
    <row r="484" ht="15.75" customHeight="1">
      <c r="E484" s="39"/>
      <c r="F484" s="39"/>
      <c r="G484" s="33"/>
      <c r="H484" s="33" t="str">
        <f t="shared" si="1"/>
        <v/>
      </c>
    </row>
    <row r="485" ht="15.75" customHeight="1">
      <c r="E485" s="39"/>
      <c r="F485" s="39"/>
      <c r="G485" s="33"/>
      <c r="H485" s="33" t="str">
        <f t="shared" si="1"/>
        <v/>
      </c>
    </row>
    <row r="486" ht="15.75" customHeight="1">
      <c r="E486" s="39"/>
      <c r="F486" s="39"/>
      <c r="G486" s="33"/>
      <c r="H486" s="33" t="str">
        <f t="shared" si="1"/>
        <v/>
      </c>
    </row>
    <row r="487" ht="15.75" customHeight="1">
      <c r="E487" s="39"/>
      <c r="F487" s="39"/>
      <c r="G487" s="33"/>
      <c r="H487" s="33" t="str">
        <f t="shared" si="1"/>
        <v/>
      </c>
    </row>
    <row r="488" ht="15.75" customHeight="1">
      <c r="E488" s="39"/>
      <c r="F488" s="39"/>
      <c r="G488" s="33"/>
      <c r="H488" s="33" t="str">
        <f t="shared" si="1"/>
        <v/>
      </c>
    </row>
    <row r="489" ht="15.75" customHeight="1">
      <c r="E489" s="39"/>
      <c r="F489" s="39"/>
      <c r="G489" s="33"/>
      <c r="H489" s="33" t="str">
        <f t="shared" si="1"/>
        <v/>
      </c>
    </row>
    <row r="490" ht="15.75" customHeight="1">
      <c r="E490" s="39"/>
      <c r="F490" s="39"/>
      <c r="G490" s="33"/>
      <c r="H490" s="33" t="str">
        <f t="shared" si="1"/>
        <v/>
      </c>
    </row>
    <row r="491" ht="15.75" customHeight="1">
      <c r="E491" s="39"/>
      <c r="F491" s="39"/>
      <c r="G491" s="33"/>
      <c r="H491" s="33" t="str">
        <f t="shared" si="1"/>
        <v/>
      </c>
    </row>
    <row r="492" ht="15.75" customHeight="1">
      <c r="E492" s="39"/>
      <c r="F492" s="39"/>
      <c r="G492" s="33"/>
      <c r="H492" s="33" t="str">
        <f t="shared" si="1"/>
        <v/>
      </c>
    </row>
    <row r="493" ht="15.75" customHeight="1">
      <c r="E493" s="39"/>
      <c r="F493" s="39"/>
      <c r="G493" s="33"/>
      <c r="H493" s="33" t="str">
        <f t="shared" si="1"/>
        <v/>
      </c>
    </row>
    <row r="494" ht="15.75" customHeight="1">
      <c r="E494" s="39"/>
      <c r="F494" s="39"/>
      <c r="G494" s="33"/>
      <c r="H494" s="33" t="str">
        <f t="shared" si="1"/>
        <v/>
      </c>
    </row>
    <row r="495" ht="15.75" customHeight="1">
      <c r="E495" s="39"/>
      <c r="F495" s="39"/>
      <c r="G495" s="33"/>
      <c r="H495" s="33" t="str">
        <f t="shared" si="1"/>
        <v/>
      </c>
    </row>
    <row r="496" ht="15.75" customHeight="1">
      <c r="E496" s="39"/>
      <c r="F496" s="39"/>
      <c r="G496" s="33"/>
      <c r="H496" s="33" t="str">
        <f t="shared" si="1"/>
        <v/>
      </c>
    </row>
    <row r="497" ht="15.75" customHeight="1">
      <c r="E497" s="39"/>
      <c r="F497" s="39"/>
      <c r="G497" s="33"/>
      <c r="H497" s="33" t="str">
        <f t="shared" si="1"/>
        <v/>
      </c>
    </row>
    <row r="498" ht="15.75" customHeight="1">
      <c r="E498" s="39"/>
      <c r="F498" s="39"/>
      <c r="G498" s="33"/>
      <c r="H498" s="33" t="str">
        <f t="shared" si="1"/>
        <v/>
      </c>
    </row>
    <row r="499" ht="15.75" customHeight="1">
      <c r="E499" s="39"/>
      <c r="F499" s="39"/>
      <c r="G499" s="33"/>
      <c r="H499" s="33" t="str">
        <f t="shared" si="1"/>
        <v/>
      </c>
    </row>
    <row r="500" ht="15.75" customHeight="1">
      <c r="E500" s="39"/>
      <c r="F500" s="39"/>
      <c r="G500" s="33"/>
      <c r="H500" s="33" t="str">
        <f t="shared" si="1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500">
      <formula1>"Pending,Assigned,Dispatched,Completed,Cancelled"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57"/>
    <col customWidth="1" min="3" max="3" width="11.43"/>
    <col customWidth="1" min="4" max="4" width="13.86"/>
    <col customWidth="1" min="5" max="5" width="9.86"/>
    <col customWidth="1" min="6" max="6" width="3.57"/>
    <col customWidth="1" min="7" max="7" width="8.0"/>
    <col customWidth="1" min="8" max="8" width="15.29"/>
    <col customWidth="1" min="9" max="9" width="9.86"/>
    <col customWidth="1" min="10" max="10" width="20.0"/>
    <col customWidth="1" min="11" max="11" width="22.57"/>
    <col customWidth="1" min="12" max="12" width="20.29"/>
    <col customWidth="1" min="13" max="13" width="14.43"/>
    <col customWidth="1" min="14" max="14" width="19.71"/>
    <col customWidth="1" min="15" max="15" width="11.57"/>
    <col customWidth="1" hidden="1" min="16" max="17" width="8.71"/>
    <col customWidth="1" min="18" max="26" width="8.71"/>
  </cols>
  <sheetData>
    <row r="1" ht="16.5" customHeight="1">
      <c r="A1" s="29" t="s">
        <v>125</v>
      </c>
      <c r="B1" s="29" t="s">
        <v>144</v>
      </c>
      <c r="C1" s="29" t="s">
        <v>145</v>
      </c>
      <c r="D1" s="29" t="s">
        <v>146</v>
      </c>
      <c r="E1" s="29" t="s">
        <v>147</v>
      </c>
      <c r="F1" s="29" t="s">
        <v>148</v>
      </c>
      <c r="G1" s="29" t="s">
        <v>149</v>
      </c>
      <c r="H1" s="29" t="s">
        <v>150</v>
      </c>
      <c r="I1" s="29" t="s">
        <v>151</v>
      </c>
      <c r="J1" s="29" t="s">
        <v>152</v>
      </c>
      <c r="K1" s="3" t="s">
        <v>153</v>
      </c>
      <c r="L1" s="3" t="s">
        <v>154</v>
      </c>
      <c r="M1" s="3" t="s">
        <v>155</v>
      </c>
      <c r="N1" s="3" t="s">
        <v>156</v>
      </c>
      <c r="O1" s="3" t="s">
        <v>157</v>
      </c>
      <c r="P1" s="3"/>
      <c r="Q1" s="3"/>
    </row>
    <row r="2" ht="16.5" customHeight="1">
      <c r="A2" s="31"/>
      <c r="B2" s="35"/>
      <c r="C2" s="35"/>
      <c r="D2" s="31"/>
      <c r="E2" s="37"/>
      <c r="F2" s="37"/>
      <c r="G2" s="37"/>
      <c r="H2" s="37"/>
      <c r="I2" s="37"/>
      <c r="J2" s="37"/>
      <c r="K2" s="38" t="str">
        <f t="shared" ref="K2:K500" si="1">IF(OR(B2="",C2=""),"",24*(C2-B2))</f>
        <v/>
      </c>
      <c r="L2" s="38" t="str">
        <f>IF(A2="","",IFERROR(VLOOKUP(VLOOKUP(A2,BOOKINGS!$A:$Q,7,FALSE),SETUP_RATES!$A:$H,8,FALSE),0))</f>
        <v/>
      </c>
      <c r="M2" s="38" t="str">
        <f t="shared" ref="M2:M500" si="2">IF(OR(E2="",L2=""),"",E2-L2)</f>
        <v/>
      </c>
      <c r="N2" s="33" t="str">
        <f t="shared" ref="N2:N500" si="3">IF(A2="","",IF(C2&lt;&gt;"","Completed","Open"))</f>
        <v/>
      </c>
    </row>
    <row r="3" ht="16.5" customHeight="1">
      <c r="B3" s="39"/>
      <c r="C3" s="39"/>
      <c r="E3" s="38"/>
      <c r="F3" s="38"/>
      <c r="G3" s="38"/>
      <c r="H3" s="38"/>
      <c r="I3" s="38"/>
      <c r="J3" s="38"/>
      <c r="K3" s="38" t="str">
        <f t="shared" si="1"/>
        <v/>
      </c>
      <c r="L3" s="38" t="str">
        <f>IF(A3="","",IFERROR(VLOOKUP(VLOOKUP(A3,BOOKINGS!$A:$Q,7,FALSE),SETUP_RATES!$A:$H,8,FALSE),0))</f>
        <v/>
      </c>
      <c r="M3" s="38" t="str">
        <f t="shared" si="2"/>
        <v/>
      </c>
      <c r="N3" s="33" t="str">
        <f t="shared" si="3"/>
        <v/>
      </c>
    </row>
    <row r="4" ht="16.5" customHeight="1">
      <c r="B4" s="39"/>
      <c r="C4" s="39"/>
      <c r="E4" s="38"/>
      <c r="F4" s="38"/>
      <c r="G4" s="38"/>
      <c r="H4" s="38"/>
      <c r="I4" s="38"/>
      <c r="J4" s="38"/>
      <c r="K4" s="38" t="str">
        <f t="shared" si="1"/>
        <v/>
      </c>
      <c r="L4" s="38" t="str">
        <f>IF(A4="","",IFERROR(VLOOKUP(VLOOKUP(A4,BOOKINGS!$A:$Q,7,FALSE),SETUP_RATES!$A:$H,8,FALSE),0))</f>
        <v/>
      </c>
      <c r="M4" s="38" t="str">
        <f t="shared" si="2"/>
        <v/>
      </c>
      <c r="N4" s="33" t="str">
        <f t="shared" si="3"/>
        <v/>
      </c>
    </row>
    <row r="5" ht="16.5" customHeight="1">
      <c r="B5" s="39"/>
      <c r="C5" s="39"/>
      <c r="E5" s="38"/>
      <c r="F5" s="38"/>
      <c r="G5" s="38"/>
      <c r="H5" s="38"/>
      <c r="I5" s="38"/>
      <c r="J5" s="38"/>
      <c r="K5" s="38" t="str">
        <f t="shared" si="1"/>
        <v/>
      </c>
      <c r="L5" s="38" t="str">
        <f>IF(A5="","",IFERROR(VLOOKUP(VLOOKUP(A5,BOOKINGS!$A:$Q,7,FALSE),SETUP_RATES!$A:$H,8,FALSE),0))</f>
        <v/>
      </c>
      <c r="M5" s="38" t="str">
        <f t="shared" si="2"/>
        <v/>
      </c>
      <c r="N5" s="33" t="str">
        <f t="shared" si="3"/>
        <v/>
      </c>
    </row>
    <row r="6" ht="16.5" customHeight="1">
      <c r="B6" s="39"/>
      <c r="C6" s="39"/>
      <c r="E6" s="38"/>
      <c r="F6" s="38"/>
      <c r="G6" s="38"/>
      <c r="H6" s="38"/>
      <c r="I6" s="38"/>
      <c r="J6" s="38"/>
      <c r="K6" s="38" t="str">
        <f t="shared" si="1"/>
        <v/>
      </c>
      <c r="L6" s="38" t="str">
        <f>IF(A6="","",IFERROR(VLOOKUP(VLOOKUP(A6,BOOKINGS!$A:$Q,7,FALSE),SETUP_RATES!$A:$H,8,FALSE),0))</f>
        <v/>
      </c>
      <c r="M6" s="38" t="str">
        <f t="shared" si="2"/>
        <v/>
      </c>
      <c r="N6" s="33" t="str">
        <f t="shared" si="3"/>
        <v/>
      </c>
    </row>
    <row r="7" ht="16.5" customHeight="1">
      <c r="B7" s="39"/>
      <c r="C7" s="39"/>
      <c r="E7" s="38"/>
      <c r="F7" s="38"/>
      <c r="G7" s="38"/>
      <c r="H7" s="38"/>
      <c r="I7" s="38"/>
      <c r="J7" s="38"/>
      <c r="K7" s="38" t="str">
        <f t="shared" si="1"/>
        <v/>
      </c>
      <c r="L7" s="38" t="str">
        <f>IF(A7="","",IFERROR(VLOOKUP(VLOOKUP(A7,BOOKINGS!$A:$Q,7,FALSE),SETUP_RATES!$A:$H,8,FALSE),0))</f>
        <v/>
      </c>
      <c r="M7" s="38" t="str">
        <f t="shared" si="2"/>
        <v/>
      </c>
      <c r="N7" s="33" t="str">
        <f t="shared" si="3"/>
        <v/>
      </c>
    </row>
    <row r="8" ht="16.5" customHeight="1">
      <c r="B8" s="39"/>
      <c r="C8" s="39"/>
      <c r="E8" s="38"/>
      <c r="F8" s="38"/>
      <c r="G8" s="38"/>
      <c r="H8" s="38"/>
      <c r="I8" s="38"/>
      <c r="J8" s="38"/>
      <c r="K8" s="38" t="str">
        <f t="shared" si="1"/>
        <v/>
      </c>
      <c r="L8" s="38" t="str">
        <f>IF(A8="","",IFERROR(VLOOKUP(VLOOKUP(A8,BOOKINGS!$A:$Q,7,FALSE),SETUP_RATES!$A:$H,8,FALSE),0))</f>
        <v/>
      </c>
      <c r="M8" s="38" t="str">
        <f t="shared" si="2"/>
        <v/>
      </c>
      <c r="N8" s="33" t="str">
        <f t="shared" si="3"/>
        <v/>
      </c>
    </row>
    <row r="9" ht="16.5" customHeight="1">
      <c r="B9" s="39"/>
      <c r="C9" s="39"/>
      <c r="E9" s="38"/>
      <c r="F9" s="38"/>
      <c r="G9" s="38"/>
      <c r="H9" s="38"/>
      <c r="I9" s="38"/>
      <c r="J9" s="38"/>
      <c r="K9" s="38" t="str">
        <f t="shared" si="1"/>
        <v/>
      </c>
      <c r="L9" s="38" t="str">
        <f>IF(A9="","",IFERROR(VLOOKUP(VLOOKUP(A9,BOOKINGS!$A:$Q,7,FALSE),SETUP_RATES!$A:$H,8,FALSE),0))</f>
        <v/>
      </c>
      <c r="M9" s="38" t="str">
        <f t="shared" si="2"/>
        <v/>
      </c>
      <c r="N9" s="33" t="str">
        <f t="shared" si="3"/>
        <v/>
      </c>
    </row>
    <row r="10" ht="16.5" customHeight="1">
      <c r="B10" s="39"/>
      <c r="C10" s="39"/>
      <c r="E10" s="38"/>
      <c r="F10" s="38"/>
      <c r="G10" s="38"/>
      <c r="H10" s="38"/>
      <c r="I10" s="38"/>
      <c r="J10" s="38"/>
      <c r="K10" s="38" t="str">
        <f t="shared" si="1"/>
        <v/>
      </c>
      <c r="L10" s="38" t="str">
        <f>IF(A10="","",IFERROR(VLOOKUP(VLOOKUP(A10,BOOKINGS!$A:$Q,7,FALSE),SETUP_RATES!$A:$H,8,FALSE),0))</f>
        <v/>
      </c>
      <c r="M10" s="38" t="str">
        <f t="shared" si="2"/>
        <v/>
      </c>
      <c r="N10" s="33" t="str">
        <f t="shared" si="3"/>
        <v/>
      </c>
    </row>
    <row r="11">
      <c r="B11" s="39"/>
      <c r="C11" s="39"/>
      <c r="E11" s="38"/>
      <c r="F11" s="38"/>
      <c r="G11" s="38"/>
      <c r="H11" s="38"/>
      <c r="I11" s="38"/>
      <c r="J11" s="38"/>
      <c r="K11" s="38" t="str">
        <f t="shared" si="1"/>
        <v/>
      </c>
      <c r="L11" s="38" t="str">
        <f>IF(A11="","",IFERROR(VLOOKUP(VLOOKUP(A11,BOOKINGS!$A:$Q,7,FALSE),SETUP_RATES!$A:$H,8,FALSE),0))</f>
        <v/>
      </c>
      <c r="M11" s="38" t="str">
        <f t="shared" si="2"/>
        <v/>
      </c>
      <c r="N11" s="33" t="str">
        <f t="shared" si="3"/>
        <v/>
      </c>
    </row>
    <row r="12">
      <c r="B12" s="39"/>
      <c r="C12" s="39"/>
      <c r="E12" s="38"/>
      <c r="F12" s="38"/>
      <c r="G12" s="38"/>
      <c r="H12" s="38"/>
      <c r="I12" s="38"/>
      <c r="J12" s="38"/>
      <c r="K12" s="38" t="str">
        <f t="shared" si="1"/>
        <v/>
      </c>
      <c r="L12" s="38" t="str">
        <f>IF(A12="","",IFERROR(VLOOKUP(VLOOKUP(A12,BOOKINGS!$A:$Q,7,FALSE),SETUP_RATES!$A:$H,8,FALSE),0))</f>
        <v/>
      </c>
      <c r="M12" s="38" t="str">
        <f t="shared" si="2"/>
        <v/>
      </c>
      <c r="N12" s="33" t="str">
        <f t="shared" si="3"/>
        <v/>
      </c>
    </row>
    <row r="13">
      <c r="B13" s="39"/>
      <c r="C13" s="39"/>
      <c r="E13" s="38"/>
      <c r="F13" s="38"/>
      <c r="G13" s="38"/>
      <c r="H13" s="38"/>
      <c r="I13" s="38"/>
      <c r="J13" s="38"/>
      <c r="K13" s="38" t="str">
        <f t="shared" si="1"/>
        <v/>
      </c>
      <c r="L13" s="38" t="str">
        <f>IF(A13="","",IFERROR(VLOOKUP(VLOOKUP(A13,BOOKINGS!$A:$Q,7,FALSE),SETUP_RATES!$A:$H,8,FALSE),0))</f>
        <v/>
      </c>
      <c r="M13" s="38" t="str">
        <f t="shared" si="2"/>
        <v/>
      </c>
      <c r="N13" s="33" t="str">
        <f t="shared" si="3"/>
        <v/>
      </c>
    </row>
    <row r="14">
      <c r="B14" s="39"/>
      <c r="C14" s="39"/>
      <c r="E14" s="38"/>
      <c r="F14" s="38"/>
      <c r="G14" s="38"/>
      <c r="H14" s="38"/>
      <c r="I14" s="38"/>
      <c r="J14" s="38"/>
      <c r="K14" s="38" t="str">
        <f t="shared" si="1"/>
        <v/>
      </c>
      <c r="L14" s="38" t="str">
        <f>IF(A14="","",IFERROR(VLOOKUP(VLOOKUP(A14,BOOKINGS!$A:$Q,7,FALSE),SETUP_RATES!$A:$H,8,FALSE),0))</f>
        <v/>
      </c>
      <c r="M14" s="38" t="str">
        <f t="shared" si="2"/>
        <v/>
      </c>
      <c r="N14" s="33" t="str">
        <f t="shared" si="3"/>
        <v/>
      </c>
    </row>
    <row r="15">
      <c r="B15" s="39"/>
      <c r="C15" s="39"/>
      <c r="E15" s="38"/>
      <c r="F15" s="38"/>
      <c r="G15" s="38"/>
      <c r="H15" s="38"/>
      <c r="I15" s="38"/>
      <c r="J15" s="38"/>
      <c r="K15" s="38" t="str">
        <f t="shared" si="1"/>
        <v/>
      </c>
      <c r="L15" s="38" t="str">
        <f>IF(A15="","",IFERROR(VLOOKUP(VLOOKUP(A15,BOOKINGS!$A:$Q,7,FALSE),SETUP_RATES!$A:$H,8,FALSE),0))</f>
        <v/>
      </c>
      <c r="M15" s="38" t="str">
        <f t="shared" si="2"/>
        <v/>
      </c>
      <c r="N15" s="33" t="str">
        <f t="shared" si="3"/>
        <v/>
      </c>
    </row>
    <row r="16">
      <c r="B16" s="39"/>
      <c r="C16" s="39"/>
      <c r="E16" s="38"/>
      <c r="F16" s="38"/>
      <c r="G16" s="38"/>
      <c r="H16" s="38"/>
      <c r="I16" s="38"/>
      <c r="J16" s="38"/>
      <c r="K16" s="38" t="str">
        <f t="shared" si="1"/>
        <v/>
      </c>
      <c r="L16" s="38" t="str">
        <f>IF(A16="","",IFERROR(VLOOKUP(VLOOKUP(A16,BOOKINGS!$A:$Q,7,FALSE),SETUP_RATES!$A:$H,8,FALSE),0))</f>
        <v/>
      </c>
      <c r="M16" s="38" t="str">
        <f t="shared" si="2"/>
        <v/>
      </c>
      <c r="N16" s="33" t="str">
        <f t="shared" si="3"/>
        <v/>
      </c>
    </row>
    <row r="17">
      <c r="B17" s="39"/>
      <c r="C17" s="39"/>
      <c r="E17" s="38"/>
      <c r="F17" s="38"/>
      <c r="G17" s="38"/>
      <c r="H17" s="38"/>
      <c r="I17" s="38"/>
      <c r="J17" s="38"/>
      <c r="K17" s="38" t="str">
        <f t="shared" si="1"/>
        <v/>
      </c>
      <c r="L17" s="38" t="str">
        <f>IF(A17="","",IFERROR(VLOOKUP(VLOOKUP(A17,BOOKINGS!$A:$Q,7,FALSE),SETUP_RATES!$A:$H,8,FALSE),0))</f>
        <v/>
      </c>
      <c r="M17" s="38" t="str">
        <f t="shared" si="2"/>
        <v/>
      </c>
      <c r="N17" s="33" t="str">
        <f t="shared" si="3"/>
        <v/>
      </c>
    </row>
    <row r="18">
      <c r="B18" s="39"/>
      <c r="C18" s="39"/>
      <c r="E18" s="38"/>
      <c r="F18" s="38"/>
      <c r="G18" s="38"/>
      <c r="H18" s="38"/>
      <c r="I18" s="38"/>
      <c r="J18" s="38"/>
      <c r="K18" s="38" t="str">
        <f t="shared" si="1"/>
        <v/>
      </c>
      <c r="L18" s="38" t="str">
        <f>IF(A18="","",IFERROR(VLOOKUP(VLOOKUP(A18,BOOKINGS!$A:$Q,7,FALSE),SETUP_RATES!$A:$H,8,FALSE),0))</f>
        <v/>
      </c>
      <c r="M18" s="38" t="str">
        <f t="shared" si="2"/>
        <v/>
      </c>
      <c r="N18" s="33" t="str">
        <f t="shared" si="3"/>
        <v/>
      </c>
    </row>
    <row r="19">
      <c r="B19" s="39"/>
      <c r="C19" s="39"/>
      <c r="E19" s="38"/>
      <c r="F19" s="38"/>
      <c r="G19" s="38"/>
      <c r="H19" s="38"/>
      <c r="I19" s="38"/>
      <c r="J19" s="38"/>
      <c r="K19" s="38" t="str">
        <f t="shared" si="1"/>
        <v/>
      </c>
      <c r="L19" s="38" t="str">
        <f>IF(A19="","",IFERROR(VLOOKUP(VLOOKUP(A19,BOOKINGS!$A:$Q,7,FALSE),SETUP_RATES!$A:$H,8,FALSE),0))</f>
        <v/>
      </c>
      <c r="M19" s="38" t="str">
        <f t="shared" si="2"/>
        <v/>
      </c>
      <c r="N19" s="33" t="str">
        <f t="shared" si="3"/>
        <v/>
      </c>
    </row>
    <row r="20">
      <c r="B20" s="39"/>
      <c r="C20" s="39"/>
      <c r="E20" s="38"/>
      <c r="F20" s="38"/>
      <c r="G20" s="38"/>
      <c r="H20" s="38"/>
      <c r="I20" s="38"/>
      <c r="J20" s="38"/>
      <c r="K20" s="38" t="str">
        <f t="shared" si="1"/>
        <v/>
      </c>
      <c r="L20" s="38" t="str">
        <f>IF(A20="","",IFERROR(VLOOKUP(VLOOKUP(A20,BOOKINGS!$A:$Q,7,FALSE),SETUP_RATES!$A:$H,8,FALSE),0))</f>
        <v/>
      </c>
      <c r="M20" s="38" t="str">
        <f t="shared" si="2"/>
        <v/>
      </c>
      <c r="N20" s="33" t="str">
        <f t="shared" si="3"/>
        <v/>
      </c>
    </row>
    <row r="21" ht="15.75" customHeight="1">
      <c r="B21" s="39"/>
      <c r="C21" s="39"/>
      <c r="E21" s="38"/>
      <c r="F21" s="38"/>
      <c r="G21" s="38"/>
      <c r="H21" s="38"/>
      <c r="I21" s="38"/>
      <c r="J21" s="38"/>
      <c r="K21" s="38" t="str">
        <f t="shared" si="1"/>
        <v/>
      </c>
      <c r="L21" s="38" t="str">
        <f>IF(A21="","",IFERROR(VLOOKUP(VLOOKUP(A21,BOOKINGS!$A:$Q,7,FALSE),SETUP_RATES!$A:$H,8,FALSE),0))</f>
        <v/>
      </c>
      <c r="M21" s="38" t="str">
        <f t="shared" si="2"/>
        <v/>
      </c>
      <c r="N21" s="33" t="str">
        <f t="shared" si="3"/>
        <v/>
      </c>
    </row>
    <row r="22" ht="15.75" customHeight="1">
      <c r="B22" s="39"/>
      <c r="C22" s="39"/>
      <c r="E22" s="38"/>
      <c r="F22" s="38"/>
      <c r="G22" s="38"/>
      <c r="H22" s="38"/>
      <c r="I22" s="38"/>
      <c r="J22" s="38"/>
      <c r="K22" s="38" t="str">
        <f t="shared" si="1"/>
        <v/>
      </c>
      <c r="L22" s="38" t="str">
        <f>IF(A22="","",IFERROR(VLOOKUP(VLOOKUP(A22,BOOKINGS!$A:$Q,7,FALSE),SETUP_RATES!$A:$H,8,FALSE),0))</f>
        <v/>
      </c>
      <c r="M22" s="38" t="str">
        <f t="shared" si="2"/>
        <v/>
      </c>
      <c r="N22" s="33" t="str">
        <f t="shared" si="3"/>
        <v/>
      </c>
    </row>
    <row r="23" ht="15.75" customHeight="1">
      <c r="B23" s="39"/>
      <c r="C23" s="39"/>
      <c r="E23" s="38"/>
      <c r="F23" s="38"/>
      <c r="G23" s="38"/>
      <c r="H23" s="38"/>
      <c r="I23" s="38"/>
      <c r="J23" s="38"/>
      <c r="K23" s="38" t="str">
        <f t="shared" si="1"/>
        <v/>
      </c>
      <c r="L23" s="38" t="str">
        <f>IF(A23="","",IFERROR(VLOOKUP(VLOOKUP(A23,BOOKINGS!$A:$Q,7,FALSE),SETUP_RATES!$A:$H,8,FALSE),0))</f>
        <v/>
      </c>
      <c r="M23" s="38" t="str">
        <f t="shared" si="2"/>
        <v/>
      </c>
      <c r="N23" s="33" t="str">
        <f t="shared" si="3"/>
        <v/>
      </c>
    </row>
    <row r="24" ht="15.75" customHeight="1">
      <c r="B24" s="39"/>
      <c r="C24" s="39"/>
      <c r="E24" s="38"/>
      <c r="F24" s="38"/>
      <c r="G24" s="38"/>
      <c r="H24" s="38"/>
      <c r="I24" s="38"/>
      <c r="J24" s="38"/>
      <c r="K24" s="38" t="str">
        <f t="shared" si="1"/>
        <v/>
      </c>
      <c r="L24" s="38" t="str">
        <f>IF(A24="","",IFERROR(VLOOKUP(VLOOKUP(A24,BOOKINGS!$A:$Q,7,FALSE),SETUP_RATES!$A:$H,8,FALSE),0))</f>
        <v/>
      </c>
      <c r="M24" s="38" t="str">
        <f t="shared" si="2"/>
        <v/>
      </c>
      <c r="N24" s="33" t="str">
        <f t="shared" si="3"/>
        <v/>
      </c>
    </row>
    <row r="25" ht="15.75" customHeight="1">
      <c r="B25" s="39"/>
      <c r="C25" s="39"/>
      <c r="E25" s="38"/>
      <c r="F25" s="38"/>
      <c r="G25" s="38"/>
      <c r="H25" s="38"/>
      <c r="I25" s="38"/>
      <c r="J25" s="38"/>
      <c r="K25" s="38" t="str">
        <f t="shared" si="1"/>
        <v/>
      </c>
      <c r="L25" s="38" t="str">
        <f>IF(A25="","",IFERROR(VLOOKUP(VLOOKUP(A25,BOOKINGS!$A:$Q,7,FALSE),SETUP_RATES!$A:$H,8,FALSE),0))</f>
        <v/>
      </c>
      <c r="M25" s="38" t="str">
        <f t="shared" si="2"/>
        <v/>
      </c>
      <c r="N25" s="33" t="str">
        <f t="shared" si="3"/>
        <v/>
      </c>
    </row>
    <row r="26" ht="15.75" customHeight="1">
      <c r="B26" s="39"/>
      <c r="C26" s="39"/>
      <c r="E26" s="38"/>
      <c r="F26" s="38"/>
      <c r="G26" s="38"/>
      <c r="H26" s="38"/>
      <c r="I26" s="38"/>
      <c r="J26" s="38"/>
      <c r="K26" s="38" t="str">
        <f t="shared" si="1"/>
        <v/>
      </c>
      <c r="L26" s="38" t="str">
        <f>IF(A26="","",IFERROR(VLOOKUP(VLOOKUP(A26,BOOKINGS!$A:$Q,7,FALSE),SETUP_RATES!$A:$H,8,FALSE),0))</f>
        <v/>
      </c>
      <c r="M26" s="38" t="str">
        <f t="shared" si="2"/>
        <v/>
      </c>
      <c r="N26" s="33" t="str">
        <f t="shared" si="3"/>
        <v/>
      </c>
    </row>
    <row r="27" ht="15.75" customHeight="1">
      <c r="B27" s="39"/>
      <c r="C27" s="39"/>
      <c r="E27" s="38"/>
      <c r="F27" s="38"/>
      <c r="G27" s="38"/>
      <c r="H27" s="38"/>
      <c r="I27" s="38"/>
      <c r="J27" s="38"/>
      <c r="K27" s="38" t="str">
        <f t="shared" si="1"/>
        <v/>
      </c>
      <c r="L27" s="38" t="str">
        <f>IF(A27="","",IFERROR(VLOOKUP(VLOOKUP(A27,BOOKINGS!$A:$Q,7,FALSE),SETUP_RATES!$A:$H,8,FALSE),0))</f>
        <v/>
      </c>
      <c r="M27" s="38" t="str">
        <f t="shared" si="2"/>
        <v/>
      </c>
      <c r="N27" s="33" t="str">
        <f t="shared" si="3"/>
        <v/>
      </c>
    </row>
    <row r="28" ht="15.75" customHeight="1">
      <c r="B28" s="39"/>
      <c r="C28" s="39"/>
      <c r="E28" s="38"/>
      <c r="F28" s="38"/>
      <c r="G28" s="38"/>
      <c r="H28" s="38"/>
      <c r="I28" s="38"/>
      <c r="J28" s="38"/>
      <c r="K28" s="38" t="str">
        <f t="shared" si="1"/>
        <v/>
      </c>
      <c r="L28" s="38" t="str">
        <f>IF(A28="","",IFERROR(VLOOKUP(VLOOKUP(A28,BOOKINGS!$A:$Q,7,FALSE),SETUP_RATES!$A:$H,8,FALSE),0))</f>
        <v/>
      </c>
      <c r="M28" s="38" t="str">
        <f t="shared" si="2"/>
        <v/>
      </c>
      <c r="N28" s="33" t="str">
        <f t="shared" si="3"/>
        <v/>
      </c>
    </row>
    <row r="29" ht="15.75" customHeight="1">
      <c r="B29" s="39"/>
      <c r="C29" s="39"/>
      <c r="E29" s="38"/>
      <c r="F29" s="38"/>
      <c r="G29" s="38"/>
      <c r="H29" s="38"/>
      <c r="I29" s="38"/>
      <c r="J29" s="38"/>
      <c r="K29" s="38" t="str">
        <f t="shared" si="1"/>
        <v/>
      </c>
      <c r="L29" s="38" t="str">
        <f>IF(A29="","",IFERROR(VLOOKUP(VLOOKUP(A29,BOOKINGS!$A:$Q,7,FALSE),SETUP_RATES!$A:$H,8,FALSE),0))</f>
        <v/>
      </c>
      <c r="M29" s="38" t="str">
        <f t="shared" si="2"/>
        <v/>
      </c>
      <c r="N29" s="33" t="str">
        <f t="shared" si="3"/>
        <v/>
      </c>
    </row>
    <row r="30" ht="15.75" customHeight="1">
      <c r="B30" s="39"/>
      <c r="C30" s="39"/>
      <c r="E30" s="38"/>
      <c r="F30" s="38"/>
      <c r="G30" s="38"/>
      <c r="H30" s="38"/>
      <c r="I30" s="38"/>
      <c r="J30" s="38"/>
      <c r="K30" s="38" t="str">
        <f t="shared" si="1"/>
        <v/>
      </c>
      <c r="L30" s="38" t="str">
        <f>IF(A30="","",IFERROR(VLOOKUP(VLOOKUP(A30,BOOKINGS!$A:$Q,7,FALSE),SETUP_RATES!$A:$H,8,FALSE),0))</f>
        <v/>
      </c>
      <c r="M30" s="38" t="str">
        <f t="shared" si="2"/>
        <v/>
      </c>
      <c r="N30" s="33" t="str">
        <f t="shared" si="3"/>
        <v/>
      </c>
    </row>
    <row r="31" ht="15.75" customHeight="1">
      <c r="B31" s="39"/>
      <c r="C31" s="39"/>
      <c r="E31" s="38"/>
      <c r="F31" s="38"/>
      <c r="G31" s="38"/>
      <c r="H31" s="38"/>
      <c r="I31" s="38"/>
      <c r="J31" s="38"/>
      <c r="K31" s="38" t="str">
        <f t="shared" si="1"/>
        <v/>
      </c>
      <c r="L31" s="38" t="str">
        <f>IF(A31="","",IFERROR(VLOOKUP(VLOOKUP(A31,BOOKINGS!$A:$Q,7,FALSE),SETUP_RATES!$A:$H,8,FALSE),0))</f>
        <v/>
      </c>
      <c r="M31" s="38" t="str">
        <f t="shared" si="2"/>
        <v/>
      </c>
      <c r="N31" s="33" t="str">
        <f t="shared" si="3"/>
        <v/>
      </c>
    </row>
    <row r="32" ht="15.75" customHeight="1">
      <c r="B32" s="39"/>
      <c r="C32" s="39"/>
      <c r="E32" s="38"/>
      <c r="F32" s="38"/>
      <c r="G32" s="38"/>
      <c r="H32" s="38"/>
      <c r="I32" s="38"/>
      <c r="J32" s="38"/>
      <c r="K32" s="38" t="str">
        <f t="shared" si="1"/>
        <v/>
      </c>
      <c r="L32" s="38" t="str">
        <f>IF(A32="","",IFERROR(VLOOKUP(VLOOKUP(A32,BOOKINGS!$A:$Q,7,FALSE),SETUP_RATES!$A:$H,8,FALSE),0))</f>
        <v/>
      </c>
      <c r="M32" s="38" t="str">
        <f t="shared" si="2"/>
        <v/>
      </c>
      <c r="N32" s="33" t="str">
        <f t="shared" si="3"/>
        <v/>
      </c>
    </row>
    <row r="33" ht="15.75" customHeight="1">
      <c r="B33" s="39"/>
      <c r="C33" s="39"/>
      <c r="E33" s="38"/>
      <c r="F33" s="38"/>
      <c r="G33" s="38"/>
      <c r="H33" s="38"/>
      <c r="I33" s="38"/>
      <c r="J33" s="38"/>
      <c r="K33" s="38" t="str">
        <f t="shared" si="1"/>
        <v/>
      </c>
      <c r="L33" s="38" t="str">
        <f>IF(A33="","",IFERROR(VLOOKUP(VLOOKUP(A33,BOOKINGS!$A:$Q,7,FALSE),SETUP_RATES!$A:$H,8,FALSE),0))</f>
        <v/>
      </c>
      <c r="M33" s="38" t="str">
        <f t="shared" si="2"/>
        <v/>
      </c>
      <c r="N33" s="33" t="str">
        <f t="shared" si="3"/>
        <v/>
      </c>
    </row>
    <row r="34" ht="15.75" customHeight="1">
      <c r="B34" s="39"/>
      <c r="C34" s="39"/>
      <c r="E34" s="38"/>
      <c r="F34" s="38"/>
      <c r="G34" s="38"/>
      <c r="H34" s="38"/>
      <c r="I34" s="38"/>
      <c r="J34" s="38"/>
      <c r="K34" s="38" t="str">
        <f t="shared" si="1"/>
        <v/>
      </c>
      <c r="L34" s="38" t="str">
        <f>IF(A34="","",IFERROR(VLOOKUP(VLOOKUP(A34,BOOKINGS!$A:$Q,7,FALSE),SETUP_RATES!$A:$H,8,FALSE),0))</f>
        <v/>
      </c>
      <c r="M34" s="38" t="str">
        <f t="shared" si="2"/>
        <v/>
      </c>
      <c r="N34" s="33" t="str">
        <f t="shared" si="3"/>
        <v/>
      </c>
    </row>
    <row r="35" ht="15.75" customHeight="1">
      <c r="B35" s="39"/>
      <c r="C35" s="39"/>
      <c r="E35" s="38"/>
      <c r="F35" s="38"/>
      <c r="G35" s="38"/>
      <c r="H35" s="38"/>
      <c r="I35" s="38"/>
      <c r="J35" s="38"/>
      <c r="K35" s="38" t="str">
        <f t="shared" si="1"/>
        <v/>
      </c>
      <c r="L35" s="38" t="str">
        <f>IF(A35="","",IFERROR(VLOOKUP(VLOOKUP(A35,BOOKINGS!$A:$Q,7,FALSE),SETUP_RATES!$A:$H,8,FALSE),0))</f>
        <v/>
      </c>
      <c r="M35" s="38" t="str">
        <f t="shared" si="2"/>
        <v/>
      </c>
      <c r="N35" s="33" t="str">
        <f t="shared" si="3"/>
        <v/>
      </c>
    </row>
    <row r="36" ht="15.75" customHeight="1">
      <c r="B36" s="39"/>
      <c r="C36" s="39"/>
      <c r="E36" s="38"/>
      <c r="F36" s="38"/>
      <c r="G36" s="38"/>
      <c r="H36" s="38"/>
      <c r="I36" s="38"/>
      <c r="J36" s="38"/>
      <c r="K36" s="38" t="str">
        <f t="shared" si="1"/>
        <v/>
      </c>
      <c r="L36" s="38" t="str">
        <f>IF(A36="","",IFERROR(VLOOKUP(VLOOKUP(A36,BOOKINGS!$A:$Q,7,FALSE),SETUP_RATES!$A:$H,8,FALSE),0))</f>
        <v/>
      </c>
      <c r="M36" s="38" t="str">
        <f t="shared" si="2"/>
        <v/>
      </c>
      <c r="N36" s="33" t="str">
        <f t="shared" si="3"/>
        <v/>
      </c>
    </row>
    <row r="37" ht="15.75" customHeight="1">
      <c r="B37" s="39"/>
      <c r="C37" s="39"/>
      <c r="E37" s="38"/>
      <c r="F37" s="38"/>
      <c r="G37" s="38"/>
      <c r="H37" s="38"/>
      <c r="I37" s="38"/>
      <c r="J37" s="38"/>
      <c r="K37" s="38" t="str">
        <f t="shared" si="1"/>
        <v/>
      </c>
      <c r="L37" s="38" t="str">
        <f>IF(A37="","",IFERROR(VLOOKUP(VLOOKUP(A37,BOOKINGS!$A:$Q,7,FALSE),SETUP_RATES!$A:$H,8,FALSE),0))</f>
        <v/>
      </c>
      <c r="M37" s="38" t="str">
        <f t="shared" si="2"/>
        <v/>
      </c>
      <c r="N37" s="33" t="str">
        <f t="shared" si="3"/>
        <v/>
      </c>
    </row>
    <row r="38" ht="15.75" customHeight="1">
      <c r="B38" s="39"/>
      <c r="C38" s="39"/>
      <c r="E38" s="38"/>
      <c r="F38" s="38"/>
      <c r="G38" s="38"/>
      <c r="H38" s="38"/>
      <c r="I38" s="38"/>
      <c r="J38" s="38"/>
      <c r="K38" s="38" t="str">
        <f t="shared" si="1"/>
        <v/>
      </c>
      <c r="L38" s="38" t="str">
        <f>IF(A38="","",IFERROR(VLOOKUP(VLOOKUP(A38,BOOKINGS!$A:$Q,7,FALSE),SETUP_RATES!$A:$H,8,FALSE),0))</f>
        <v/>
      </c>
      <c r="M38" s="38" t="str">
        <f t="shared" si="2"/>
        <v/>
      </c>
      <c r="N38" s="33" t="str">
        <f t="shared" si="3"/>
        <v/>
      </c>
    </row>
    <row r="39" ht="15.75" customHeight="1">
      <c r="B39" s="39"/>
      <c r="C39" s="39"/>
      <c r="E39" s="38"/>
      <c r="F39" s="38"/>
      <c r="G39" s="38"/>
      <c r="H39" s="38"/>
      <c r="I39" s="38"/>
      <c r="J39" s="38"/>
      <c r="K39" s="38" t="str">
        <f t="shared" si="1"/>
        <v/>
      </c>
      <c r="L39" s="38" t="str">
        <f>IF(A39="","",IFERROR(VLOOKUP(VLOOKUP(A39,BOOKINGS!$A:$Q,7,FALSE),SETUP_RATES!$A:$H,8,FALSE),0))</f>
        <v/>
      </c>
      <c r="M39" s="38" t="str">
        <f t="shared" si="2"/>
        <v/>
      </c>
      <c r="N39" s="33" t="str">
        <f t="shared" si="3"/>
        <v/>
      </c>
    </row>
    <row r="40" ht="15.75" customHeight="1">
      <c r="B40" s="39"/>
      <c r="C40" s="39"/>
      <c r="E40" s="38"/>
      <c r="F40" s="38"/>
      <c r="G40" s="38"/>
      <c r="H40" s="38"/>
      <c r="I40" s="38"/>
      <c r="J40" s="38"/>
      <c r="K40" s="38" t="str">
        <f t="shared" si="1"/>
        <v/>
      </c>
      <c r="L40" s="38" t="str">
        <f>IF(A40="","",IFERROR(VLOOKUP(VLOOKUP(A40,BOOKINGS!$A:$Q,7,FALSE),SETUP_RATES!$A:$H,8,FALSE),0))</f>
        <v/>
      </c>
      <c r="M40" s="38" t="str">
        <f t="shared" si="2"/>
        <v/>
      </c>
      <c r="N40" s="33" t="str">
        <f t="shared" si="3"/>
        <v/>
      </c>
    </row>
    <row r="41" ht="15.75" customHeight="1">
      <c r="B41" s="39"/>
      <c r="C41" s="39"/>
      <c r="E41" s="38"/>
      <c r="F41" s="38"/>
      <c r="G41" s="38"/>
      <c r="H41" s="38"/>
      <c r="I41" s="38"/>
      <c r="J41" s="38"/>
      <c r="K41" s="38" t="str">
        <f t="shared" si="1"/>
        <v/>
      </c>
      <c r="L41" s="38" t="str">
        <f>IF(A41="","",IFERROR(VLOOKUP(VLOOKUP(A41,BOOKINGS!$A:$Q,7,FALSE),SETUP_RATES!$A:$H,8,FALSE),0))</f>
        <v/>
      </c>
      <c r="M41" s="38" t="str">
        <f t="shared" si="2"/>
        <v/>
      </c>
      <c r="N41" s="33" t="str">
        <f t="shared" si="3"/>
        <v/>
      </c>
    </row>
    <row r="42" ht="15.75" customHeight="1">
      <c r="B42" s="39"/>
      <c r="C42" s="39"/>
      <c r="E42" s="38"/>
      <c r="F42" s="38"/>
      <c r="G42" s="38"/>
      <c r="H42" s="38"/>
      <c r="I42" s="38"/>
      <c r="J42" s="38"/>
      <c r="K42" s="38" t="str">
        <f t="shared" si="1"/>
        <v/>
      </c>
      <c r="L42" s="38" t="str">
        <f>IF(A42="","",IFERROR(VLOOKUP(VLOOKUP(A42,BOOKINGS!$A:$Q,7,FALSE),SETUP_RATES!$A:$H,8,FALSE),0))</f>
        <v/>
      </c>
      <c r="M42" s="38" t="str">
        <f t="shared" si="2"/>
        <v/>
      </c>
      <c r="N42" s="33" t="str">
        <f t="shared" si="3"/>
        <v/>
      </c>
    </row>
    <row r="43" ht="15.75" customHeight="1">
      <c r="B43" s="39"/>
      <c r="C43" s="39"/>
      <c r="E43" s="38"/>
      <c r="F43" s="38"/>
      <c r="G43" s="38"/>
      <c r="H43" s="38"/>
      <c r="I43" s="38"/>
      <c r="J43" s="38"/>
      <c r="K43" s="38" t="str">
        <f t="shared" si="1"/>
        <v/>
      </c>
      <c r="L43" s="38" t="str">
        <f>IF(A43="","",IFERROR(VLOOKUP(VLOOKUP(A43,BOOKINGS!$A:$Q,7,FALSE),SETUP_RATES!$A:$H,8,FALSE),0))</f>
        <v/>
      </c>
      <c r="M43" s="38" t="str">
        <f t="shared" si="2"/>
        <v/>
      </c>
      <c r="N43" s="33" t="str">
        <f t="shared" si="3"/>
        <v/>
      </c>
    </row>
    <row r="44" ht="15.75" customHeight="1">
      <c r="B44" s="39"/>
      <c r="C44" s="39"/>
      <c r="E44" s="38"/>
      <c r="F44" s="38"/>
      <c r="G44" s="38"/>
      <c r="H44" s="38"/>
      <c r="I44" s="38"/>
      <c r="J44" s="38"/>
      <c r="K44" s="38" t="str">
        <f t="shared" si="1"/>
        <v/>
      </c>
      <c r="L44" s="38" t="str">
        <f>IF(A44="","",IFERROR(VLOOKUP(VLOOKUP(A44,BOOKINGS!$A:$Q,7,FALSE),SETUP_RATES!$A:$H,8,FALSE),0))</f>
        <v/>
      </c>
      <c r="M44" s="38" t="str">
        <f t="shared" si="2"/>
        <v/>
      </c>
      <c r="N44" s="33" t="str">
        <f t="shared" si="3"/>
        <v/>
      </c>
    </row>
    <row r="45" ht="15.75" customHeight="1">
      <c r="B45" s="39"/>
      <c r="C45" s="39"/>
      <c r="E45" s="38"/>
      <c r="F45" s="38"/>
      <c r="G45" s="38"/>
      <c r="H45" s="38"/>
      <c r="I45" s="38"/>
      <c r="J45" s="38"/>
      <c r="K45" s="38" t="str">
        <f t="shared" si="1"/>
        <v/>
      </c>
      <c r="L45" s="38" t="str">
        <f>IF(A45="","",IFERROR(VLOOKUP(VLOOKUP(A45,BOOKINGS!$A:$Q,7,FALSE),SETUP_RATES!$A:$H,8,FALSE),0))</f>
        <v/>
      </c>
      <c r="M45" s="38" t="str">
        <f t="shared" si="2"/>
        <v/>
      </c>
      <c r="N45" s="33" t="str">
        <f t="shared" si="3"/>
        <v/>
      </c>
    </row>
    <row r="46" ht="15.75" customHeight="1">
      <c r="B46" s="39"/>
      <c r="C46" s="39"/>
      <c r="E46" s="38"/>
      <c r="F46" s="38"/>
      <c r="G46" s="38"/>
      <c r="H46" s="38"/>
      <c r="I46" s="38"/>
      <c r="J46" s="38"/>
      <c r="K46" s="38" t="str">
        <f t="shared" si="1"/>
        <v/>
      </c>
      <c r="L46" s="38" t="str">
        <f>IF(A46="","",IFERROR(VLOOKUP(VLOOKUP(A46,BOOKINGS!$A:$Q,7,FALSE),SETUP_RATES!$A:$H,8,FALSE),0))</f>
        <v/>
      </c>
      <c r="M46" s="38" t="str">
        <f t="shared" si="2"/>
        <v/>
      </c>
      <c r="N46" s="33" t="str">
        <f t="shared" si="3"/>
        <v/>
      </c>
    </row>
    <row r="47" ht="15.75" customHeight="1">
      <c r="B47" s="39"/>
      <c r="C47" s="39"/>
      <c r="E47" s="38"/>
      <c r="F47" s="38"/>
      <c r="G47" s="38"/>
      <c r="H47" s="38"/>
      <c r="I47" s="38"/>
      <c r="J47" s="38"/>
      <c r="K47" s="38" t="str">
        <f t="shared" si="1"/>
        <v/>
      </c>
      <c r="L47" s="38" t="str">
        <f>IF(A47="","",IFERROR(VLOOKUP(VLOOKUP(A47,BOOKINGS!$A:$Q,7,FALSE),SETUP_RATES!$A:$H,8,FALSE),0))</f>
        <v/>
      </c>
      <c r="M47" s="38" t="str">
        <f t="shared" si="2"/>
        <v/>
      </c>
      <c r="N47" s="33" t="str">
        <f t="shared" si="3"/>
        <v/>
      </c>
    </row>
    <row r="48" ht="15.75" customHeight="1">
      <c r="B48" s="39"/>
      <c r="C48" s="39"/>
      <c r="E48" s="38"/>
      <c r="F48" s="38"/>
      <c r="G48" s="38"/>
      <c r="H48" s="38"/>
      <c r="I48" s="38"/>
      <c r="J48" s="38"/>
      <c r="K48" s="38" t="str">
        <f t="shared" si="1"/>
        <v/>
      </c>
      <c r="L48" s="38" t="str">
        <f>IF(A48="","",IFERROR(VLOOKUP(VLOOKUP(A48,BOOKINGS!$A:$Q,7,FALSE),SETUP_RATES!$A:$H,8,FALSE),0))</f>
        <v/>
      </c>
      <c r="M48" s="38" t="str">
        <f t="shared" si="2"/>
        <v/>
      </c>
      <c r="N48" s="33" t="str">
        <f t="shared" si="3"/>
        <v/>
      </c>
    </row>
    <row r="49" ht="15.75" customHeight="1">
      <c r="B49" s="39"/>
      <c r="C49" s="39"/>
      <c r="E49" s="38"/>
      <c r="F49" s="38"/>
      <c r="G49" s="38"/>
      <c r="H49" s="38"/>
      <c r="I49" s="38"/>
      <c r="J49" s="38"/>
      <c r="K49" s="38" t="str">
        <f t="shared" si="1"/>
        <v/>
      </c>
      <c r="L49" s="38" t="str">
        <f>IF(A49="","",IFERROR(VLOOKUP(VLOOKUP(A49,BOOKINGS!$A:$Q,7,FALSE),SETUP_RATES!$A:$H,8,FALSE),0))</f>
        <v/>
      </c>
      <c r="M49" s="38" t="str">
        <f t="shared" si="2"/>
        <v/>
      </c>
      <c r="N49" s="33" t="str">
        <f t="shared" si="3"/>
        <v/>
      </c>
    </row>
    <row r="50" ht="15.75" customHeight="1">
      <c r="B50" s="39"/>
      <c r="C50" s="39"/>
      <c r="E50" s="38"/>
      <c r="F50" s="38"/>
      <c r="G50" s="38"/>
      <c r="H50" s="38"/>
      <c r="I50" s="38"/>
      <c r="J50" s="38"/>
      <c r="K50" s="38" t="str">
        <f t="shared" si="1"/>
        <v/>
      </c>
      <c r="L50" s="38" t="str">
        <f>IF(A50="","",IFERROR(VLOOKUP(VLOOKUP(A50,BOOKINGS!$A:$Q,7,FALSE),SETUP_RATES!$A:$H,8,FALSE),0))</f>
        <v/>
      </c>
      <c r="M50" s="38" t="str">
        <f t="shared" si="2"/>
        <v/>
      </c>
      <c r="N50" s="33" t="str">
        <f t="shared" si="3"/>
        <v/>
      </c>
    </row>
    <row r="51" ht="15.75" customHeight="1">
      <c r="B51" s="39"/>
      <c r="C51" s="39"/>
      <c r="E51" s="38"/>
      <c r="F51" s="38"/>
      <c r="G51" s="38"/>
      <c r="H51" s="38"/>
      <c r="I51" s="38"/>
      <c r="J51" s="38"/>
      <c r="K51" s="38" t="str">
        <f t="shared" si="1"/>
        <v/>
      </c>
      <c r="L51" s="38" t="str">
        <f>IF(A51="","",IFERROR(VLOOKUP(VLOOKUP(A51,BOOKINGS!$A:$Q,7,FALSE),SETUP_RATES!$A:$H,8,FALSE),0))</f>
        <v/>
      </c>
      <c r="M51" s="38" t="str">
        <f t="shared" si="2"/>
        <v/>
      </c>
      <c r="N51" s="33" t="str">
        <f t="shared" si="3"/>
        <v/>
      </c>
    </row>
    <row r="52" ht="15.75" customHeight="1">
      <c r="B52" s="39"/>
      <c r="C52" s="39"/>
      <c r="E52" s="38"/>
      <c r="F52" s="38"/>
      <c r="G52" s="38"/>
      <c r="H52" s="38"/>
      <c r="I52" s="38"/>
      <c r="J52" s="38"/>
      <c r="K52" s="38" t="str">
        <f t="shared" si="1"/>
        <v/>
      </c>
      <c r="L52" s="38" t="str">
        <f>IF(A52="","",IFERROR(VLOOKUP(VLOOKUP(A52,BOOKINGS!$A:$Q,7,FALSE),SETUP_RATES!$A:$H,8,FALSE),0))</f>
        <v/>
      </c>
      <c r="M52" s="38" t="str">
        <f t="shared" si="2"/>
        <v/>
      </c>
      <c r="N52" s="33" t="str">
        <f t="shared" si="3"/>
        <v/>
      </c>
    </row>
    <row r="53" ht="15.75" customHeight="1">
      <c r="B53" s="39"/>
      <c r="C53" s="39"/>
      <c r="E53" s="38"/>
      <c r="F53" s="38"/>
      <c r="G53" s="38"/>
      <c r="H53" s="38"/>
      <c r="I53" s="38"/>
      <c r="J53" s="38"/>
      <c r="K53" s="38" t="str">
        <f t="shared" si="1"/>
        <v/>
      </c>
      <c r="L53" s="38" t="str">
        <f>IF(A53="","",IFERROR(VLOOKUP(VLOOKUP(A53,BOOKINGS!$A:$Q,7,FALSE),SETUP_RATES!$A:$H,8,FALSE),0))</f>
        <v/>
      </c>
      <c r="M53" s="38" t="str">
        <f t="shared" si="2"/>
        <v/>
      </c>
      <c r="N53" s="33" t="str">
        <f t="shared" si="3"/>
        <v/>
      </c>
    </row>
    <row r="54" ht="15.75" customHeight="1">
      <c r="B54" s="39"/>
      <c r="C54" s="39"/>
      <c r="E54" s="38"/>
      <c r="F54" s="38"/>
      <c r="G54" s="38"/>
      <c r="H54" s="38"/>
      <c r="I54" s="38"/>
      <c r="J54" s="38"/>
      <c r="K54" s="38" t="str">
        <f t="shared" si="1"/>
        <v/>
      </c>
      <c r="L54" s="38" t="str">
        <f>IF(A54="","",IFERROR(VLOOKUP(VLOOKUP(A54,BOOKINGS!$A:$Q,7,FALSE),SETUP_RATES!$A:$H,8,FALSE),0))</f>
        <v/>
      </c>
      <c r="M54" s="38" t="str">
        <f t="shared" si="2"/>
        <v/>
      </c>
      <c r="N54" s="33" t="str">
        <f t="shared" si="3"/>
        <v/>
      </c>
    </row>
    <row r="55" ht="15.75" customHeight="1">
      <c r="B55" s="39"/>
      <c r="C55" s="39"/>
      <c r="E55" s="38"/>
      <c r="F55" s="38"/>
      <c r="G55" s="38"/>
      <c r="H55" s="38"/>
      <c r="I55" s="38"/>
      <c r="J55" s="38"/>
      <c r="K55" s="38" t="str">
        <f t="shared" si="1"/>
        <v/>
      </c>
      <c r="L55" s="38" t="str">
        <f>IF(A55="","",IFERROR(VLOOKUP(VLOOKUP(A55,BOOKINGS!$A:$Q,7,FALSE),SETUP_RATES!$A:$H,8,FALSE),0))</f>
        <v/>
      </c>
      <c r="M55" s="38" t="str">
        <f t="shared" si="2"/>
        <v/>
      </c>
      <c r="N55" s="33" t="str">
        <f t="shared" si="3"/>
        <v/>
      </c>
    </row>
    <row r="56" ht="15.75" customHeight="1">
      <c r="B56" s="39"/>
      <c r="C56" s="39"/>
      <c r="E56" s="38"/>
      <c r="F56" s="38"/>
      <c r="G56" s="38"/>
      <c r="H56" s="38"/>
      <c r="I56" s="38"/>
      <c r="J56" s="38"/>
      <c r="K56" s="38" t="str">
        <f t="shared" si="1"/>
        <v/>
      </c>
      <c r="L56" s="38" t="str">
        <f>IF(A56="","",IFERROR(VLOOKUP(VLOOKUP(A56,BOOKINGS!$A:$Q,7,FALSE),SETUP_RATES!$A:$H,8,FALSE),0))</f>
        <v/>
      </c>
      <c r="M56" s="38" t="str">
        <f t="shared" si="2"/>
        <v/>
      </c>
      <c r="N56" s="33" t="str">
        <f t="shared" si="3"/>
        <v/>
      </c>
    </row>
    <row r="57" ht="15.75" customHeight="1">
      <c r="B57" s="39"/>
      <c r="C57" s="39"/>
      <c r="E57" s="38"/>
      <c r="F57" s="38"/>
      <c r="G57" s="38"/>
      <c r="H57" s="38"/>
      <c r="I57" s="38"/>
      <c r="J57" s="38"/>
      <c r="K57" s="38" t="str">
        <f t="shared" si="1"/>
        <v/>
      </c>
      <c r="L57" s="38" t="str">
        <f>IF(A57="","",IFERROR(VLOOKUP(VLOOKUP(A57,BOOKINGS!$A:$Q,7,FALSE),SETUP_RATES!$A:$H,8,FALSE),0))</f>
        <v/>
      </c>
      <c r="M57" s="38" t="str">
        <f t="shared" si="2"/>
        <v/>
      </c>
      <c r="N57" s="33" t="str">
        <f t="shared" si="3"/>
        <v/>
      </c>
    </row>
    <row r="58" ht="15.75" customHeight="1">
      <c r="B58" s="39"/>
      <c r="C58" s="39"/>
      <c r="E58" s="38"/>
      <c r="F58" s="38"/>
      <c r="G58" s="38"/>
      <c r="H58" s="38"/>
      <c r="I58" s="38"/>
      <c r="J58" s="38"/>
      <c r="K58" s="38" t="str">
        <f t="shared" si="1"/>
        <v/>
      </c>
      <c r="L58" s="38" t="str">
        <f>IF(A58="","",IFERROR(VLOOKUP(VLOOKUP(A58,BOOKINGS!$A:$Q,7,FALSE),SETUP_RATES!$A:$H,8,FALSE),0))</f>
        <v/>
      </c>
      <c r="M58" s="38" t="str">
        <f t="shared" si="2"/>
        <v/>
      </c>
      <c r="N58" s="33" t="str">
        <f t="shared" si="3"/>
        <v/>
      </c>
    </row>
    <row r="59" ht="15.75" customHeight="1">
      <c r="B59" s="39"/>
      <c r="C59" s="39"/>
      <c r="E59" s="38"/>
      <c r="F59" s="38"/>
      <c r="G59" s="38"/>
      <c r="H59" s="38"/>
      <c r="I59" s="38"/>
      <c r="J59" s="38"/>
      <c r="K59" s="38" t="str">
        <f t="shared" si="1"/>
        <v/>
      </c>
      <c r="L59" s="38" t="str">
        <f>IF(A59="","",IFERROR(VLOOKUP(VLOOKUP(A59,BOOKINGS!$A:$Q,7,FALSE),SETUP_RATES!$A:$H,8,FALSE),0))</f>
        <v/>
      </c>
      <c r="M59" s="38" t="str">
        <f t="shared" si="2"/>
        <v/>
      </c>
      <c r="N59" s="33" t="str">
        <f t="shared" si="3"/>
        <v/>
      </c>
    </row>
    <row r="60" ht="15.75" customHeight="1">
      <c r="B60" s="39"/>
      <c r="C60" s="39"/>
      <c r="E60" s="38"/>
      <c r="F60" s="38"/>
      <c r="G60" s="38"/>
      <c r="H60" s="38"/>
      <c r="I60" s="38"/>
      <c r="J60" s="38"/>
      <c r="K60" s="38" t="str">
        <f t="shared" si="1"/>
        <v/>
      </c>
      <c r="L60" s="38" t="str">
        <f>IF(A60="","",IFERROR(VLOOKUP(VLOOKUP(A60,BOOKINGS!$A:$Q,7,FALSE),SETUP_RATES!$A:$H,8,FALSE),0))</f>
        <v/>
      </c>
      <c r="M60" s="38" t="str">
        <f t="shared" si="2"/>
        <v/>
      </c>
      <c r="N60" s="33" t="str">
        <f t="shared" si="3"/>
        <v/>
      </c>
    </row>
    <row r="61" ht="15.75" customHeight="1">
      <c r="B61" s="39"/>
      <c r="C61" s="39"/>
      <c r="E61" s="38"/>
      <c r="F61" s="38"/>
      <c r="G61" s="38"/>
      <c r="H61" s="38"/>
      <c r="I61" s="38"/>
      <c r="J61" s="38"/>
      <c r="K61" s="38" t="str">
        <f t="shared" si="1"/>
        <v/>
      </c>
      <c r="L61" s="38" t="str">
        <f>IF(A61="","",IFERROR(VLOOKUP(VLOOKUP(A61,BOOKINGS!$A:$Q,7,FALSE),SETUP_RATES!$A:$H,8,FALSE),0))</f>
        <v/>
      </c>
      <c r="M61" s="38" t="str">
        <f t="shared" si="2"/>
        <v/>
      </c>
      <c r="N61" s="33" t="str">
        <f t="shared" si="3"/>
        <v/>
      </c>
    </row>
    <row r="62" ht="15.75" customHeight="1">
      <c r="B62" s="39"/>
      <c r="C62" s="39"/>
      <c r="E62" s="38"/>
      <c r="F62" s="38"/>
      <c r="G62" s="38"/>
      <c r="H62" s="38"/>
      <c r="I62" s="38"/>
      <c r="J62" s="38"/>
      <c r="K62" s="38" t="str">
        <f t="shared" si="1"/>
        <v/>
      </c>
      <c r="L62" s="38" t="str">
        <f>IF(A62="","",IFERROR(VLOOKUP(VLOOKUP(A62,BOOKINGS!$A:$Q,7,FALSE),SETUP_RATES!$A:$H,8,FALSE),0))</f>
        <v/>
      </c>
      <c r="M62" s="38" t="str">
        <f t="shared" si="2"/>
        <v/>
      </c>
      <c r="N62" s="33" t="str">
        <f t="shared" si="3"/>
        <v/>
      </c>
    </row>
    <row r="63" ht="15.75" customHeight="1">
      <c r="B63" s="39"/>
      <c r="C63" s="39"/>
      <c r="E63" s="38"/>
      <c r="F63" s="38"/>
      <c r="G63" s="38"/>
      <c r="H63" s="38"/>
      <c r="I63" s="38"/>
      <c r="J63" s="38"/>
      <c r="K63" s="38" t="str">
        <f t="shared" si="1"/>
        <v/>
      </c>
      <c r="L63" s="38" t="str">
        <f>IF(A63="","",IFERROR(VLOOKUP(VLOOKUP(A63,BOOKINGS!$A:$Q,7,FALSE),SETUP_RATES!$A:$H,8,FALSE),0))</f>
        <v/>
      </c>
      <c r="M63" s="38" t="str">
        <f t="shared" si="2"/>
        <v/>
      </c>
      <c r="N63" s="33" t="str">
        <f t="shared" si="3"/>
        <v/>
      </c>
    </row>
    <row r="64" ht="15.75" customHeight="1">
      <c r="B64" s="39"/>
      <c r="C64" s="39"/>
      <c r="E64" s="38"/>
      <c r="F64" s="38"/>
      <c r="G64" s="38"/>
      <c r="H64" s="38"/>
      <c r="I64" s="38"/>
      <c r="J64" s="38"/>
      <c r="K64" s="38" t="str">
        <f t="shared" si="1"/>
        <v/>
      </c>
      <c r="L64" s="38" t="str">
        <f>IF(A64="","",IFERROR(VLOOKUP(VLOOKUP(A64,BOOKINGS!$A:$Q,7,FALSE),SETUP_RATES!$A:$H,8,FALSE),0))</f>
        <v/>
      </c>
      <c r="M64" s="38" t="str">
        <f t="shared" si="2"/>
        <v/>
      </c>
      <c r="N64" s="33" t="str">
        <f t="shared" si="3"/>
        <v/>
      </c>
    </row>
    <row r="65" ht="15.75" customHeight="1">
      <c r="B65" s="39"/>
      <c r="C65" s="39"/>
      <c r="E65" s="38"/>
      <c r="F65" s="38"/>
      <c r="G65" s="38"/>
      <c r="H65" s="38"/>
      <c r="I65" s="38"/>
      <c r="J65" s="38"/>
      <c r="K65" s="38" t="str">
        <f t="shared" si="1"/>
        <v/>
      </c>
      <c r="L65" s="38" t="str">
        <f>IF(A65="","",IFERROR(VLOOKUP(VLOOKUP(A65,BOOKINGS!$A:$Q,7,FALSE),SETUP_RATES!$A:$H,8,FALSE),0))</f>
        <v/>
      </c>
      <c r="M65" s="38" t="str">
        <f t="shared" si="2"/>
        <v/>
      </c>
      <c r="N65" s="33" t="str">
        <f t="shared" si="3"/>
        <v/>
      </c>
    </row>
    <row r="66" ht="15.75" customHeight="1">
      <c r="B66" s="39"/>
      <c r="C66" s="39"/>
      <c r="E66" s="38"/>
      <c r="F66" s="38"/>
      <c r="G66" s="38"/>
      <c r="H66" s="38"/>
      <c r="I66" s="38"/>
      <c r="J66" s="38"/>
      <c r="K66" s="38" t="str">
        <f t="shared" si="1"/>
        <v/>
      </c>
      <c r="L66" s="38" t="str">
        <f>IF(A66="","",IFERROR(VLOOKUP(VLOOKUP(A66,BOOKINGS!$A:$Q,7,FALSE),SETUP_RATES!$A:$H,8,FALSE),0))</f>
        <v/>
      </c>
      <c r="M66" s="38" t="str">
        <f t="shared" si="2"/>
        <v/>
      </c>
      <c r="N66" s="33" t="str">
        <f t="shared" si="3"/>
        <v/>
      </c>
    </row>
    <row r="67" ht="15.75" customHeight="1">
      <c r="B67" s="39"/>
      <c r="C67" s="39"/>
      <c r="E67" s="38"/>
      <c r="F67" s="38"/>
      <c r="G67" s="38"/>
      <c r="H67" s="38"/>
      <c r="I67" s="38"/>
      <c r="J67" s="38"/>
      <c r="K67" s="38" t="str">
        <f t="shared" si="1"/>
        <v/>
      </c>
      <c r="L67" s="38" t="str">
        <f>IF(A67="","",IFERROR(VLOOKUP(VLOOKUP(A67,BOOKINGS!$A:$Q,7,FALSE),SETUP_RATES!$A:$H,8,FALSE),0))</f>
        <v/>
      </c>
      <c r="M67" s="38" t="str">
        <f t="shared" si="2"/>
        <v/>
      </c>
      <c r="N67" s="33" t="str">
        <f t="shared" si="3"/>
        <v/>
      </c>
    </row>
    <row r="68" ht="15.75" customHeight="1">
      <c r="B68" s="39"/>
      <c r="C68" s="39"/>
      <c r="E68" s="38"/>
      <c r="F68" s="38"/>
      <c r="G68" s="38"/>
      <c r="H68" s="38"/>
      <c r="I68" s="38"/>
      <c r="J68" s="38"/>
      <c r="K68" s="38" t="str">
        <f t="shared" si="1"/>
        <v/>
      </c>
      <c r="L68" s="38" t="str">
        <f>IF(A68="","",IFERROR(VLOOKUP(VLOOKUP(A68,BOOKINGS!$A:$Q,7,FALSE),SETUP_RATES!$A:$H,8,FALSE),0))</f>
        <v/>
      </c>
      <c r="M68" s="38" t="str">
        <f t="shared" si="2"/>
        <v/>
      </c>
      <c r="N68" s="33" t="str">
        <f t="shared" si="3"/>
        <v/>
      </c>
    </row>
    <row r="69" ht="15.75" customHeight="1">
      <c r="B69" s="39"/>
      <c r="C69" s="39"/>
      <c r="E69" s="38"/>
      <c r="F69" s="38"/>
      <c r="G69" s="38"/>
      <c r="H69" s="38"/>
      <c r="I69" s="38"/>
      <c r="J69" s="38"/>
      <c r="K69" s="38" t="str">
        <f t="shared" si="1"/>
        <v/>
      </c>
      <c r="L69" s="38" t="str">
        <f>IF(A69="","",IFERROR(VLOOKUP(VLOOKUP(A69,BOOKINGS!$A:$Q,7,FALSE),SETUP_RATES!$A:$H,8,FALSE),0))</f>
        <v/>
      </c>
      <c r="M69" s="38" t="str">
        <f t="shared" si="2"/>
        <v/>
      </c>
      <c r="N69" s="33" t="str">
        <f t="shared" si="3"/>
        <v/>
      </c>
    </row>
    <row r="70" ht="15.75" customHeight="1">
      <c r="B70" s="39"/>
      <c r="C70" s="39"/>
      <c r="E70" s="38"/>
      <c r="F70" s="38"/>
      <c r="G70" s="38"/>
      <c r="H70" s="38"/>
      <c r="I70" s="38"/>
      <c r="J70" s="38"/>
      <c r="K70" s="38" t="str">
        <f t="shared" si="1"/>
        <v/>
      </c>
      <c r="L70" s="38" t="str">
        <f>IF(A70="","",IFERROR(VLOOKUP(VLOOKUP(A70,BOOKINGS!$A:$Q,7,FALSE),SETUP_RATES!$A:$H,8,FALSE),0))</f>
        <v/>
      </c>
      <c r="M70" s="38" t="str">
        <f t="shared" si="2"/>
        <v/>
      </c>
      <c r="N70" s="33" t="str">
        <f t="shared" si="3"/>
        <v/>
      </c>
    </row>
    <row r="71" ht="15.75" customHeight="1">
      <c r="B71" s="39"/>
      <c r="C71" s="39"/>
      <c r="E71" s="38"/>
      <c r="F71" s="38"/>
      <c r="G71" s="38"/>
      <c r="H71" s="38"/>
      <c r="I71" s="38"/>
      <c r="J71" s="38"/>
      <c r="K71" s="38" t="str">
        <f t="shared" si="1"/>
        <v/>
      </c>
      <c r="L71" s="38" t="str">
        <f>IF(A71="","",IFERROR(VLOOKUP(VLOOKUP(A71,BOOKINGS!$A:$Q,7,FALSE),SETUP_RATES!$A:$H,8,FALSE),0))</f>
        <v/>
      </c>
      <c r="M71" s="38" t="str">
        <f t="shared" si="2"/>
        <v/>
      </c>
      <c r="N71" s="33" t="str">
        <f t="shared" si="3"/>
        <v/>
      </c>
    </row>
    <row r="72" ht="15.75" customHeight="1">
      <c r="B72" s="39"/>
      <c r="C72" s="39"/>
      <c r="E72" s="38"/>
      <c r="F72" s="38"/>
      <c r="G72" s="38"/>
      <c r="H72" s="38"/>
      <c r="I72" s="38"/>
      <c r="J72" s="38"/>
      <c r="K72" s="38" t="str">
        <f t="shared" si="1"/>
        <v/>
      </c>
      <c r="L72" s="38" t="str">
        <f>IF(A72="","",IFERROR(VLOOKUP(VLOOKUP(A72,BOOKINGS!$A:$Q,7,FALSE),SETUP_RATES!$A:$H,8,FALSE),0))</f>
        <v/>
      </c>
      <c r="M72" s="38" t="str">
        <f t="shared" si="2"/>
        <v/>
      </c>
      <c r="N72" s="33" t="str">
        <f t="shared" si="3"/>
        <v/>
      </c>
    </row>
    <row r="73" ht="15.75" customHeight="1">
      <c r="B73" s="39"/>
      <c r="C73" s="39"/>
      <c r="E73" s="38"/>
      <c r="F73" s="38"/>
      <c r="G73" s="38"/>
      <c r="H73" s="38"/>
      <c r="I73" s="38"/>
      <c r="J73" s="38"/>
      <c r="K73" s="38" t="str">
        <f t="shared" si="1"/>
        <v/>
      </c>
      <c r="L73" s="38" t="str">
        <f>IF(A73="","",IFERROR(VLOOKUP(VLOOKUP(A73,BOOKINGS!$A:$Q,7,FALSE),SETUP_RATES!$A:$H,8,FALSE),0))</f>
        <v/>
      </c>
      <c r="M73" s="38" t="str">
        <f t="shared" si="2"/>
        <v/>
      </c>
      <c r="N73" s="33" t="str">
        <f t="shared" si="3"/>
        <v/>
      </c>
    </row>
    <row r="74" ht="15.75" customHeight="1">
      <c r="B74" s="39"/>
      <c r="C74" s="39"/>
      <c r="E74" s="38"/>
      <c r="F74" s="38"/>
      <c r="G74" s="38"/>
      <c r="H74" s="38"/>
      <c r="I74" s="38"/>
      <c r="J74" s="38"/>
      <c r="K74" s="38" t="str">
        <f t="shared" si="1"/>
        <v/>
      </c>
      <c r="L74" s="38" t="str">
        <f>IF(A74="","",IFERROR(VLOOKUP(VLOOKUP(A74,BOOKINGS!$A:$Q,7,FALSE),SETUP_RATES!$A:$H,8,FALSE),0))</f>
        <v/>
      </c>
      <c r="M74" s="38" t="str">
        <f t="shared" si="2"/>
        <v/>
      </c>
      <c r="N74" s="33" t="str">
        <f t="shared" si="3"/>
        <v/>
      </c>
    </row>
    <row r="75" ht="15.75" customHeight="1">
      <c r="B75" s="39"/>
      <c r="C75" s="39"/>
      <c r="E75" s="38"/>
      <c r="F75" s="38"/>
      <c r="G75" s="38"/>
      <c r="H75" s="38"/>
      <c r="I75" s="38"/>
      <c r="J75" s="38"/>
      <c r="K75" s="38" t="str">
        <f t="shared" si="1"/>
        <v/>
      </c>
      <c r="L75" s="38" t="str">
        <f>IF(A75="","",IFERROR(VLOOKUP(VLOOKUP(A75,BOOKINGS!$A:$Q,7,FALSE),SETUP_RATES!$A:$H,8,FALSE),0))</f>
        <v/>
      </c>
      <c r="M75" s="38" t="str">
        <f t="shared" si="2"/>
        <v/>
      </c>
      <c r="N75" s="33" t="str">
        <f t="shared" si="3"/>
        <v/>
      </c>
    </row>
    <row r="76" ht="15.75" customHeight="1">
      <c r="B76" s="39"/>
      <c r="C76" s="39"/>
      <c r="E76" s="38"/>
      <c r="F76" s="38"/>
      <c r="G76" s="38"/>
      <c r="H76" s="38"/>
      <c r="I76" s="38"/>
      <c r="J76" s="38"/>
      <c r="K76" s="38" t="str">
        <f t="shared" si="1"/>
        <v/>
      </c>
      <c r="L76" s="38" t="str">
        <f>IF(A76="","",IFERROR(VLOOKUP(VLOOKUP(A76,BOOKINGS!$A:$Q,7,FALSE),SETUP_RATES!$A:$H,8,FALSE),0))</f>
        <v/>
      </c>
      <c r="M76" s="38" t="str">
        <f t="shared" si="2"/>
        <v/>
      </c>
      <c r="N76" s="33" t="str">
        <f t="shared" si="3"/>
        <v/>
      </c>
    </row>
    <row r="77" ht="15.75" customHeight="1">
      <c r="B77" s="39"/>
      <c r="C77" s="39"/>
      <c r="E77" s="38"/>
      <c r="F77" s="38"/>
      <c r="G77" s="38"/>
      <c r="H77" s="38"/>
      <c r="I77" s="38"/>
      <c r="J77" s="38"/>
      <c r="K77" s="38" t="str">
        <f t="shared" si="1"/>
        <v/>
      </c>
      <c r="L77" s="38" t="str">
        <f>IF(A77="","",IFERROR(VLOOKUP(VLOOKUP(A77,BOOKINGS!$A:$Q,7,FALSE),SETUP_RATES!$A:$H,8,FALSE),0))</f>
        <v/>
      </c>
      <c r="M77" s="38" t="str">
        <f t="shared" si="2"/>
        <v/>
      </c>
      <c r="N77" s="33" t="str">
        <f t="shared" si="3"/>
        <v/>
      </c>
    </row>
    <row r="78" ht="15.75" customHeight="1">
      <c r="B78" s="39"/>
      <c r="C78" s="39"/>
      <c r="E78" s="38"/>
      <c r="F78" s="38"/>
      <c r="G78" s="38"/>
      <c r="H78" s="38"/>
      <c r="I78" s="38"/>
      <c r="J78" s="38"/>
      <c r="K78" s="38" t="str">
        <f t="shared" si="1"/>
        <v/>
      </c>
      <c r="L78" s="38" t="str">
        <f>IF(A78="","",IFERROR(VLOOKUP(VLOOKUP(A78,BOOKINGS!$A:$Q,7,FALSE),SETUP_RATES!$A:$H,8,FALSE),0))</f>
        <v/>
      </c>
      <c r="M78" s="38" t="str">
        <f t="shared" si="2"/>
        <v/>
      </c>
      <c r="N78" s="33" t="str">
        <f t="shared" si="3"/>
        <v/>
      </c>
    </row>
    <row r="79" ht="15.75" customHeight="1">
      <c r="B79" s="39"/>
      <c r="C79" s="39"/>
      <c r="E79" s="38"/>
      <c r="F79" s="38"/>
      <c r="G79" s="38"/>
      <c r="H79" s="38"/>
      <c r="I79" s="38"/>
      <c r="J79" s="38"/>
      <c r="K79" s="38" t="str">
        <f t="shared" si="1"/>
        <v/>
      </c>
      <c r="L79" s="38" t="str">
        <f>IF(A79="","",IFERROR(VLOOKUP(VLOOKUP(A79,BOOKINGS!$A:$Q,7,FALSE),SETUP_RATES!$A:$H,8,FALSE),0))</f>
        <v/>
      </c>
      <c r="M79" s="38" t="str">
        <f t="shared" si="2"/>
        <v/>
      </c>
      <c r="N79" s="33" t="str">
        <f t="shared" si="3"/>
        <v/>
      </c>
    </row>
    <row r="80" ht="15.75" customHeight="1">
      <c r="B80" s="39"/>
      <c r="C80" s="39"/>
      <c r="E80" s="38"/>
      <c r="F80" s="38"/>
      <c r="G80" s="38"/>
      <c r="H80" s="38"/>
      <c r="I80" s="38"/>
      <c r="J80" s="38"/>
      <c r="K80" s="38" t="str">
        <f t="shared" si="1"/>
        <v/>
      </c>
      <c r="L80" s="38" t="str">
        <f>IF(A80="","",IFERROR(VLOOKUP(VLOOKUP(A80,BOOKINGS!$A:$Q,7,FALSE),SETUP_RATES!$A:$H,8,FALSE),0))</f>
        <v/>
      </c>
      <c r="M80" s="38" t="str">
        <f t="shared" si="2"/>
        <v/>
      </c>
      <c r="N80" s="33" t="str">
        <f t="shared" si="3"/>
        <v/>
      </c>
    </row>
    <row r="81" ht="15.75" customHeight="1">
      <c r="B81" s="39"/>
      <c r="C81" s="39"/>
      <c r="E81" s="38"/>
      <c r="F81" s="38"/>
      <c r="G81" s="38"/>
      <c r="H81" s="38"/>
      <c r="I81" s="38"/>
      <c r="J81" s="38"/>
      <c r="K81" s="38" t="str">
        <f t="shared" si="1"/>
        <v/>
      </c>
      <c r="L81" s="38" t="str">
        <f>IF(A81="","",IFERROR(VLOOKUP(VLOOKUP(A81,BOOKINGS!$A:$Q,7,FALSE),SETUP_RATES!$A:$H,8,FALSE),0))</f>
        <v/>
      </c>
      <c r="M81" s="38" t="str">
        <f t="shared" si="2"/>
        <v/>
      </c>
      <c r="N81" s="33" t="str">
        <f t="shared" si="3"/>
        <v/>
      </c>
    </row>
    <row r="82" ht="15.75" customHeight="1">
      <c r="B82" s="39"/>
      <c r="C82" s="39"/>
      <c r="E82" s="38"/>
      <c r="F82" s="38"/>
      <c r="G82" s="38"/>
      <c r="H82" s="38"/>
      <c r="I82" s="38"/>
      <c r="J82" s="38"/>
      <c r="K82" s="38" t="str">
        <f t="shared" si="1"/>
        <v/>
      </c>
      <c r="L82" s="38" t="str">
        <f>IF(A82="","",IFERROR(VLOOKUP(VLOOKUP(A82,BOOKINGS!$A:$Q,7,FALSE),SETUP_RATES!$A:$H,8,FALSE),0))</f>
        <v/>
      </c>
      <c r="M82" s="38" t="str">
        <f t="shared" si="2"/>
        <v/>
      </c>
      <c r="N82" s="33" t="str">
        <f t="shared" si="3"/>
        <v/>
      </c>
    </row>
    <row r="83" ht="15.75" customHeight="1">
      <c r="B83" s="39"/>
      <c r="C83" s="39"/>
      <c r="E83" s="38"/>
      <c r="F83" s="38"/>
      <c r="G83" s="38"/>
      <c r="H83" s="38"/>
      <c r="I83" s="38"/>
      <c r="J83" s="38"/>
      <c r="K83" s="38" t="str">
        <f t="shared" si="1"/>
        <v/>
      </c>
      <c r="L83" s="38" t="str">
        <f>IF(A83="","",IFERROR(VLOOKUP(VLOOKUP(A83,BOOKINGS!$A:$Q,7,FALSE),SETUP_RATES!$A:$H,8,FALSE),0))</f>
        <v/>
      </c>
      <c r="M83" s="38" t="str">
        <f t="shared" si="2"/>
        <v/>
      </c>
      <c r="N83" s="33" t="str">
        <f t="shared" si="3"/>
        <v/>
      </c>
    </row>
    <row r="84" ht="15.75" customHeight="1">
      <c r="B84" s="39"/>
      <c r="C84" s="39"/>
      <c r="E84" s="38"/>
      <c r="F84" s="38"/>
      <c r="G84" s="38"/>
      <c r="H84" s="38"/>
      <c r="I84" s="38"/>
      <c r="J84" s="38"/>
      <c r="K84" s="38" t="str">
        <f t="shared" si="1"/>
        <v/>
      </c>
      <c r="L84" s="38" t="str">
        <f>IF(A84="","",IFERROR(VLOOKUP(VLOOKUP(A84,BOOKINGS!$A:$Q,7,FALSE),SETUP_RATES!$A:$H,8,FALSE),0))</f>
        <v/>
      </c>
      <c r="M84" s="38" t="str">
        <f t="shared" si="2"/>
        <v/>
      </c>
      <c r="N84" s="33" t="str">
        <f t="shared" si="3"/>
        <v/>
      </c>
    </row>
    <row r="85" ht="15.75" customHeight="1">
      <c r="B85" s="39"/>
      <c r="C85" s="39"/>
      <c r="E85" s="38"/>
      <c r="F85" s="38"/>
      <c r="G85" s="38"/>
      <c r="H85" s="38"/>
      <c r="I85" s="38"/>
      <c r="J85" s="38"/>
      <c r="K85" s="38" t="str">
        <f t="shared" si="1"/>
        <v/>
      </c>
      <c r="L85" s="38" t="str">
        <f>IF(A85="","",IFERROR(VLOOKUP(VLOOKUP(A85,BOOKINGS!$A:$Q,7,FALSE),SETUP_RATES!$A:$H,8,FALSE),0))</f>
        <v/>
      </c>
      <c r="M85" s="38" t="str">
        <f t="shared" si="2"/>
        <v/>
      </c>
      <c r="N85" s="33" t="str">
        <f t="shared" si="3"/>
        <v/>
      </c>
    </row>
    <row r="86" ht="15.75" customHeight="1">
      <c r="B86" s="39"/>
      <c r="C86" s="39"/>
      <c r="E86" s="38"/>
      <c r="F86" s="38"/>
      <c r="G86" s="38"/>
      <c r="H86" s="38"/>
      <c r="I86" s="38"/>
      <c r="J86" s="38"/>
      <c r="K86" s="38" t="str">
        <f t="shared" si="1"/>
        <v/>
      </c>
      <c r="L86" s="38" t="str">
        <f>IF(A86="","",IFERROR(VLOOKUP(VLOOKUP(A86,BOOKINGS!$A:$Q,7,FALSE),SETUP_RATES!$A:$H,8,FALSE),0))</f>
        <v/>
      </c>
      <c r="M86" s="38" t="str">
        <f t="shared" si="2"/>
        <v/>
      </c>
      <c r="N86" s="33" t="str">
        <f t="shared" si="3"/>
        <v/>
      </c>
    </row>
    <row r="87" ht="15.75" customHeight="1">
      <c r="B87" s="39"/>
      <c r="C87" s="39"/>
      <c r="E87" s="38"/>
      <c r="F87" s="38"/>
      <c r="G87" s="38"/>
      <c r="H87" s="38"/>
      <c r="I87" s="38"/>
      <c r="J87" s="38"/>
      <c r="K87" s="38" t="str">
        <f t="shared" si="1"/>
        <v/>
      </c>
      <c r="L87" s="38" t="str">
        <f>IF(A87="","",IFERROR(VLOOKUP(VLOOKUP(A87,BOOKINGS!$A:$Q,7,FALSE),SETUP_RATES!$A:$H,8,FALSE),0))</f>
        <v/>
      </c>
      <c r="M87" s="38" t="str">
        <f t="shared" si="2"/>
        <v/>
      </c>
      <c r="N87" s="33" t="str">
        <f t="shared" si="3"/>
        <v/>
      </c>
    </row>
    <row r="88" ht="15.75" customHeight="1">
      <c r="B88" s="39"/>
      <c r="C88" s="39"/>
      <c r="E88" s="38"/>
      <c r="F88" s="38"/>
      <c r="G88" s="38"/>
      <c r="H88" s="38"/>
      <c r="I88" s="38"/>
      <c r="J88" s="38"/>
      <c r="K88" s="38" t="str">
        <f t="shared" si="1"/>
        <v/>
      </c>
      <c r="L88" s="38" t="str">
        <f>IF(A88="","",IFERROR(VLOOKUP(VLOOKUP(A88,BOOKINGS!$A:$Q,7,FALSE),SETUP_RATES!$A:$H,8,FALSE),0))</f>
        <v/>
      </c>
      <c r="M88" s="38" t="str">
        <f t="shared" si="2"/>
        <v/>
      </c>
      <c r="N88" s="33" t="str">
        <f t="shared" si="3"/>
        <v/>
      </c>
    </row>
    <row r="89" ht="15.75" customHeight="1">
      <c r="B89" s="39"/>
      <c r="C89" s="39"/>
      <c r="E89" s="38"/>
      <c r="F89" s="38"/>
      <c r="G89" s="38"/>
      <c r="H89" s="38"/>
      <c r="I89" s="38"/>
      <c r="J89" s="38"/>
      <c r="K89" s="38" t="str">
        <f t="shared" si="1"/>
        <v/>
      </c>
      <c r="L89" s="38" t="str">
        <f>IF(A89="","",IFERROR(VLOOKUP(VLOOKUP(A89,BOOKINGS!$A:$Q,7,FALSE),SETUP_RATES!$A:$H,8,FALSE),0))</f>
        <v/>
      </c>
      <c r="M89" s="38" t="str">
        <f t="shared" si="2"/>
        <v/>
      </c>
      <c r="N89" s="33" t="str">
        <f t="shared" si="3"/>
        <v/>
      </c>
    </row>
    <row r="90" ht="15.75" customHeight="1">
      <c r="B90" s="39"/>
      <c r="C90" s="39"/>
      <c r="E90" s="38"/>
      <c r="F90" s="38"/>
      <c r="G90" s="38"/>
      <c r="H90" s="38"/>
      <c r="I90" s="38"/>
      <c r="J90" s="38"/>
      <c r="K90" s="38" t="str">
        <f t="shared" si="1"/>
        <v/>
      </c>
      <c r="L90" s="38" t="str">
        <f>IF(A90="","",IFERROR(VLOOKUP(VLOOKUP(A90,BOOKINGS!$A:$Q,7,FALSE),SETUP_RATES!$A:$H,8,FALSE),0))</f>
        <v/>
      </c>
      <c r="M90" s="38" t="str">
        <f t="shared" si="2"/>
        <v/>
      </c>
      <c r="N90" s="33" t="str">
        <f t="shared" si="3"/>
        <v/>
      </c>
    </row>
    <row r="91" ht="15.75" customHeight="1">
      <c r="B91" s="39"/>
      <c r="C91" s="39"/>
      <c r="E91" s="38"/>
      <c r="F91" s="38"/>
      <c r="G91" s="38"/>
      <c r="H91" s="38"/>
      <c r="I91" s="38"/>
      <c r="J91" s="38"/>
      <c r="K91" s="38" t="str">
        <f t="shared" si="1"/>
        <v/>
      </c>
      <c r="L91" s="38" t="str">
        <f>IF(A91="","",IFERROR(VLOOKUP(VLOOKUP(A91,BOOKINGS!$A:$Q,7,FALSE),SETUP_RATES!$A:$H,8,FALSE),0))</f>
        <v/>
      </c>
      <c r="M91" s="38" t="str">
        <f t="shared" si="2"/>
        <v/>
      </c>
      <c r="N91" s="33" t="str">
        <f t="shared" si="3"/>
        <v/>
      </c>
    </row>
    <row r="92" ht="15.75" customHeight="1">
      <c r="B92" s="39"/>
      <c r="C92" s="39"/>
      <c r="E92" s="38"/>
      <c r="F92" s="38"/>
      <c r="G92" s="38"/>
      <c r="H92" s="38"/>
      <c r="I92" s="38"/>
      <c r="J92" s="38"/>
      <c r="K92" s="38" t="str">
        <f t="shared" si="1"/>
        <v/>
      </c>
      <c r="L92" s="38" t="str">
        <f>IF(A92="","",IFERROR(VLOOKUP(VLOOKUP(A92,BOOKINGS!$A:$Q,7,FALSE),SETUP_RATES!$A:$H,8,FALSE),0))</f>
        <v/>
      </c>
      <c r="M92" s="38" t="str">
        <f t="shared" si="2"/>
        <v/>
      </c>
      <c r="N92" s="33" t="str">
        <f t="shared" si="3"/>
        <v/>
      </c>
    </row>
    <row r="93" ht="15.75" customHeight="1">
      <c r="B93" s="39"/>
      <c r="C93" s="39"/>
      <c r="E93" s="38"/>
      <c r="F93" s="38"/>
      <c r="G93" s="38"/>
      <c r="H93" s="38"/>
      <c r="I93" s="38"/>
      <c r="J93" s="38"/>
      <c r="K93" s="38" t="str">
        <f t="shared" si="1"/>
        <v/>
      </c>
      <c r="L93" s="38" t="str">
        <f>IF(A93="","",IFERROR(VLOOKUP(VLOOKUP(A93,BOOKINGS!$A:$Q,7,FALSE),SETUP_RATES!$A:$H,8,FALSE),0))</f>
        <v/>
      </c>
      <c r="M93" s="38" t="str">
        <f t="shared" si="2"/>
        <v/>
      </c>
      <c r="N93" s="33" t="str">
        <f t="shared" si="3"/>
        <v/>
      </c>
    </row>
    <row r="94" ht="15.75" customHeight="1">
      <c r="B94" s="39"/>
      <c r="C94" s="39"/>
      <c r="E94" s="38"/>
      <c r="F94" s="38"/>
      <c r="G94" s="38"/>
      <c r="H94" s="38"/>
      <c r="I94" s="38"/>
      <c r="J94" s="38"/>
      <c r="K94" s="38" t="str">
        <f t="shared" si="1"/>
        <v/>
      </c>
      <c r="L94" s="38" t="str">
        <f>IF(A94="","",IFERROR(VLOOKUP(VLOOKUP(A94,BOOKINGS!$A:$Q,7,FALSE),SETUP_RATES!$A:$H,8,FALSE),0))</f>
        <v/>
      </c>
      <c r="M94" s="38" t="str">
        <f t="shared" si="2"/>
        <v/>
      </c>
      <c r="N94" s="33" t="str">
        <f t="shared" si="3"/>
        <v/>
      </c>
    </row>
    <row r="95" ht="15.75" customHeight="1">
      <c r="B95" s="39"/>
      <c r="C95" s="39"/>
      <c r="E95" s="38"/>
      <c r="F95" s="38"/>
      <c r="G95" s="38"/>
      <c r="H95" s="38"/>
      <c r="I95" s="38"/>
      <c r="J95" s="38"/>
      <c r="K95" s="38" t="str">
        <f t="shared" si="1"/>
        <v/>
      </c>
      <c r="L95" s="38" t="str">
        <f>IF(A95="","",IFERROR(VLOOKUP(VLOOKUP(A95,BOOKINGS!$A:$Q,7,FALSE),SETUP_RATES!$A:$H,8,FALSE),0))</f>
        <v/>
      </c>
      <c r="M95" s="38" t="str">
        <f t="shared" si="2"/>
        <v/>
      </c>
      <c r="N95" s="33" t="str">
        <f t="shared" si="3"/>
        <v/>
      </c>
    </row>
    <row r="96" ht="15.75" customHeight="1">
      <c r="B96" s="39"/>
      <c r="C96" s="39"/>
      <c r="E96" s="38"/>
      <c r="F96" s="38"/>
      <c r="G96" s="38"/>
      <c r="H96" s="38"/>
      <c r="I96" s="38"/>
      <c r="J96" s="38"/>
      <c r="K96" s="38" t="str">
        <f t="shared" si="1"/>
        <v/>
      </c>
      <c r="L96" s="38" t="str">
        <f>IF(A96="","",IFERROR(VLOOKUP(VLOOKUP(A96,BOOKINGS!$A:$Q,7,FALSE),SETUP_RATES!$A:$H,8,FALSE),0))</f>
        <v/>
      </c>
      <c r="M96" s="38" t="str">
        <f t="shared" si="2"/>
        <v/>
      </c>
      <c r="N96" s="33" t="str">
        <f t="shared" si="3"/>
        <v/>
      </c>
    </row>
    <row r="97" ht="15.75" customHeight="1">
      <c r="B97" s="39"/>
      <c r="C97" s="39"/>
      <c r="E97" s="38"/>
      <c r="F97" s="38"/>
      <c r="G97" s="38"/>
      <c r="H97" s="38"/>
      <c r="I97" s="38"/>
      <c r="J97" s="38"/>
      <c r="K97" s="38" t="str">
        <f t="shared" si="1"/>
        <v/>
      </c>
      <c r="L97" s="38" t="str">
        <f>IF(A97="","",IFERROR(VLOOKUP(VLOOKUP(A97,BOOKINGS!$A:$Q,7,FALSE),SETUP_RATES!$A:$H,8,FALSE),0))</f>
        <v/>
      </c>
      <c r="M97" s="38" t="str">
        <f t="shared" si="2"/>
        <v/>
      </c>
      <c r="N97" s="33" t="str">
        <f t="shared" si="3"/>
        <v/>
      </c>
    </row>
    <row r="98" ht="15.75" customHeight="1">
      <c r="B98" s="39"/>
      <c r="C98" s="39"/>
      <c r="E98" s="38"/>
      <c r="F98" s="38"/>
      <c r="G98" s="38"/>
      <c r="H98" s="38"/>
      <c r="I98" s="38"/>
      <c r="J98" s="38"/>
      <c r="K98" s="38" t="str">
        <f t="shared" si="1"/>
        <v/>
      </c>
      <c r="L98" s="38" t="str">
        <f>IF(A98="","",IFERROR(VLOOKUP(VLOOKUP(A98,BOOKINGS!$A:$Q,7,FALSE),SETUP_RATES!$A:$H,8,FALSE),0))</f>
        <v/>
      </c>
      <c r="M98" s="38" t="str">
        <f t="shared" si="2"/>
        <v/>
      </c>
      <c r="N98" s="33" t="str">
        <f t="shared" si="3"/>
        <v/>
      </c>
    </row>
    <row r="99" ht="15.75" customHeight="1">
      <c r="B99" s="39"/>
      <c r="C99" s="39"/>
      <c r="E99" s="38"/>
      <c r="F99" s="38"/>
      <c r="G99" s="38"/>
      <c r="H99" s="38"/>
      <c r="I99" s="38"/>
      <c r="J99" s="38"/>
      <c r="K99" s="38" t="str">
        <f t="shared" si="1"/>
        <v/>
      </c>
      <c r="L99" s="38" t="str">
        <f>IF(A99="","",IFERROR(VLOOKUP(VLOOKUP(A99,BOOKINGS!$A:$Q,7,FALSE),SETUP_RATES!$A:$H,8,FALSE),0))</f>
        <v/>
      </c>
      <c r="M99" s="38" t="str">
        <f t="shared" si="2"/>
        <v/>
      </c>
      <c r="N99" s="33" t="str">
        <f t="shared" si="3"/>
        <v/>
      </c>
    </row>
    <row r="100" ht="15.75" customHeight="1">
      <c r="B100" s="39"/>
      <c r="C100" s="39"/>
      <c r="E100" s="38"/>
      <c r="F100" s="38"/>
      <c r="G100" s="38"/>
      <c r="H100" s="38"/>
      <c r="I100" s="38"/>
      <c r="J100" s="38"/>
      <c r="K100" s="38" t="str">
        <f t="shared" si="1"/>
        <v/>
      </c>
      <c r="L100" s="38" t="str">
        <f>IF(A100="","",IFERROR(VLOOKUP(VLOOKUP(A100,BOOKINGS!$A:$Q,7,FALSE),SETUP_RATES!$A:$H,8,FALSE),0))</f>
        <v/>
      </c>
      <c r="M100" s="38" t="str">
        <f t="shared" si="2"/>
        <v/>
      </c>
      <c r="N100" s="33" t="str">
        <f t="shared" si="3"/>
        <v/>
      </c>
    </row>
    <row r="101" ht="15.75" customHeight="1">
      <c r="B101" s="39"/>
      <c r="C101" s="39"/>
      <c r="E101" s="38"/>
      <c r="F101" s="38"/>
      <c r="G101" s="38"/>
      <c r="H101" s="38"/>
      <c r="I101" s="38"/>
      <c r="J101" s="38"/>
      <c r="K101" s="38" t="str">
        <f t="shared" si="1"/>
        <v/>
      </c>
      <c r="L101" s="38" t="str">
        <f>IF(A101="","",IFERROR(VLOOKUP(VLOOKUP(A101,BOOKINGS!$A:$Q,7,FALSE),SETUP_RATES!$A:$H,8,FALSE),0))</f>
        <v/>
      </c>
      <c r="M101" s="38" t="str">
        <f t="shared" si="2"/>
        <v/>
      </c>
      <c r="N101" s="33" t="str">
        <f t="shared" si="3"/>
        <v/>
      </c>
    </row>
    <row r="102" ht="15.75" customHeight="1">
      <c r="B102" s="39"/>
      <c r="C102" s="39"/>
      <c r="E102" s="38"/>
      <c r="F102" s="38"/>
      <c r="G102" s="38"/>
      <c r="H102" s="38"/>
      <c r="I102" s="38"/>
      <c r="J102" s="38"/>
      <c r="K102" s="38" t="str">
        <f t="shared" si="1"/>
        <v/>
      </c>
      <c r="L102" s="38" t="str">
        <f>IF(A102="","",IFERROR(VLOOKUP(VLOOKUP(A102,BOOKINGS!$A:$Q,7,FALSE),SETUP_RATES!$A:$H,8,FALSE),0))</f>
        <v/>
      </c>
      <c r="M102" s="38" t="str">
        <f t="shared" si="2"/>
        <v/>
      </c>
      <c r="N102" s="33" t="str">
        <f t="shared" si="3"/>
        <v/>
      </c>
    </row>
    <row r="103" ht="15.75" customHeight="1">
      <c r="B103" s="39"/>
      <c r="C103" s="39"/>
      <c r="E103" s="38"/>
      <c r="F103" s="38"/>
      <c r="G103" s="38"/>
      <c r="H103" s="38"/>
      <c r="I103" s="38"/>
      <c r="J103" s="38"/>
      <c r="K103" s="38" t="str">
        <f t="shared" si="1"/>
        <v/>
      </c>
      <c r="L103" s="38" t="str">
        <f>IF(A103="","",IFERROR(VLOOKUP(VLOOKUP(A103,BOOKINGS!$A:$Q,7,FALSE),SETUP_RATES!$A:$H,8,FALSE),0))</f>
        <v/>
      </c>
      <c r="M103" s="38" t="str">
        <f t="shared" si="2"/>
        <v/>
      </c>
      <c r="N103" s="33" t="str">
        <f t="shared" si="3"/>
        <v/>
      </c>
    </row>
    <row r="104" ht="15.75" customHeight="1">
      <c r="B104" s="39"/>
      <c r="C104" s="39"/>
      <c r="E104" s="38"/>
      <c r="F104" s="38"/>
      <c r="G104" s="38"/>
      <c r="H104" s="38"/>
      <c r="I104" s="38"/>
      <c r="J104" s="38"/>
      <c r="K104" s="38" t="str">
        <f t="shared" si="1"/>
        <v/>
      </c>
      <c r="L104" s="38" t="str">
        <f>IF(A104="","",IFERROR(VLOOKUP(VLOOKUP(A104,BOOKINGS!$A:$Q,7,FALSE),SETUP_RATES!$A:$H,8,FALSE),0))</f>
        <v/>
      </c>
      <c r="M104" s="38" t="str">
        <f t="shared" si="2"/>
        <v/>
      </c>
      <c r="N104" s="33" t="str">
        <f t="shared" si="3"/>
        <v/>
      </c>
    </row>
    <row r="105" ht="15.75" customHeight="1">
      <c r="B105" s="39"/>
      <c r="C105" s="39"/>
      <c r="E105" s="38"/>
      <c r="F105" s="38"/>
      <c r="G105" s="38"/>
      <c r="H105" s="38"/>
      <c r="I105" s="38"/>
      <c r="J105" s="38"/>
      <c r="K105" s="38" t="str">
        <f t="shared" si="1"/>
        <v/>
      </c>
      <c r="L105" s="38" t="str">
        <f>IF(A105="","",IFERROR(VLOOKUP(VLOOKUP(A105,BOOKINGS!$A:$Q,7,FALSE),SETUP_RATES!$A:$H,8,FALSE),0))</f>
        <v/>
      </c>
      <c r="M105" s="38" t="str">
        <f t="shared" si="2"/>
        <v/>
      </c>
      <c r="N105" s="33" t="str">
        <f t="shared" si="3"/>
        <v/>
      </c>
    </row>
    <row r="106" ht="15.75" customHeight="1">
      <c r="B106" s="39"/>
      <c r="C106" s="39"/>
      <c r="E106" s="38"/>
      <c r="F106" s="38"/>
      <c r="G106" s="38"/>
      <c r="H106" s="38"/>
      <c r="I106" s="38"/>
      <c r="J106" s="38"/>
      <c r="K106" s="38" t="str">
        <f t="shared" si="1"/>
        <v/>
      </c>
      <c r="L106" s="38" t="str">
        <f>IF(A106="","",IFERROR(VLOOKUP(VLOOKUP(A106,BOOKINGS!$A:$Q,7,FALSE),SETUP_RATES!$A:$H,8,FALSE),0))</f>
        <v/>
      </c>
      <c r="M106" s="38" t="str">
        <f t="shared" si="2"/>
        <v/>
      </c>
      <c r="N106" s="33" t="str">
        <f t="shared" si="3"/>
        <v/>
      </c>
    </row>
    <row r="107" ht="15.75" customHeight="1">
      <c r="B107" s="39"/>
      <c r="C107" s="39"/>
      <c r="E107" s="38"/>
      <c r="F107" s="38"/>
      <c r="G107" s="38"/>
      <c r="H107" s="38"/>
      <c r="I107" s="38"/>
      <c r="J107" s="38"/>
      <c r="K107" s="38" t="str">
        <f t="shared" si="1"/>
        <v/>
      </c>
      <c r="L107" s="38" t="str">
        <f>IF(A107="","",IFERROR(VLOOKUP(VLOOKUP(A107,BOOKINGS!$A:$Q,7,FALSE),SETUP_RATES!$A:$H,8,FALSE),0))</f>
        <v/>
      </c>
      <c r="M107" s="38" t="str">
        <f t="shared" si="2"/>
        <v/>
      </c>
      <c r="N107" s="33" t="str">
        <f t="shared" si="3"/>
        <v/>
      </c>
    </row>
    <row r="108" ht="15.75" customHeight="1">
      <c r="B108" s="39"/>
      <c r="C108" s="39"/>
      <c r="E108" s="38"/>
      <c r="F108" s="38"/>
      <c r="G108" s="38"/>
      <c r="H108" s="38"/>
      <c r="I108" s="38"/>
      <c r="J108" s="38"/>
      <c r="K108" s="38" t="str">
        <f t="shared" si="1"/>
        <v/>
      </c>
      <c r="L108" s="38" t="str">
        <f>IF(A108="","",IFERROR(VLOOKUP(VLOOKUP(A108,BOOKINGS!$A:$Q,7,FALSE),SETUP_RATES!$A:$H,8,FALSE),0))</f>
        <v/>
      </c>
      <c r="M108" s="38" t="str">
        <f t="shared" si="2"/>
        <v/>
      </c>
      <c r="N108" s="33" t="str">
        <f t="shared" si="3"/>
        <v/>
      </c>
    </row>
    <row r="109" ht="15.75" customHeight="1">
      <c r="B109" s="39"/>
      <c r="C109" s="39"/>
      <c r="E109" s="38"/>
      <c r="F109" s="38"/>
      <c r="G109" s="38"/>
      <c r="H109" s="38"/>
      <c r="I109" s="38"/>
      <c r="J109" s="38"/>
      <c r="K109" s="38" t="str">
        <f t="shared" si="1"/>
        <v/>
      </c>
      <c r="L109" s="38" t="str">
        <f>IF(A109="","",IFERROR(VLOOKUP(VLOOKUP(A109,BOOKINGS!$A:$Q,7,FALSE),SETUP_RATES!$A:$H,8,FALSE),0))</f>
        <v/>
      </c>
      <c r="M109" s="38" t="str">
        <f t="shared" si="2"/>
        <v/>
      </c>
      <c r="N109" s="33" t="str">
        <f t="shared" si="3"/>
        <v/>
      </c>
    </row>
    <row r="110" ht="15.75" customHeight="1">
      <c r="B110" s="39"/>
      <c r="C110" s="39"/>
      <c r="E110" s="38"/>
      <c r="F110" s="38"/>
      <c r="G110" s="38"/>
      <c r="H110" s="38"/>
      <c r="I110" s="38"/>
      <c r="J110" s="38"/>
      <c r="K110" s="38" t="str">
        <f t="shared" si="1"/>
        <v/>
      </c>
      <c r="L110" s="38" t="str">
        <f>IF(A110="","",IFERROR(VLOOKUP(VLOOKUP(A110,BOOKINGS!$A:$Q,7,FALSE),SETUP_RATES!$A:$H,8,FALSE),0))</f>
        <v/>
      </c>
      <c r="M110" s="38" t="str">
        <f t="shared" si="2"/>
        <v/>
      </c>
      <c r="N110" s="33" t="str">
        <f t="shared" si="3"/>
        <v/>
      </c>
    </row>
    <row r="111" ht="15.75" customHeight="1">
      <c r="B111" s="39"/>
      <c r="C111" s="39"/>
      <c r="E111" s="38"/>
      <c r="F111" s="38"/>
      <c r="G111" s="38"/>
      <c r="H111" s="38"/>
      <c r="I111" s="38"/>
      <c r="J111" s="38"/>
      <c r="K111" s="38" t="str">
        <f t="shared" si="1"/>
        <v/>
      </c>
      <c r="L111" s="38" t="str">
        <f>IF(A111="","",IFERROR(VLOOKUP(VLOOKUP(A111,BOOKINGS!$A:$Q,7,FALSE),SETUP_RATES!$A:$H,8,FALSE),0))</f>
        <v/>
      </c>
      <c r="M111" s="38" t="str">
        <f t="shared" si="2"/>
        <v/>
      </c>
      <c r="N111" s="33" t="str">
        <f t="shared" si="3"/>
        <v/>
      </c>
    </row>
    <row r="112" ht="15.75" customHeight="1">
      <c r="B112" s="39"/>
      <c r="C112" s="39"/>
      <c r="E112" s="38"/>
      <c r="F112" s="38"/>
      <c r="G112" s="38"/>
      <c r="H112" s="38"/>
      <c r="I112" s="38"/>
      <c r="J112" s="38"/>
      <c r="K112" s="38" t="str">
        <f t="shared" si="1"/>
        <v/>
      </c>
      <c r="L112" s="38" t="str">
        <f>IF(A112="","",IFERROR(VLOOKUP(VLOOKUP(A112,BOOKINGS!$A:$Q,7,FALSE),SETUP_RATES!$A:$H,8,FALSE),0))</f>
        <v/>
      </c>
      <c r="M112" s="38" t="str">
        <f t="shared" si="2"/>
        <v/>
      </c>
      <c r="N112" s="33" t="str">
        <f t="shared" si="3"/>
        <v/>
      </c>
    </row>
    <row r="113" ht="15.75" customHeight="1">
      <c r="B113" s="39"/>
      <c r="C113" s="39"/>
      <c r="E113" s="38"/>
      <c r="F113" s="38"/>
      <c r="G113" s="38"/>
      <c r="H113" s="38"/>
      <c r="I113" s="38"/>
      <c r="J113" s="38"/>
      <c r="K113" s="38" t="str">
        <f t="shared" si="1"/>
        <v/>
      </c>
      <c r="L113" s="38" t="str">
        <f>IF(A113="","",IFERROR(VLOOKUP(VLOOKUP(A113,BOOKINGS!$A:$Q,7,FALSE),SETUP_RATES!$A:$H,8,FALSE),0))</f>
        <v/>
      </c>
      <c r="M113" s="38" t="str">
        <f t="shared" si="2"/>
        <v/>
      </c>
      <c r="N113" s="33" t="str">
        <f t="shared" si="3"/>
        <v/>
      </c>
    </row>
    <row r="114" ht="15.75" customHeight="1">
      <c r="B114" s="39"/>
      <c r="C114" s="39"/>
      <c r="E114" s="38"/>
      <c r="F114" s="38"/>
      <c r="G114" s="38"/>
      <c r="H114" s="38"/>
      <c r="I114" s="38"/>
      <c r="J114" s="38"/>
      <c r="K114" s="38" t="str">
        <f t="shared" si="1"/>
        <v/>
      </c>
      <c r="L114" s="38" t="str">
        <f>IF(A114="","",IFERROR(VLOOKUP(VLOOKUP(A114,BOOKINGS!$A:$Q,7,FALSE),SETUP_RATES!$A:$H,8,FALSE),0))</f>
        <v/>
      </c>
      <c r="M114" s="38" t="str">
        <f t="shared" si="2"/>
        <v/>
      </c>
      <c r="N114" s="33" t="str">
        <f t="shared" si="3"/>
        <v/>
      </c>
    </row>
    <row r="115" ht="15.75" customHeight="1">
      <c r="B115" s="39"/>
      <c r="C115" s="39"/>
      <c r="E115" s="38"/>
      <c r="F115" s="38"/>
      <c r="G115" s="38"/>
      <c r="H115" s="38"/>
      <c r="I115" s="38"/>
      <c r="J115" s="38"/>
      <c r="K115" s="38" t="str">
        <f t="shared" si="1"/>
        <v/>
      </c>
      <c r="L115" s="38" t="str">
        <f>IF(A115="","",IFERROR(VLOOKUP(VLOOKUP(A115,BOOKINGS!$A:$Q,7,FALSE),SETUP_RATES!$A:$H,8,FALSE),0))</f>
        <v/>
      </c>
      <c r="M115" s="38" t="str">
        <f t="shared" si="2"/>
        <v/>
      </c>
      <c r="N115" s="33" t="str">
        <f t="shared" si="3"/>
        <v/>
      </c>
    </row>
    <row r="116" ht="15.75" customHeight="1">
      <c r="B116" s="39"/>
      <c r="C116" s="39"/>
      <c r="E116" s="38"/>
      <c r="F116" s="38"/>
      <c r="G116" s="38"/>
      <c r="H116" s="38"/>
      <c r="I116" s="38"/>
      <c r="J116" s="38"/>
      <c r="K116" s="38" t="str">
        <f t="shared" si="1"/>
        <v/>
      </c>
      <c r="L116" s="38" t="str">
        <f>IF(A116="","",IFERROR(VLOOKUP(VLOOKUP(A116,BOOKINGS!$A:$Q,7,FALSE),SETUP_RATES!$A:$H,8,FALSE),0))</f>
        <v/>
      </c>
      <c r="M116" s="38" t="str">
        <f t="shared" si="2"/>
        <v/>
      </c>
      <c r="N116" s="33" t="str">
        <f t="shared" si="3"/>
        <v/>
      </c>
    </row>
    <row r="117" ht="15.75" customHeight="1">
      <c r="B117" s="39"/>
      <c r="C117" s="39"/>
      <c r="E117" s="38"/>
      <c r="F117" s="38"/>
      <c r="G117" s="38"/>
      <c r="H117" s="38"/>
      <c r="I117" s="38"/>
      <c r="J117" s="38"/>
      <c r="K117" s="38" t="str">
        <f t="shared" si="1"/>
        <v/>
      </c>
      <c r="L117" s="38" t="str">
        <f>IF(A117="","",IFERROR(VLOOKUP(VLOOKUP(A117,BOOKINGS!$A:$Q,7,FALSE),SETUP_RATES!$A:$H,8,FALSE),0))</f>
        <v/>
      </c>
      <c r="M117" s="38" t="str">
        <f t="shared" si="2"/>
        <v/>
      </c>
      <c r="N117" s="33" t="str">
        <f t="shared" si="3"/>
        <v/>
      </c>
    </row>
    <row r="118" ht="15.75" customHeight="1">
      <c r="B118" s="39"/>
      <c r="C118" s="39"/>
      <c r="E118" s="38"/>
      <c r="F118" s="38"/>
      <c r="G118" s="38"/>
      <c r="H118" s="38"/>
      <c r="I118" s="38"/>
      <c r="J118" s="38"/>
      <c r="K118" s="38" t="str">
        <f t="shared" si="1"/>
        <v/>
      </c>
      <c r="L118" s="38" t="str">
        <f>IF(A118="","",IFERROR(VLOOKUP(VLOOKUP(A118,BOOKINGS!$A:$Q,7,FALSE),SETUP_RATES!$A:$H,8,FALSE),0))</f>
        <v/>
      </c>
      <c r="M118" s="38" t="str">
        <f t="shared" si="2"/>
        <v/>
      </c>
      <c r="N118" s="33" t="str">
        <f t="shared" si="3"/>
        <v/>
      </c>
    </row>
    <row r="119" ht="15.75" customHeight="1">
      <c r="B119" s="39"/>
      <c r="C119" s="39"/>
      <c r="E119" s="38"/>
      <c r="F119" s="38"/>
      <c r="G119" s="38"/>
      <c r="H119" s="38"/>
      <c r="I119" s="38"/>
      <c r="J119" s="38"/>
      <c r="K119" s="38" t="str">
        <f t="shared" si="1"/>
        <v/>
      </c>
      <c r="L119" s="38" t="str">
        <f>IF(A119="","",IFERROR(VLOOKUP(VLOOKUP(A119,BOOKINGS!$A:$Q,7,FALSE),SETUP_RATES!$A:$H,8,FALSE),0))</f>
        <v/>
      </c>
      <c r="M119" s="38" t="str">
        <f t="shared" si="2"/>
        <v/>
      </c>
      <c r="N119" s="33" t="str">
        <f t="shared" si="3"/>
        <v/>
      </c>
    </row>
    <row r="120" ht="15.75" customHeight="1">
      <c r="B120" s="39"/>
      <c r="C120" s="39"/>
      <c r="E120" s="38"/>
      <c r="F120" s="38"/>
      <c r="G120" s="38"/>
      <c r="H120" s="38"/>
      <c r="I120" s="38"/>
      <c r="J120" s="38"/>
      <c r="K120" s="38" t="str">
        <f t="shared" si="1"/>
        <v/>
      </c>
      <c r="L120" s="38" t="str">
        <f>IF(A120="","",IFERROR(VLOOKUP(VLOOKUP(A120,BOOKINGS!$A:$Q,7,FALSE),SETUP_RATES!$A:$H,8,FALSE),0))</f>
        <v/>
      </c>
      <c r="M120" s="38" t="str">
        <f t="shared" si="2"/>
        <v/>
      </c>
      <c r="N120" s="33" t="str">
        <f t="shared" si="3"/>
        <v/>
      </c>
    </row>
    <row r="121" ht="15.75" customHeight="1">
      <c r="B121" s="39"/>
      <c r="C121" s="39"/>
      <c r="E121" s="38"/>
      <c r="F121" s="38"/>
      <c r="G121" s="38"/>
      <c r="H121" s="38"/>
      <c r="I121" s="38"/>
      <c r="J121" s="38"/>
      <c r="K121" s="38" t="str">
        <f t="shared" si="1"/>
        <v/>
      </c>
      <c r="L121" s="38" t="str">
        <f>IF(A121="","",IFERROR(VLOOKUP(VLOOKUP(A121,BOOKINGS!$A:$Q,7,FALSE),SETUP_RATES!$A:$H,8,FALSE),0))</f>
        <v/>
      </c>
      <c r="M121" s="38" t="str">
        <f t="shared" si="2"/>
        <v/>
      </c>
      <c r="N121" s="33" t="str">
        <f t="shared" si="3"/>
        <v/>
      </c>
    </row>
    <row r="122" ht="15.75" customHeight="1">
      <c r="B122" s="39"/>
      <c r="C122" s="39"/>
      <c r="E122" s="38"/>
      <c r="F122" s="38"/>
      <c r="G122" s="38"/>
      <c r="H122" s="38"/>
      <c r="I122" s="38"/>
      <c r="J122" s="38"/>
      <c r="K122" s="38" t="str">
        <f t="shared" si="1"/>
        <v/>
      </c>
      <c r="L122" s="38" t="str">
        <f>IF(A122="","",IFERROR(VLOOKUP(VLOOKUP(A122,BOOKINGS!$A:$Q,7,FALSE),SETUP_RATES!$A:$H,8,FALSE),0))</f>
        <v/>
      </c>
      <c r="M122" s="38" t="str">
        <f t="shared" si="2"/>
        <v/>
      </c>
      <c r="N122" s="33" t="str">
        <f t="shared" si="3"/>
        <v/>
      </c>
    </row>
    <row r="123" ht="15.75" customHeight="1">
      <c r="B123" s="39"/>
      <c r="C123" s="39"/>
      <c r="E123" s="38"/>
      <c r="F123" s="38"/>
      <c r="G123" s="38"/>
      <c r="H123" s="38"/>
      <c r="I123" s="38"/>
      <c r="J123" s="38"/>
      <c r="K123" s="38" t="str">
        <f t="shared" si="1"/>
        <v/>
      </c>
      <c r="L123" s="38" t="str">
        <f>IF(A123="","",IFERROR(VLOOKUP(VLOOKUP(A123,BOOKINGS!$A:$Q,7,FALSE),SETUP_RATES!$A:$H,8,FALSE),0))</f>
        <v/>
      </c>
      <c r="M123" s="38" t="str">
        <f t="shared" si="2"/>
        <v/>
      </c>
      <c r="N123" s="33" t="str">
        <f t="shared" si="3"/>
        <v/>
      </c>
    </row>
    <row r="124" ht="15.75" customHeight="1">
      <c r="B124" s="39"/>
      <c r="C124" s="39"/>
      <c r="E124" s="38"/>
      <c r="F124" s="38"/>
      <c r="G124" s="38"/>
      <c r="H124" s="38"/>
      <c r="I124" s="38"/>
      <c r="J124" s="38"/>
      <c r="K124" s="38" t="str">
        <f t="shared" si="1"/>
        <v/>
      </c>
      <c r="L124" s="38" t="str">
        <f>IF(A124="","",IFERROR(VLOOKUP(VLOOKUP(A124,BOOKINGS!$A:$Q,7,FALSE),SETUP_RATES!$A:$H,8,FALSE),0))</f>
        <v/>
      </c>
      <c r="M124" s="38" t="str">
        <f t="shared" si="2"/>
        <v/>
      </c>
      <c r="N124" s="33" t="str">
        <f t="shared" si="3"/>
        <v/>
      </c>
    </row>
    <row r="125" ht="15.75" customHeight="1">
      <c r="B125" s="39"/>
      <c r="C125" s="39"/>
      <c r="E125" s="38"/>
      <c r="F125" s="38"/>
      <c r="G125" s="38"/>
      <c r="H125" s="38"/>
      <c r="I125" s="38"/>
      <c r="J125" s="38"/>
      <c r="K125" s="38" t="str">
        <f t="shared" si="1"/>
        <v/>
      </c>
      <c r="L125" s="38" t="str">
        <f>IF(A125="","",IFERROR(VLOOKUP(VLOOKUP(A125,BOOKINGS!$A:$Q,7,FALSE),SETUP_RATES!$A:$H,8,FALSE),0))</f>
        <v/>
      </c>
      <c r="M125" s="38" t="str">
        <f t="shared" si="2"/>
        <v/>
      </c>
      <c r="N125" s="33" t="str">
        <f t="shared" si="3"/>
        <v/>
      </c>
    </row>
    <row r="126" ht="15.75" customHeight="1">
      <c r="B126" s="39"/>
      <c r="C126" s="39"/>
      <c r="E126" s="38"/>
      <c r="F126" s="38"/>
      <c r="G126" s="38"/>
      <c r="H126" s="38"/>
      <c r="I126" s="38"/>
      <c r="J126" s="38"/>
      <c r="K126" s="38" t="str">
        <f t="shared" si="1"/>
        <v/>
      </c>
      <c r="L126" s="38" t="str">
        <f>IF(A126="","",IFERROR(VLOOKUP(VLOOKUP(A126,BOOKINGS!$A:$Q,7,FALSE),SETUP_RATES!$A:$H,8,FALSE),0))</f>
        <v/>
      </c>
      <c r="M126" s="38" t="str">
        <f t="shared" si="2"/>
        <v/>
      </c>
      <c r="N126" s="33" t="str">
        <f t="shared" si="3"/>
        <v/>
      </c>
    </row>
    <row r="127" ht="15.75" customHeight="1">
      <c r="B127" s="39"/>
      <c r="C127" s="39"/>
      <c r="E127" s="38"/>
      <c r="F127" s="38"/>
      <c r="G127" s="38"/>
      <c r="H127" s="38"/>
      <c r="I127" s="38"/>
      <c r="J127" s="38"/>
      <c r="K127" s="38" t="str">
        <f t="shared" si="1"/>
        <v/>
      </c>
      <c r="L127" s="38" t="str">
        <f>IF(A127="","",IFERROR(VLOOKUP(VLOOKUP(A127,BOOKINGS!$A:$Q,7,FALSE),SETUP_RATES!$A:$H,8,FALSE),0))</f>
        <v/>
      </c>
      <c r="M127" s="38" t="str">
        <f t="shared" si="2"/>
        <v/>
      </c>
      <c r="N127" s="33" t="str">
        <f t="shared" si="3"/>
        <v/>
      </c>
    </row>
    <row r="128" ht="15.75" customHeight="1">
      <c r="B128" s="39"/>
      <c r="C128" s="39"/>
      <c r="E128" s="38"/>
      <c r="F128" s="38"/>
      <c r="G128" s="38"/>
      <c r="H128" s="38"/>
      <c r="I128" s="38"/>
      <c r="J128" s="38"/>
      <c r="K128" s="38" t="str">
        <f t="shared" si="1"/>
        <v/>
      </c>
      <c r="L128" s="38" t="str">
        <f>IF(A128="","",IFERROR(VLOOKUP(VLOOKUP(A128,BOOKINGS!$A:$Q,7,FALSE),SETUP_RATES!$A:$H,8,FALSE),0))</f>
        <v/>
      </c>
      <c r="M128" s="38" t="str">
        <f t="shared" si="2"/>
        <v/>
      </c>
      <c r="N128" s="33" t="str">
        <f t="shared" si="3"/>
        <v/>
      </c>
    </row>
    <row r="129" ht="15.75" customHeight="1">
      <c r="B129" s="39"/>
      <c r="C129" s="39"/>
      <c r="E129" s="38"/>
      <c r="F129" s="38"/>
      <c r="G129" s="38"/>
      <c r="H129" s="38"/>
      <c r="I129" s="38"/>
      <c r="J129" s="38"/>
      <c r="K129" s="38" t="str">
        <f t="shared" si="1"/>
        <v/>
      </c>
      <c r="L129" s="38" t="str">
        <f>IF(A129="","",IFERROR(VLOOKUP(VLOOKUP(A129,BOOKINGS!$A:$Q,7,FALSE),SETUP_RATES!$A:$H,8,FALSE),0))</f>
        <v/>
      </c>
      <c r="M129" s="38" t="str">
        <f t="shared" si="2"/>
        <v/>
      </c>
      <c r="N129" s="33" t="str">
        <f t="shared" si="3"/>
        <v/>
      </c>
    </row>
    <row r="130" ht="15.75" customHeight="1">
      <c r="B130" s="39"/>
      <c r="C130" s="39"/>
      <c r="E130" s="38"/>
      <c r="F130" s="38"/>
      <c r="G130" s="38"/>
      <c r="H130" s="38"/>
      <c r="I130" s="38"/>
      <c r="J130" s="38"/>
      <c r="K130" s="38" t="str">
        <f t="shared" si="1"/>
        <v/>
      </c>
      <c r="L130" s="38" t="str">
        <f>IF(A130="","",IFERROR(VLOOKUP(VLOOKUP(A130,BOOKINGS!$A:$Q,7,FALSE),SETUP_RATES!$A:$H,8,FALSE),0))</f>
        <v/>
      </c>
      <c r="M130" s="38" t="str">
        <f t="shared" si="2"/>
        <v/>
      </c>
      <c r="N130" s="33" t="str">
        <f t="shared" si="3"/>
        <v/>
      </c>
    </row>
    <row r="131" ht="15.75" customHeight="1">
      <c r="B131" s="39"/>
      <c r="C131" s="39"/>
      <c r="E131" s="38"/>
      <c r="F131" s="38"/>
      <c r="G131" s="38"/>
      <c r="H131" s="38"/>
      <c r="I131" s="38"/>
      <c r="J131" s="38"/>
      <c r="K131" s="38" t="str">
        <f t="shared" si="1"/>
        <v/>
      </c>
      <c r="L131" s="38" t="str">
        <f>IF(A131="","",IFERROR(VLOOKUP(VLOOKUP(A131,BOOKINGS!$A:$Q,7,FALSE),SETUP_RATES!$A:$H,8,FALSE),0))</f>
        <v/>
      </c>
      <c r="M131" s="38" t="str">
        <f t="shared" si="2"/>
        <v/>
      </c>
      <c r="N131" s="33" t="str">
        <f t="shared" si="3"/>
        <v/>
      </c>
    </row>
    <row r="132" ht="15.75" customHeight="1">
      <c r="B132" s="39"/>
      <c r="C132" s="39"/>
      <c r="E132" s="38"/>
      <c r="F132" s="38"/>
      <c r="G132" s="38"/>
      <c r="H132" s="38"/>
      <c r="I132" s="38"/>
      <c r="J132" s="38"/>
      <c r="K132" s="38" t="str">
        <f t="shared" si="1"/>
        <v/>
      </c>
      <c r="L132" s="38" t="str">
        <f>IF(A132="","",IFERROR(VLOOKUP(VLOOKUP(A132,BOOKINGS!$A:$Q,7,FALSE),SETUP_RATES!$A:$H,8,FALSE),0))</f>
        <v/>
      </c>
      <c r="M132" s="38" t="str">
        <f t="shared" si="2"/>
        <v/>
      </c>
      <c r="N132" s="33" t="str">
        <f t="shared" si="3"/>
        <v/>
      </c>
    </row>
    <row r="133" ht="15.75" customHeight="1">
      <c r="B133" s="39"/>
      <c r="C133" s="39"/>
      <c r="E133" s="38"/>
      <c r="F133" s="38"/>
      <c r="G133" s="38"/>
      <c r="H133" s="38"/>
      <c r="I133" s="38"/>
      <c r="J133" s="38"/>
      <c r="K133" s="38" t="str">
        <f t="shared" si="1"/>
        <v/>
      </c>
      <c r="L133" s="38" t="str">
        <f>IF(A133="","",IFERROR(VLOOKUP(VLOOKUP(A133,BOOKINGS!$A:$Q,7,FALSE),SETUP_RATES!$A:$H,8,FALSE),0))</f>
        <v/>
      </c>
      <c r="M133" s="38" t="str">
        <f t="shared" si="2"/>
        <v/>
      </c>
      <c r="N133" s="33" t="str">
        <f t="shared" si="3"/>
        <v/>
      </c>
    </row>
    <row r="134" ht="15.75" customHeight="1">
      <c r="B134" s="39"/>
      <c r="C134" s="39"/>
      <c r="E134" s="38"/>
      <c r="F134" s="38"/>
      <c r="G134" s="38"/>
      <c r="H134" s="38"/>
      <c r="I134" s="38"/>
      <c r="J134" s="38"/>
      <c r="K134" s="38" t="str">
        <f t="shared" si="1"/>
        <v/>
      </c>
      <c r="L134" s="38" t="str">
        <f>IF(A134="","",IFERROR(VLOOKUP(VLOOKUP(A134,BOOKINGS!$A:$Q,7,FALSE),SETUP_RATES!$A:$H,8,FALSE),0))</f>
        <v/>
      </c>
      <c r="M134" s="38" t="str">
        <f t="shared" si="2"/>
        <v/>
      </c>
      <c r="N134" s="33" t="str">
        <f t="shared" si="3"/>
        <v/>
      </c>
    </row>
    <row r="135" ht="15.75" customHeight="1">
      <c r="B135" s="39"/>
      <c r="C135" s="39"/>
      <c r="E135" s="38"/>
      <c r="F135" s="38"/>
      <c r="G135" s="38"/>
      <c r="H135" s="38"/>
      <c r="I135" s="38"/>
      <c r="J135" s="38"/>
      <c r="K135" s="38" t="str">
        <f t="shared" si="1"/>
        <v/>
      </c>
      <c r="L135" s="38" t="str">
        <f>IF(A135="","",IFERROR(VLOOKUP(VLOOKUP(A135,BOOKINGS!$A:$Q,7,FALSE),SETUP_RATES!$A:$H,8,FALSE),0))</f>
        <v/>
      </c>
      <c r="M135" s="38" t="str">
        <f t="shared" si="2"/>
        <v/>
      </c>
      <c r="N135" s="33" t="str">
        <f t="shared" si="3"/>
        <v/>
      </c>
    </row>
    <row r="136" ht="15.75" customHeight="1">
      <c r="B136" s="39"/>
      <c r="C136" s="39"/>
      <c r="E136" s="38"/>
      <c r="F136" s="38"/>
      <c r="G136" s="38"/>
      <c r="H136" s="38"/>
      <c r="I136" s="38"/>
      <c r="J136" s="38"/>
      <c r="K136" s="38" t="str">
        <f t="shared" si="1"/>
        <v/>
      </c>
      <c r="L136" s="38" t="str">
        <f>IF(A136="","",IFERROR(VLOOKUP(VLOOKUP(A136,BOOKINGS!$A:$Q,7,FALSE),SETUP_RATES!$A:$H,8,FALSE),0))</f>
        <v/>
      </c>
      <c r="M136" s="38" t="str">
        <f t="shared" si="2"/>
        <v/>
      </c>
      <c r="N136" s="33" t="str">
        <f t="shared" si="3"/>
        <v/>
      </c>
    </row>
    <row r="137" ht="15.75" customHeight="1">
      <c r="B137" s="39"/>
      <c r="C137" s="39"/>
      <c r="E137" s="38"/>
      <c r="F137" s="38"/>
      <c r="G137" s="38"/>
      <c r="H137" s="38"/>
      <c r="I137" s="38"/>
      <c r="J137" s="38"/>
      <c r="K137" s="38" t="str">
        <f t="shared" si="1"/>
        <v/>
      </c>
      <c r="L137" s="38" t="str">
        <f>IF(A137="","",IFERROR(VLOOKUP(VLOOKUP(A137,BOOKINGS!$A:$Q,7,FALSE),SETUP_RATES!$A:$H,8,FALSE),0))</f>
        <v/>
      </c>
      <c r="M137" s="38" t="str">
        <f t="shared" si="2"/>
        <v/>
      </c>
      <c r="N137" s="33" t="str">
        <f t="shared" si="3"/>
        <v/>
      </c>
    </row>
    <row r="138" ht="15.75" customHeight="1">
      <c r="B138" s="39"/>
      <c r="C138" s="39"/>
      <c r="E138" s="38"/>
      <c r="F138" s="38"/>
      <c r="G138" s="38"/>
      <c r="H138" s="38"/>
      <c r="I138" s="38"/>
      <c r="J138" s="38"/>
      <c r="K138" s="38" t="str">
        <f t="shared" si="1"/>
        <v/>
      </c>
      <c r="L138" s="38" t="str">
        <f>IF(A138="","",IFERROR(VLOOKUP(VLOOKUP(A138,BOOKINGS!$A:$Q,7,FALSE),SETUP_RATES!$A:$H,8,FALSE),0))</f>
        <v/>
      </c>
      <c r="M138" s="38" t="str">
        <f t="shared" si="2"/>
        <v/>
      </c>
      <c r="N138" s="33" t="str">
        <f t="shared" si="3"/>
        <v/>
      </c>
    </row>
    <row r="139" ht="15.75" customHeight="1">
      <c r="B139" s="39"/>
      <c r="C139" s="39"/>
      <c r="E139" s="38"/>
      <c r="F139" s="38"/>
      <c r="G139" s="38"/>
      <c r="H139" s="38"/>
      <c r="I139" s="38"/>
      <c r="J139" s="38"/>
      <c r="K139" s="38" t="str">
        <f t="shared" si="1"/>
        <v/>
      </c>
      <c r="L139" s="38" t="str">
        <f>IF(A139="","",IFERROR(VLOOKUP(VLOOKUP(A139,BOOKINGS!$A:$Q,7,FALSE),SETUP_RATES!$A:$H,8,FALSE),0))</f>
        <v/>
      </c>
      <c r="M139" s="38" t="str">
        <f t="shared" si="2"/>
        <v/>
      </c>
      <c r="N139" s="33" t="str">
        <f t="shared" si="3"/>
        <v/>
      </c>
    </row>
    <row r="140" ht="15.75" customHeight="1">
      <c r="B140" s="39"/>
      <c r="C140" s="39"/>
      <c r="E140" s="38"/>
      <c r="F140" s="38"/>
      <c r="G140" s="38"/>
      <c r="H140" s="38"/>
      <c r="I140" s="38"/>
      <c r="J140" s="38"/>
      <c r="K140" s="38" t="str">
        <f t="shared" si="1"/>
        <v/>
      </c>
      <c r="L140" s="38" t="str">
        <f>IF(A140="","",IFERROR(VLOOKUP(VLOOKUP(A140,BOOKINGS!$A:$Q,7,FALSE),SETUP_RATES!$A:$H,8,FALSE),0))</f>
        <v/>
      </c>
      <c r="M140" s="38" t="str">
        <f t="shared" si="2"/>
        <v/>
      </c>
      <c r="N140" s="33" t="str">
        <f t="shared" si="3"/>
        <v/>
      </c>
    </row>
    <row r="141" ht="15.75" customHeight="1">
      <c r="B141" s="39"/>
      <c r="C141" s="39"/>
      <c r="E141" s="38"/>
      <c r="F141" s="38"/>
      <c r="G141" s="38"/>
      <c r="H141" s="38"/>
      <c r="I141" s="38"/>
      <c r="J141" s="38"/>
      <c r="K141" s="38" t="str">
        <f t="shared" si="1"/>
        <v/>
      </c>
      <c r="L141" s="38" t="str">
        <f>IF(A141="","",IFERROR(VLOOKUP(VLOOKUP(A141,BOOKINGS!$A:$Q,7,FALSE),SETUP_RATES!$A:$H,8,FALSE),0))</f>
        <v/>
      </c>
      <c r="M141" s="38" t="str">
        <f t="shared" si="2"/>
        <v/>
      </c>
      <c r="N141" s="33" t="str">
        <f t="shared" si="3"/>
        <v/>
      </c>
    </row>
    <row r="142" ht="15.75" customHeight="1">
      <c r="B142" s="39"/>
      <c r="C142" s="39"/>
      <c r="E142" s="38"/>
      <c r="F142" s="38"/>
      <c r="G142" s="38"/>
      <c r="H142" s="38"/>
      <c r="I142" s="38"/>
      <c r="J142" s="38"/>
      <c r="K142" s="38" t="str">
        <f t="shared" si="1"/>
        <v/>
      </c>
      <c r="L142" s="38" t="str">
        <f>IF(A142="","",IFERROR(VLOOKUP(VLOOKUP(A142,BOOKINGS!$A:$Q,7,FALSE),SETUP_RATES!$A:$H,8,FALSE),0))</f>
        <v/>
      </c>
      <c r="M142" s="38" t="str">
        <f t="shared" si="2"/>
        <v/>
      </c>
      <c r="N142" s="33" t="str">
        <f t="shared" si="3"/>
        <v/>
      </c>
    </row>
    <row r="143" ht="15.75" customHeight="1">
      <c r="B143" s="39"/>
      <c r="C143" s="39"/>
      <c r="E143" s="38"/>
      <c r="F143" s="38"/>
      <c r="G143" s="38"/>
      <c r="H143" s="38"/>
      <c r="I143" s="38"/>
      <c r="J143" s="38"/>
      <c r="K143" s="38" t="str">
        <f t="shared" si="1"/>
        <v/>
      </c>
      <c r="L143" s="38" t="str">
        <f>IF(A143="","",IFERROR(VLOOKUP(VLOOKUP(A143,BOOKINGS!$A:$Q,7,FALSE),SETUP_RATES!$A:$H,8,FALSE),0))</f>
        <v/>
      </c>
      <c r="M143" s="38" t="str">
        <f t="shared" si="2"/>
        <v/>
      </c>
      <c r="N143" s="33" t="str">
        <f t="shared" si="3"/>
        <v/>
      </c>
    </row>
    <row r="144" ht="15.75" customHeight="1">
      <c r="B144" s="39"/>
      <c r="C144" s="39"/>
      <c r="E144" s="38"/>
      <c r="F144" s="38"/>
      <c r="G144" s="38"/>
      <c r="H144" s="38"/>
      <c r="I144" s="38"/>
      <c r="J144" s="38"/>
      <c r="K144" s="38" t="str">
        <f t="shared" si="1"/>
        <v/>
      </c>
      <c r="L144" s="38" t="str">
        <f>IF(A144="","",IFERROR(VLOOKUP(VLOOKUP(A144,BOOKINGS!$A:$Q,7,FALSE),SETUP_RATES!$A:$H,8,FALSE),0))</f>
        <v/>
      </c>
      <c r="M144" s="38" t="str">
        <f t="shared" si="2"/>
        <v/>
      </c>
      <c r="N144" s="33" t="str">
        <f t="shared" si="3"/>
        <v/>
      </c>
    </row>
    <row r="145" ht="15.75" customHeight="1">
      <c r="B145" s="39"/>
      <c r="C145" s="39"/>
      <c r="E145" s="38"/>
      <c r="F145" s="38"/>
      <c r="G145" s="38"/>
      <c r="H145" s="38"/>
      <c r="I145" s="38"/>
      <c r="J145" s="38"/>
      <c r="K145" s="38" t="str">
        <f t="shared" si="1"/>
        <v/>
      </c>
      <c r="L145" s="38" t="str">
        <f>IF(A145="","",IFERROR(VLOOKUP(VLOOKUP(A145,BOOKINGS!$A:$Q,7,FALSE),SETUP_RATES!$A:$H,8,FALSE),0))</f>
        <v/>
      </c>
      <c r="M145" s="38" t="str">
        <f t="shared" si="2"/>
        <v/>
      </c>
      <c r="N145" s="33" t="str">
        <f t="shared" si="3"/>
        <v/>
      </c>
    </row>
    <row r="146" ht="15.75" customHeight="1">
      <c r="B146" s="39"/>
      <c r="C146" s="39"/>
      <c r="E146" s="38"/>
      <c r="F146" s="38"/>
      <c r="G146" s="38"/>
      <c r="H146" s="38"/>
      <c r="I146" s="38"/>
      <c r="J146" s="38"/>
      <c r="K146" s="38" t="str">
        <f t="shared" si="1"/>
        <v/>
      </c>
      <c r="L146" s="38" t="str">
        <f>IF(A146="","",IFERROR(VLOOKUP(VLOOKUP(A146,BOOKINGS!$A:$Q,7,FALSE),SETUP_RATES!$A:$H,8,FALSE),0))</f>
        <v/>
      </c>
      <c r="M146" s="38" t="str">
        <f t="shared" si="2"/>
        <v/>
      </c>
      <c r="N146" s="33" t="str">
        <f t="shared" si="3"/>
        <v/>
      </c>
    </row>
    <row r="147" ht="15.75" customHeight="1">
      <c r="B147" s="39"/>
      <c r="C147" s="39"/>
      <c r="E147" s="38"/>
      <c r="F147" s="38"/>
      <c r="G147" s="38"/>
      <c r="H147" s="38"/>
      <c r="I147" s="38"/>
      <c r="J147" s="38"/>
      <c r="K147" s="38" t="str">
        <f t="shared" si="1"/>
        <v/>
      </c>
      <c r="L147" s="38" t="str">
        <f>IF(A147="","",IFERROR(VLOOKUP(VLOOKUP(A147,BOOKINGS!$A:$Q,7,FALSE),SETUP_RATES!$A:$H,8,FALSE),0))</f>
        <v/>
      </c>
      <c r="M147" s="38" t="str">
        <f t="shared" si="2"/>
        <v/>
      </c>
      <c r="N147" s="33" t="str">
        <f t="shared" si="3"/>
        <v/>
      </c>
    </row>
    <row r="148" ht="15.75" customHeight="1">
      <c r="B148" s="39"/>
      <c r="C148" s="39"/>
      <c r="E148" s="38"/>
      <c r="F148" s="38"/>
      <c r="G148" s="38"/>
      <c r="H148" s="38"/>
      <c r="I148" s="38"/>
      <c r="J148" s="38"/>
      <c r="K148" s="38" t="str">
        <f t="shared" si="1"/>
        <v/>
      </c>
      <c r="L148" s="38" t="str">
        <f>IF(A148="","",IFERROR(VLOOKUP(VLOOKUP(A148,BOOKINGS!$A:$Q,7,FALSE),SETUP_RATES!$A:$H,8,FALSE),0))</f>
        <v/>
      </c>
      <c r="M148" s="38" t="str">
        <f t="shared" si="2"/>
        <v/>
      </c>
      <c r="N148" s="33" t="str">
        <f t="shared" si="3"/>
        <v/>
      </c>
    </row>
    <row r="149" ht="15.75" customHeight="1">
      <c r="B149" s="39"/>
      <c r="C149" s="39"/>
      <c r="E149" s="38"/>
      <c r="F149" s="38"/>
      <c r="G149" s="38"/>
      <c r="H149" s="38"/>
      <c r="I149" s="38"/>
      <c r="J149" s="38"/>
      <c r="K149" s="38" t="str">
        <f t="shared" si="1"/>
        <v/>
      </c>
      <c r="L149" s="38" t="str">
        <f>IF(A149="","",IFERROR(VLOOKUP(VLOOKUP(A149,BOOKINGS!$A:$Q,7,FALSE),SETUP_RATES!$A:$H,8,FALSE),0))</f>
        <v/>
      </c>
      <c r="M149" s="38" t="str">
        <f t="shared" si="2"/>
        <v/>
      </c>
      <c r="N149" s="33" t="str">
        <f t="shared" si="3"/>
        <v/>
      </c>
    </row>
    <row r="150" ht="15.75" customHeight="1">
      <c r="B150" s="39"/>
      <c r="C150" s="39"/>
      <c r="E150" s="38"/>
      <c r="F150" s="38"/>
      <c r="G150" s="38"/>
      <c r="H150" s="38"/>
      <c r="I150" s="38"/>
      <c r="J150" s="38"/>
      <c r="K150" s="38" t="str">
        <f t="shared" si="1"/>
        <v/>
      </c>
      <c r="L150" s="38" t="str">
        <f>IF(A150="","",IFERROR(VLOOKUP(VLOOKUP(A150,BOOKINGS!$A:$Q,7,FALSE),SETUP_RATES!$A:$H,8,FALSE),0))</f>
        <v/>
      </c>
      <c r="M150" s="38" t="str">
        <f t="shared" si="2"/>
        <v/>
      </c>
      <c r="N150" s="33" t="str">
        <f t="shared" si="3"/>
        <v/>
      </c>
    </row>
    <row r="151" ht="15.75" customHeight="1">
      <c r="B151" s="39"/>
      <c r="C151" s="39"/>
      <c r="E151" s="38"/>
      <c r="F151" s="38"/>
      <c r="G151" s="38"/>
      <c r="H151" s="38"/>
      <c r="I151" s="38"/>
      <c r="J151" s="38"/>
      <c r="K151" s="38" t="str">
        <f t="shared" si="1"/>
        <v/>
      </c>
      <c r="L151" s="38" t="str">
        <f>IF(A151="","",IFERROR(VLOOKUP(VLOOKUP(A151,BOOKINGS!$A:$Q,7,FALSE),SETUP_RATES!$A:$H,8,FALSE),0))</f>
        <v/>
      </c>
      <c r="M151" s="38" t="str">
        <f t="shared" si="2"/>
        <v/>
      </c>
      <c r="N151" s="33" t="str">
        <f t="shared" si="3"/>
        <v/>
      </c>
    </row>
    <row r="152" ht="15.75" customHeight="1">
      <c r="B152" s="39"/>
      <c r="C152" s="39"/>
      <c r="E152" s="38"/>
      <c r="F152" s="38"/>
      <c r="G152" s="38"/>
      <c r="H152" s="38"/>
      <c r="I152" s="38"/>
      <c r="J152" s="38"/>
      <c r="K152" s="38" t="str">
        <f t="shared" si="1"/>
        <v/>
      </c>
      <c r="L152" s="38" t="str">
        <f>IF(A152="","",IFERROR(VLOOKUP(VLOOKUP(A152,BOOKINGS!$A:$Q,7,FALSE),SETUP_RATES!$A:$H,8,FALSE),0))</f>
        <v/>
      </c>
      <c r="M152" s="38" t="str">
        <f t="shared" si="2"/>
        <v/>
      </c>
      <c r="N152" s="33" t="str">
        <f t="shared" si="3"/>
        <v/>
      </c>
    </row>
    <row r="153" ht="15.75" customHeight="1">
      <c r="B153" s="39"/>
      <c r="C153" s="39"/>
      <c r="E153" s="38"/>
      <c r="F153" s="38"/>
      <c r="G153" s="38"/>
      <c r="H153" s="38"/>
      <c r="I153" s="38"/>
      <c r="J153" s="38"/>
      <c r="K153" s="38" t="str">
        <f t="shared" si="1"/>
        <v/>
      </c>
      <c r="L153" s="38" t="str">
        <f>IF(A153="","",IFERROR(VLOOKUP(VLOOKUP(A153,BOOKINGS!$A:$Q,7,FALSE),SETUP_RATES!$A:$H,8,FALSE),0))</f>
        <v/>
      </c>
      <c r="M153" s="38" t="str">
        <f t="shared" si="2"/>
        <v/>
      </c>
      <c r="N153" s="33" t="str">
        <f t="shared" si="3"/>
        <v/>
      </c>
    </row>
    <row r="154" ht="15.75" customHeight="1">
      <c r="B154" s="39"/>
      <c r="C154" s="39"/>
      <c r="E154" s="38"/>
      <c r="F154" s="38"/>
      <c r="G154" s="38"/>
      <c r="H154" s="38"/>
      <c r="I154" s="38"/>
      <c r="J154" s="38"/>
      <c r="K154" s="38" t="str">
        <f t="shared" si="1"/>
        <v/>
      </c>
      <c r="L154" s="38" t="str">
        <f>IF(A154="","",IFERROR(VLOOKUP(VLOOKUP(A154,BOOKINGS!$A:$Q,7,FALSE),SETUP_RATES!$A:$H,8,FALSE),0))</f>
        <v/>
      </c>
      <c r="M154" s="38" t="str">
        <f t="shared" si="2"/>
        <v/>
      </c>
      <c r="N154" s="33" t="str">
        <f t="shared" si="3"/>
        <v/>
      </c>
    </row>
    <row r="155" ht="15.75" customHeight="1">
      <c r="B155" s="39"/>
      <c r="C155" s="39"/>
      <c r="E155" s="38"/>
      <c r="F155" s="38"/>
      <c r="G155" s="38"/>
      <c r="H155" s="38"/>
      <c r="I155" s="38"/>
      <c r="J155" s="38"/>
      <c r="K155" s="38" t="str">
        <f t="shared" si="1"/>
        <v/>
      </c>
      <c r="L155" s="38" t="str">
        <f>IF(A155="","",IFERROR(VLOOKUP(VLOOKUP(A155,BOOKINGS!$A:$Q,7,FALSE),SETUP_RATES!$A:$H,8,FALSE),0))</f>
        <v/>
      </c>
      <c r="M155" s="38" t="str">
        <f t="shared" si="2"/>
        <v/>
      </c>
      <c r="N155" s="33" t="str">
        <f t="shared" si="3"/>
        <v/>
      </c>
    </row>
    <row r="156" ht="15.75" customHeight="1">
      <c r="B156" s="39"/>
      <c r="C156" s="39"/>
      <c r="E156" s="38"/>
      <c r="F156" s="38"/>
      <c r="G156" s="38"/>
      <c r="H156" s="38"/>
      <c r="I156" s="38"/>
      <c r="J156" s="38"/>
      <c r="K156" s="38" t="str">
        <f t="shared" si="1"/>
        <v/>
      </c>
      <c r="L156" s="38" t="str">
        <f>IF(A156="","",IFERROR(VLOOKUP(VLOOKUP(A156,BOOKINGS!$A:$Q,7,FALSE),SETUP_RATES!$A:$H,8,FALSE),0))</f>
        <v/>
      </c>
      <c r="M156" s="38" t="str">
        <f t="shared" si="2"/>
        <v/>
      </c>
      <c r="N156" s="33" t="str">
        <f t="shared" si="3"/>
        <v/>
      </c>
    </row>
    <row r="157" ht="15.75" customHeight="1">
      <c r="B157" s="39"/>
      <c r="C157" s="39"/>
      <c r="E157" s="38"/>
      <c r="F157" s="38"/>
      <c r="G157" s="38"/>
      <c r="H157" s="38"/>
      <c r="I157" s="38"/>
      <c r="J157" s="38"/>
      <c r="K157" s="38" t="str">
        <f t="shared" si="1"/>
        <v/>
      </c>
      <c r="L157" s="38" t="str">
        <f>IF(A157="","",IFERROR(VLOOKUP(VLOOKUP(A157,BOOKINGS!$A:$Q,7,FALSE),SETUP_RATES!$A:$H,8,FALSE),0))</f>
        <v/>
      </c>
      <c r="M157" s="38" t="str">
        <f t="shared" si="2"/>
        <v/>
      </c>
      <c r="N157" s="33" t="str">
        <f t="shared" si="3"/>
        <v/>
      </c>
    </row>
    <row r="158" ht="15.75" customHeight="1">
      <c r="B158" s="39"/>
      <c r="C158" s="39"/>
      <c r="E158" s="38"/>
      <c r="F158" s="38"/>
      <c r="G158" s="38"/>
      <c r="H158" s="38"/>
      <c r="I158" s="38"/>
      <c r="J158" s="38"/>
      <c r="K158" s="38" t="str">
        <f t="shared" si="1"/>
        <v/>
      </c>
      <c r="L158" s="38" t="str">
        <f>IF(A158="","",IFERROR(VLOOKUP(VLOOKUP(A158,BOOKINGS!$A:$Q,7,FALSE),SETUP_RATES!$A:$H,8,FALSE),0))</f>
        <v/>
      </c>
      <c r="M158" s="38" t="str">
        <f t="shared" si="2"/>
        <v/>
      </c>
      <c r="N158" s="33" t="str">
        <f t="shared" si="3"/>
        <v/>
      </c>
    </row>
    <row r="159" ht="15.75" customHeight="1">
      <c r="B159" s="39"/>
      <c r="C159" s="39"/>
      <c r="E159" s="38"/>
      <c r="F159" s="38"/>
      <c r="G159" s="38"/>
      <c r="H159" s="38"/>
      <c r="I159" s="38"/>
      <c r="J159" s="38"/>
      <c r="K159" s="38" t="str">
        <f t="shared" si="1"/>
        <v/>
      </c>
      <c r="L159" s="38" t="str">
        <f>IF(A159="","",IFERROR(VLOOKUP(VLOOKUP(A159,BOOKINGS!$A:$Q,7,FALSE),SETUP_RATES!$A:$H,8,FALSE),0))</f>
        <v/>
      </c>
      <c r="M159" s="38" t="str">
        <f t="shared" si="2"/>
        <v/>
      </c>
      <c r="N159" s="33" t="str">
        <f t="shared" si="3"/>
        <v/>
      </c>
    </row>
    <row r="160" ht="15.75" customHeight="1">
      <c r="B160" s="39"/>
      <c r="C160" s="39"/>
      <c r="E160" s="38"/>
      <c r="F160" s="38"/>
      <c r="G160" s="38"/>
      <c r="H160" s="38"/>
      <c r="I160" s="38"/>
      <c r="J160" s="38"/>
      <c r="K160" s="38" t="str">
        <f t="shared" si="1"/>
        <v/>
      </c>
      <c r="L160" s="38" t="str">
        <f>IF(A160="","",IFERROR(VLOOKUP(VLOOKUP(A160,BOOKINGS!$A:$Q,7,FALSE),SETUP_RATES!$A:$H,8,FALSE),0))</f>
        <v/>
      </c>
      <c r="M160" s="38" t="str">
        <f t="shared" si="2"/>
        <v/>
      </c>
      <c r="N160" s="33" t="str">
        <f t="shared" si="3"/>
        <v/>
      </c>
    </row>
    <row r="161" ht="15.75" customHeight="1">
      <c r="B161" s="39"/>
      <c r="C161" s="39"/>
      <c r="E161" s="38"/>
      <c r="F161" s="38"/>
      <c r="G161" s="38"/>
      <c r="H161" s="38"/>
      <c r="I161" s="38"/>
      <c r="J161" s="38"/>
      <c r="K161" s="38" t="str">
        <f t="shared" si="1"/>
        <v/>
      </c>
      <c r="L161" s="38" t="str">
        <f>IF(A161="","",IFERROR(VLOOKUP(VLOOKUP(A161,BOOKINGS!$A:$Q,7,FALSE),SETUP_RATES!$A:$H,8,FALSE),0))</f>
        <v/>
      </c>
      <c r="M161" s="38" t="str">
        <f t="shared" si="2"/>
        <v/>
      </c>
      <c r="N161" s="33" t="str">
        <f t="shared" si="3"/>
        <v/>
      </c>
    </row>
    <row r="162" ht="15.75" customHeight="1">
      <c r="B162" s="39"/>
      <c r="C162" s="39"/>
      <c r="E162" s="38"/>
      <c r="F162" s="38"/>
      <c r="G162" s="38"/>
      <c r="H162" s="38"/>
      <c r="I162" s="38"/>
      <c r="J162" s="38"/>
      <c r="K162" s="38" t="str">
        <f t="shared" si="1"/>
        <v/>
      </c>
      <c r="L162" s="38" t="str">
        <f>IF(A162="","",IFERROR(VLOOKUP(VLOOKUP(A162,BOOKINGS!$A:$Q,7,FALSE),SETUP_RATES!$A:$H,8,FALSE),0))</f>
        <v/>
      </c>
      <c r="M162" s="38" t="str">
        <f t="shared" si="2"/>
        <v/>
      </c>
      <c r="N162" s="33" t="str">
        <f t="shared" si="3"/>
        <v/>
      </c>
    </row>
    <row r="163" ht="15.75" customHeight="1">
      <c r="B163" s="39"/>
      <c r="C163" s="39"/>
      <c r="E163" s="38"/>
      <c r="F163" s="38"/>
      <c r="G163" s="38"/>
      <c r="H163" s="38"/>
      <c r="I163" s="38"/>
      <c r="J163" s="38"/>
      <c r="K163" s="38" t="str">
        <f t="shared" si="1"/>
        <v/>
      </c>
      <c r="L163" s="38" t="str">
        <f>IF(A163="","",IFERROR(VLOOKUP(VLOOKUP(A163,BOOKINGS!$A:$Q,7,FALSE),SETUP_RATES!$A:$H,8,FALSE),0))</f>
        <v/>
      </c>
      <c r="M163" s="38" t="str">
        <f t="shared" si="2"/>
        <v/>
      </c>
      <c r="N163" s="33" t="str">
        <f t="shared" si="3"/>
        <v/>
      </c>
    </row>
    <row r="164" ht="15.75" customHeight="1">
      <c r="B164" s="39"/>
      <c r="C164" s="39"/>
      <c r="E164" s="38"/>
      <c r="F164" s="38"/>
      <c r="G164" s="38"/>
      <c r="H164" s="38"/>
      <c r="I164" s="38"/>
      <c r="J164" s="38"/>
      <c r="K164" s="38" t="str">
        <f t="shared" si="1"/>
        <v/>
      </c>
      <c r="L164" s="38" t="str">
        <f>IF(A164="","",IFERROR(VLOOKUP(VLOOKUP(A164,BOOKINGS!$A:$Q,7,FALSE),SETUP_RATES!$A:$H,8,FALSE),0))</f>
        <v/>
      </c>
      <c r="M164" s="38" t="str">
        <f t="shared" si="2"/>
        <v/>
      </c>
      <c r="N164" s="33" t="str">
        <f t="shared" si="3"/>
        <v/>
      </c>
    </row>
    <row r="165" ht="15.75" customHeight="1">
      <c r="B165" s="39"/>
      <c r="C165" s="39"/>
      <c r="E165" s="38"/>
      <c r="F165" s="38"/>
      <c r="G165" s="38"/>
      <c r="H165" s="38"/>
      <c r="I165" s="38"/>
      <c r="J165" s="38"/>
      <c r="K165" s="38" t="str">
        <f t="shared" si="1"/>
        <v/>
      </c>
      <c r="L165" s="38" t="str">
        <f>IF(A165="","",IFERROR(VLOOKUP(VLOOKUP(A165,BOOKINGS!$A:$Q,7,FALSE),SETUP_RATES!$A:$H,8,FALSE),0))</f>
        <v/>
      </c>
      <c r="M165" s="38" t="str">
        <f t="shared" si="2"/>
        <v/>
      </c>
      <c r="N165" s="33" t="str">
        <f t="shared" si="3"/>
        <v/>
      </c>
    </row>
    <row r="166" ht="15.75" customHeight="1">
      <c r="B166" s="39"/>
      <c r="C166" s="39"/>
      <c r="E166" s="38"/>
      <c r="F166" s="38"/>
      <c r="G166" s="38"/>
      <c r="H166" s="38"/>
      <c r="I166" s="38"/>
      <c r="J166" s="38"/>
      <c r="K166" s="38" t="str">
        <f t="shared" si="1"/>
        <v/>
      </c>
      <c r="L166" s="38" t="str">
        <f>IF(A166="","",IFERROR(VLOOKUP(VLOOKUP(A166,BOOKINGS!$A:$Q,7,FALSE),SETUP_RATES!$A:$H,8,FALSE),0))</f>
        <v/>
      </c>
      <c r="M166" s="38" t="str">
        <f t="shared" si="2"/>
        <v/>
      </c>
      <c r="N166" s="33" t="str">
        <f t="shared" si="3"/>
        <v/>
      </c>
    </row>
    <row r="167" ht="15.75" customHeight="1">
      <c r="B167" s="39"/>
      <c r="C167" s="39"/>
      <c r="E167" s="38"/>
      <c r="F167" s="38"/>
      <c r="G167" s="38"/>
      <c r="H167" s="38"/>
      <c r="I167" s="38"/>
      <c r="J167" s="38"/>
      <c r="K167" s="38" t="str">
        <f t="shared" si="1"/>
        <v/>
      </c>
      <c r="L167" s="38" t="str">
        <f>IF(A167="","",IFERROR(VLOOKUP(VLOOKUP(A167,BOOKINGS!$A:$Q,7,FALSE),SETUP_RATES!$A:$H,8,FALSE),0))</f>
        <v/>
      </c>
      <c r="M167" s="38" t="str">
        <f t="shared" si="2"/>
        <v/>
      </c>
      <c r="N167" s="33" t="str">
        <f t="shared" si="3"/>
        <v/>
      </c>
    </row>
    <row r="168" ht="15.75" customHeight="1">
      <c r="B168" s="39"/>
      <c r="C168" s="39"/>
      <c r="E168" s="38"/>
      <c r="F168" s="38"/>
      <c r="G168" s="38"/>
      <c r="H168" s="38"/>
      <c r="I168" s="38"/>
      <c r="J168" s="38"/>
      <c r="K168" s="38" t="str">
        <f t="shared" si="1"/>
        <v/>
      </c>
      <c r="L168" s="38" t="str">
        <f>IF(A168="","",IFERROR(VLOOKUP(VLOOKUP(A168,BOOKINGS!$A:$Q,7,FALSE),SETUP_RATES!$A:$H,8,FALSE),0))</f>
        <v/>
      </c>
      <c r="M168" s="38" t="str">
        <f t="shared" si="2"/>
        <v/>
      </c>
      <c r="N168" s="33" t="str">
        <f t="shared" si="3"/>
        <v/>
      </c>
    </row>
    <row r="169" ht="15.75" customHeight="1">
      <c r="B169" s="39"/>
      <c r="C169" s="39"/>
      <c r="E169" s="38"/>
      <c r="F169" s="38"/>
      <c r="G169" s="38"/>
      <c r="H169" s="38"/>
      <c r="I169" s="38"/>
      <c r="J169" s="38"/>
      <c r="K169" s="38" t="str">
        <f t="shared" si="1"/>
        <v/>
      </c>
      <c r="L169" s="38" t="str">
        <f>IF(A169="","",IFERROR(VLOOKUP(VLOOKUP(A169,BOOKINGS!$A:$Q,7,FALSE),SETUP_RATES!$A:$H,8,FALSE),0))</f>
        <v/>
      </c>
      <c r="M169" s="38" t="str">
        <f t="shared" si="2"/>
        <v/>
      </c>
      <c r="N169" s="33" t="str">
        <f t="shared" si="3"/>
        <v/>
      </c>
    </row>
    <row r="170" ht="15.75" customHeight="1">
      <c r="B170" s="39"/>
      <c r="C170" s="39"/>
      <c r="E170" s="38"/>
      <c r="F170" s="38"/>
      <c r="G170" s="38"/>
      <c r="H170" s="38"/>
      <c r="I170" s="38"/>
      <c r="J170" s="38"/>
      <c r="K170" s="38" t="str">
        <f t="shared" si="1"/>
        <v/>
      </c>
      <c r="L170" s="38" t="str">
        <f>IF(A170="","",IFERROR(VLOOKUP(VLOOKUP(A170,BOOKINGS!$A:$Q,7,FALSE),SETUP_RATES!$A:$H,8,FALSE),0))</f>
        <v/>
      </c>
      <c r="M170" s="38" t="str">
        <f t="shared" si="2"/>
        <v/>
      </c>
      <c r="N170" s="33" t="str">
        <f t="shared" si="3"/>
        <v/>
      </c>
    </row>
    <row r="171" ht="15.75" customHeight="1">
      <c r="B171" s="39"/>
      <c r="C171" s="39"/>
      <c r="E171" s="38"/>
      <c r="F171" s="38"/>
      <c r="G171" s="38"/>
      <c r="H171" s="38"/>
      <c r="I171" s="38"/>
      <c r="J171" s="38"/>
      <c r="K171" s="38" t="str">
        <f t="shared" si="1"/>
        <v/>
      </c>
      <c r="L171" s="38" t="str">
        <f>IF(A171="","",IFERROR(VLOOKUP(VLOOKUP(A171,BOOKINGS!$A:$Q,7,FALSE),SETUP_RATES!$A:$H,8,FALSE),0))</f>
        <v/>
      </c>
      <c r="M171" s="38" t="str">
        <f t="shared" si="2"/>
        <v/>
      </c>
      <c r="N171" s="33" t="str">
        <f t="shared" si="3"/>
        <v/>
      </c>
    </row>
    <row r="172" ht="15.75" customHeight="1">
      <c r="B172" s="39"/>
      <c r="C172" s="39"/>
      <c r="E172" s="38"/>
      <c r="F172" s="38"/>
      <c r="G172" s="38"/>
      <c r="H172" s="38"/>
      <c r="I172" s="38"/>
      <c r="J172" s="38"/>
      <c r="K172" s="38" t="str">
        <f t="shared" si="1"/>
        <v/>
      </c>
      <c r="L172" s="38" t="str">
        <f>IF(A172="","",IFERROR(VLOOKUP(VLOOKUP(A172,BOOKINGS!$A:$Q,7,FALSE),SETUP_RATES!$A:$H,8,FALSE),0))</f>
        <v/>
      </c>
      <c r="M172" s="38" t="str">
        <f t="shared" si="2"/>
        <v/>
      </c>
      <c r="N172" s="33" t="str">
        <f t="shared" si="3"/>
        <v/>
      </c>
    </row>
    <row r="173" ht="15.75" customHeight="1">
      <c r="B173" s="39"/>
      <c r="C173" s="39"/>
      <c r="E173" s="38"/>
      <c r="F173" s="38"/>
      <c r="G173" s="38"/>
      <c r="H173" s="38"/>
      <c r="I173" s="38"/>
      <c r="J173" s="38"/>
      <c r="K173" s="38" t="str">
        <f t="shared" si="1"/>
        <v/>
      </c>
      <c r="L173" s="38" t="str">
        <f>IF(A173="","",IFERROR(VLOOKUP(VLOOKUP(A173,BOOKINGS!$A:$Q,7,FALSE),SETUP_RATES!$A:$H,8,FALSE),0))</f>
        <v/>
      </c>
      <c r="M173" s="38" t="str">
        <f t="shared" si="2"/>
        <v/>
      </c>
      <c r="N173" s="33" t="str">
        <f t="shared" si="3"/>
        <v/>
      </c>
    </row>
    <row r="174" ht="15.75" customHeight="1">
      <c r="B174" s="39"/>
      <c r="C174" s="39"/>
      <c r="E174" s="38"/>
      <c r="F174" s="38"/>
      <c r="G174" s="38"/>
      <c r="H174" s="38"/>
      <c r="I174" s="38"/>
      <c r="J174" s="38"/>
      <c r="K174" s="38" t="str">
        <f t="shared" si="1"/>
        <v/>
      </c>
      <c r="L174" s="38" t="str">
        <f>IF(A174="","",IFERROR(VLOOKUP(VLOOKUP(A174,BOOKINGS!$A:$Q,7,FALSE),SETUP_RATES!$A:$H,8,FALSE),0))</f>
        <v/>
      </c>
      <c r="M174" s="38" t="str">
        <f t="shared" si="2"/>
        <v/>
      </c>
      <c r="N174" s="33" t="str">
        <f t="shared" si="3"/>
        <v/>
      </c>
    </row>
    <row r="175" ht="15.75" customHeight="1">
      <c r="B175" s="39"/>
      <c r="C175" s="39"/>
      <c r="E175" s="38"/>
      <c r="F175" s="38"/>
      <c r="G175" s="38"/>
      <c r="H175" s="38"/>
      <c r="I175" s="38"/>
      <c r="J175" s="38"/>
      <c r="K175" s="38" t="str">
        <f t="shared" si="1"/>
        <v/>
      </c>
      <c r="L175" s="38" t="str">
        <f>IF(A175="","",IFERROR(VLOOKUP(VLOOKUP(A175,BOOKINGS!$A:$Q,7,FALSE),SETUP_RATES!$A:$H,8,FALSE),0))</f>
        <v/>
      </c>
      <c r="M175" s="38" t="str">
        <f t="shared" si="2"/>
        <v/>
      </c>
      <c r="N175" s="33" t="str">
        <f t="shared" si="3"/>
        <v/>
      </c>
    </row>
    <row r="176" ht="15.75" customHeight="1">
      <c r="B176" s="39"/>
      <c r="C176" s="39"/>
      <c r="E176" s="38"/>
      <c r="F176" s="38"/>
      <c r="G176" s="38"/>
      <c r="H176" s="38"/>
      <c r="I176" s="38"/>
      <c r="J176" s="38"/>
      <c r="K176" s="38" t="str">
        <f t="shared" si="1"/>
        <v/>
      </c>
      <c r="L176" s="38" t="str">
        <f>IF(A176="","",IFERROR(VLOOKUP(VLOOKUP(A176,BOOKINGS!$A:$Q,7,FALSE),SETUP_RATES!$A:$H,8,FALSE),0))</f>
        <v/>
      </c>
      <c r="M176" s="38" t="str">
        <f t="shared" si="2"/>
        <v/>
      </c>
      <c r="N176" s="33" t="str">
        <f t="shared" si="3"/>
        <v/>
      </c>
    </row>
    <row r="177" ht="15.75" customHeight="1">
      <c r="B177" s="39"/>
      <c r="C177" s="39"/>
      <c r="E177" s="38"/>
      <c r="F177" s="38"/>
      <c r="G177" s="38"/>
      <c r="H177" s="38"/>
      <c r="I177" s="38"/>
      <c r="J177" s="38"/>
      <c r="K177" s="38" t="str">
        <f t="shared" si="1"/>
        <v/>
      </c>
      <c r="L177" s="38" t="str">
        <f>IF(A177="","",IFERROR(VLOOKUP(VLOOKUP(A177,BOOKINGS!$A:$Q,7,FALSE),SETUP_RATES!$A:$H,8,FALSE),0))</f>
        <v/>
      </c>
      <c r="M177" s="38" t="str">
        <f t="shared" si="2"/>
        <v/>
      </c>
      <c r="N177" s="33" t="str">
        <f t="shared" si="3"/>
        <v/>
      </c>
    </row>
    <row r="178" ht="15.75" customHeight="1">
      <c r="B178" s="39"/>
      <c r="C178" s="39"/>
      <c r="E178" s="38"/>
      <c r="F178" s="38"/>
      <c r="G178" s="38"/>
      <c r="H178" s="38"/>
      <c r="I178" s="38"/>
      <c r="J178" s="38"/>
      <c r="K178" s="38" t="str">
        <f t="shared" si="1"/>
        <v/>
      </c>
      <c r="L178" s="38" t="str">
        <f>IF(A178="","",IFERROR(VLOOKUP(VLOOKUP(A178,BOOKINGS!$A:$Q,7,FALSE),SETUP_RATES!$A:$H,8,FALSE),0))</f>
        <v/>
      </c>
      <c r="M178" s="38" t="str">
        <f t="shared" si="2"/>
        <v/>
      </c>
      <c r="N178" s="33" t="str">
        <f t="shared" si="3"/>
        <v/>
      </c>
    </row>
    <row r="179" ht="15.75" customHeight="1">
      <c r="B179" s="39"/>
      <c r="C179" s="39"/>
      <c r="E179" s="38"/>
      <c r="F179" s="38"/>
      <c r="G179" s="38"/>
      <c r="H179" s="38"/>
      <c r="I179" s="38"/>
      <c r="J179" s="38"/>
      <c r="K179" s="38" t="str">
        <f t="shared" si="1"/>
        <v/>
      </c>
      <c r="L179" s="38" t="str">
        <f>IF(A179="","",IFERROR(VLOOKUP(VLOOKUP(A179,BOOKINGS!$A:$Q,7,FALSE),SETUP_RATES!$A:$H,8,FALSE),0))</f>
        <v/>
      </c>
      <c r="M179" s="38" t="str">
        <f t="shared" si="2"/>
        <v/>
      </c>
      <c r="N179" s="33" t="str">
        <f t="shared" si="3"/>
        <v/>
      </c>
    </row>
    <row r="180" ht="15.75" customHeight="1">
      <c r="B180" s="39"/>
      <c r="C180" s="39"/>
      <c r="E180" s="38"/>
      <c r="F180" s="38"/>
      <c r="G180" s="38"/>
      <c r="H180" s="38"/>
      <c r="I180" s="38"/>
      <c r="J180" s="38"/>
      <c r="K180" s="38" t="str">
        <f t="shared" si="1"/>
        <v/>
      </c>
      <c r="L180" s="38" t="str">
        <f>IF(A180="","",IFERROR(VLOOKUP(VLOOKUP(A180,BOOKINGS!$A:$Q,7,FALSE),SETUP_RATES!$A:$H,8,FALSE),0))</f>
        <v/>
      </c>
      <c r="M180" s="38" t="str">
        <f t="shared" si="2"/>
        <v/>
      </c>
      <c r="N180" s="33" t="str">
        <f t="shared" si="3"/>
        <v/>
      </c>
    </row>
    <row r="181" ht="15.75" customHeight="1">
      <c r="B181" s="39"/>
      <c r="C181" s="39"/>
      <c r="E181" s="38"/>
      <c r="F181" s="38"/>
      <c r="G181" s="38"/>
      <c r="H181" s="38"/>
      <c r="I181" s="38"/>
      <c r="J181" s="38"/>
      <c r="K181" s="38" t="str">
        <f t="shared" si="1"/>
        <v/>
      </c>
      <c r="L181" s="38" t="str">
        <f>IF(A181="","",IFERROR(VLOOKUP(VLOOKUP(A181,BOOKINGS!$A:$Q,7,FALSE),SETUP_RATES!$A:$H,8,FALSE),0))</f>
        <v/>
      </c>
      <c r="M181" s="38" t="str">
        <f t="shared" si="2"/>
        <v/>
      </c>
      <c r="N181" s="33" t="str">
        <f t="shared" si="3"/>
        <v/>
      </c>
    </row>
    <row r="182" ht="15.75" customHeight="1">
      <c r="B182" s="39"/>
      <c r="C182" s="39"/>
      <c r="E182" s="38"/>
      <c r="F182" s="38"/>
      <c r="G182" s="38"/>
      <c r="H182" s="38"/>
      <c r="I182" s="38"/>
      <c r="J182" s="38"/>
      <c r="K182" s="38" t="str">
        <f t="shared" si="1"/>
        <v/>
      </c>
      <c r="L182" s="38" t="str">
        <f>IF(A182="","",IFERROR(VLOOKUP(VLOOKUP(A182,BOOKINGS!$A:$Q,7,FALSE),SETUP_RATES!$A:$H,8,FALSE),0))</f>
        <v/>
      </c>
      <c r="M182" s="38" t="str">
        <f t="shared" si="2"/>
        <v/>
      </c>
      <c r="N182" s="33" t="str">
        <f t="shared" si="3"/>
        <v/>
      </c>
    </row>
    <row r="183" ht="15.75" customHeight="1">
      <c r="B183" s="39"/>
      <c r="C183" s="39"/>
      <c r="E183" s="38"/>
      <c r="F183" s="38"/>
      <c r="G183" s="38"/>
      <c r="H183" s="38"/>
      <c r="I183" s="38"/>
      <c r="J183" s="38"/>
      <c r="K183" s="38" t="str">
        <f t="shared" si="1"/>
        <v/>
      </c>
      <c r="L183" s="38" t="str">
        <f>IF(A183="","",IFERROR(VLOOKUP(VLOOKUP(A183,BOOKINGS!$A:$Q,7,FALSE),SETUP_RATES!$A:$H,8,FALSE),0))</f>
        <v/>
      </c>
      <c r="M183" s="38" t="str">
        <f t="shared" si="2"/>
        <v/>
      </c>
      <c r="N183" s="33" t="str">
        <f t="shared" si="3"/>
        <v/>
      </c>
    </row>
    <row r="184" ht="15.75" customHeight="1">
      <c r="B184" s="39"/>
      <c r="C184" s="39"/>
      <c r="E184" s="38"/>
      <c r="F184" s="38"/>
      <c r="G184" s="38"/>
      <c r="H184" s="38"/>
      <c r="I184" s="38"/>
      <c r="J184" s="38"/>
      <c r="K184" s="38" t="str">
        <f t="shared" si="1"/>
        <v/>
      </c>
      <c r="L184" s="38" t="str">
        <f>IF(A184="","",IFERROR(VLOOKUP(VLOOKUP(A184,BOOKINGS!$A:$Q,7,FALSE),SETUP_RATES!$A:$H,8,FALSE),0))</f>
        <v/>
      </c>
      <c r="M184" s="38" t="str">
        <f t="shared" si="2"/>
        <v/>
      </c>
      <c r="N184" s="33" t="str">
        <f t="shared" si="3"/>
        <v/>
      </c>
    </row>
    <row r="185" ht="15.75" customHeight="1">
      <c r="B185" s="39"/>
      <c r="C185" s="39"/>
      <c r="E185" s="38"/>
      <c r="F185" s="38"/>
      <c r="G185" s="38"/>
      <c r="H185" s="38"/>
      <c r="I185" s="38"/>
      <c r="J185" s="38"/>
      <c r="K185" s="38" t="str">
        <f t="shared" si="1"/>
        <v/>
      </c>
      <c r="L185" s="38" t="str">
        <f>IF(A185="","",IFERROR(VLOOKUP(VLOOKUP(A185,BOOKINGS!$A:$Q,7,FALSE),SETUP_RATES!$A:$H,8,FALSE),0))</f>
        <v/>
      </c>
      <c r="M185" s="38" t="str">
        <f t="shared" si="2"/>
        <v/>
      </c>
      <c r="N185" s="33" t="str">
        <f t="shared" si="3"/>
        <v/>
      </c>
    </row>
    <row r="186" ht="15.75" customHeight="1">
      <c r="B186" s="39"/>
      <c r="C186" s="39"/>
      <c r="E186" s="38"/>
      <c r="F186" s="38"/>
      <c r="G186" s="38"/>
      <c r="H186" s="38"/>
      <c r="I186" s="38"/>
      <c r="J186" s="38"/>
      <c r="K186" s="38" t="str">
        <f t="shared" si="1"/>
        <v/>
      </c>
      <c r="L186" s="38" t="str">
        <f>IF(A186="","",IFERROR(VLOOKUP(VLOOKUP(A186,BOOKINGS!$A:$Q,7,FALSE),SETUP_RATES!$A:$H,8,FALSE),0))</f>
        <v/>
      </c>
      <c r="M186" s="38" t="str">
        <f t="shared" si="2"/>
        <v/>
      </c>
      <c r="N186" s="33" t="str">
        <f t="shared" si="3"/>
        <v/>
      </c>
    </row>
    <row r="187" ht="15.75" customHeight="1">
      <c r="B187" s="39"/>
      <c r="C187" s="39"/>
      <c r="E187" s="38"/>
      <c r="F187" s="38"/>
      <c r="G187" s="38"/>
      <c r="H187" s="38"/>
      <c r="I187" s="38"/>
      <c r="J187" s="38"/>
      <c r="K187" s="38" t="str">
        <f t="shared" si="1"/>
        <v/>
      </c>
      <c r="L187" s="38" t="str">
        <f>IF(A187="","",IFERROR(VLOOKUP(VLOOKUP(A187,BOOKINGS!$A:$Q,7,FALSE),SETUP_RATES!$A:$H,8,FALSE),0))</f>
        <v/>
      </c>
      <c r="M187" s="38" t="str">
        <f t="shared" si="2"/>
        <v/>
      </c>
      <c r="N187" s="33" t="str">
        <f t="shared" si="3"/>
        <v/>
      </c>
    </row>
    <row r="188" ht="15.75" customHeight="1">
      <c r="B188" s="39"/>
      <c r="C188" s="39"/>
      <c r="E188" s="38"/>
      <c r="F188" s="38"/>
      <c r="G188" s="38"/>
      <c r="H188" s="38"/>
      <c r="I188" s="38"/>
      <c r="J188" s="38"/>
      <c r="K188" s="38" t="str">
        <f t="shared" si="1"/>
        <v/>
      </c>
      <c r="L188" s="38" t="str">
        <f>IF(A188="","",IFERROR(VLOOKUP(VLOOKUP(A188,BOOKINGS!$A:$Q,7,FALSE),SETUP_RATES!$A:$H,8,FALSE),0))</f>
        <v/>
      </c>
      <c r="M188" s="38" t="str">
        <f t="shared" si="2"/>
        <v/>
      </c>
      <c r="N188" s="33" t="str">
        <f t="shared" si="3"/>
        <v/>
      </c>
    </row>
    <row r="189" ht="15.75" customHeight="1">
      <c r="B189" s="39"/>
      <c r="C189" s="39"/>
      <c r="E189" s="38"/>
      <c r="F189" s="38"/>
      <c r="G189" s="38"/>
      <c r="H189" s="38"/>
      <c r="I189" s="38"/>
      <c r="J189" s="38"/>
      <c r="K189" s="38" t="str">
        <f t="shared" si="1"/>
        <v/>
      </c>
      <c r="L189" s="38" t="str">
        <f>IF(A189="","",IFERROR(VLOOKUP(VLOOKUP(A189,BOOKINGS!$A:$Q,7,FALSE),SETUP_RATES!$A:$H,8,FALSE),0))</f>
        <v/>
      </c>
      <c r="M189" s="38" t="str">
        <f t="shared" si="2"/>
        <v/>
      </c>
      <c r="N189" s="33" t="str">
        <f t="shared" si="3"/>
        <v/>
      </c>
    </row>
    <row r="190" ht="15.75" customHeight="1">
      <c r="B190" s="39"/>
      <c r="C190" s="39"/>
      <c r="E190" s="38"/>
      <c r="F190" s="38"/>
      <c r="G190" s="38"/>
      <c r="H190" s="38"/>
      <c r="I190" s="38"/>
      <c r="J190" s="38"/>
      <c r="K190" s="38" t="str">
        <f t="shared" si="1"/>
        <v/>
      </c>
      <c r="L190" s="38" t="str">
        <f>IF(A190="","",IFERROR(VLOOKUP(VLOOKUP(A190,BOOKINGS!$A:$Q,7,FALSE),SETUP_RATES!$A:$H,8,FALSE),0))</f>
        <v/>
      </c>
      <c r="M190" s="38" t="str">
        <f t="shared" si="2"/>
        <v/>
      </c>
      <c r="N190" s="33" t="str">
        <f t="shared" si="3"/>
        <v/>
      </c>
    </row>
    <row r="191" ht="15.75" customHeight="1">
      <c r="B191" s="39"/>
      <c r="C191" s="39"/>
      <c r="E191" s="38"/>
      <c r="F191" s="38"/>
      <c r="G191" s="38"/>
      <c r="H191" s="38"/>
      <c r="I191" s="38"/>
      <c r="J191" s="38"/>
      <c r="K191" s="38" t="str">
        <f t="shared" si="1"/>
        <v/>
      </c>
      <c r="L191" s="38" t="str">
        <f>IF(A191="","",IFERROR(VLOOKUP(VLOOKUP(A191,BOOKINGS!$A:$Q,7,FALSE),SETUP_RATES!$A:$H,8,FALSE),0))</f>
        <v/>
      </c>
      <c r="M191" s="38" t="str">
        <f t="shared" si="2"/>
        <v/>
      </c>
      <c r="N191" s="33" t="str">
        <f t="shared" si="3"/>
        <v/>
      </c>
    </row>
    <row r="192" ht="15.75" customHeight="1">
      <c r="B192" s="39"/>
      <c r="C192" s="39"/>
      <c r="E192" s="38"/>
      <c r="F192" s="38"/>
      <c r="G192" s="38"/>
      <c r="H192" s="38"/>
      <c r="I192" s="38"/>
      <c r="J192" s="38"/>
      <c r="K192" s="38" t="str">
        <f t="shared" si="1"/>
        <v/>
      </c>
      <c r="L192" s="38" t="str">
        <f>IF(A192="","",IFERROR(VLOOKUP(VLOOKUP(A192,BOOKINGS!$A:$Q,7,FALSE),SETUP_RATES!$A:$H,8,FALSE),0))</f>
        <v/>
      </c>
      <c r="M192" s="38" t="str">
        <f t="shared" si="2"/>
        <v/>
      </c>
      <c r="N192" s="33" t="str">
        <f t="shared" si="3"/>
        <v/>
      </c>
    </row>
    <row r="193" ht="15.75" customHeight="1">
      <c r="B193" s="39"/>
      <c r="C193" s="39"/>
      <c r="E193" s="38"/>
      <c r="F193" s="38"/>
      <c r="G193" s="38"/>
      <c r="H193" s="38"/>
      <c r="I193" s="38"/>
      <c r="J193" s="38"/>
      <c r="K193" s="38" t="str">
        <f t="shared" si="1"/>
        <v/>
      </c>
      <c r="L193" s="38" t="str">
        <f>IF(A193="","",IFERROR(VLOOKUP(VLOOKUP(A193,BOOKINGS!$A:$Q,7,FALSE),SETUP_RATES!$A:$H,8,FALSE),0))</f>
        <v/>
      </c>
      <c r="M193" s="38" t="str">
        <f t="shared" si="2"/>
        <v/>
      </c>
      <c r="N193" s="33" t="str">
        <f t="shared" si="3"/>
        <v/>
      </c>
    </row>
    <row r="194" ht="15.75" customHeight="1">
      <c r="B194" s="39"/>
      <c r="C194" s="39"/>
      <c r="E194" s="38"/>
      <c r="F194" s="38"/>
      <c r="G194" s="38"/>
      <c r="H194" s="38"/>
      <c r="I194" s="38"/>
      <c r="J194" s="38"/>
      <c r="K194" s="38" t="str">
        <f t="shared" si="1"/>
        <v/>
      </c>
      <c r="L194" s="38" t="str">
        <f>IF(A194="","",IFERROR(VLOOKUP(VLOOKUP(A194,BOOKINGS!$A:$Q,7,FALSE),SETUP_RATES!$A:$H,8,FALSE),0))</f>
        <v/>
      </c>
      <c r="M194" s="38" t="str">
        <f t="shared" si="2"/>
        <v/>
      </c>
      <c r="N194" s="33" t="str">
        <f t="shared" si="3"/>
        <v/>
      </c>
    </row>
    <row r="195" ht="15.75" customHeight="1">
      <c r="B195" s="39"/>
      <c r="C195" s="39"/>
      <c r="E195" s="38"/>
      <c r="F195" s="38"/>
      <c r="G195" s="38"/>
      <c r="H195" s="38"/>
      <c r="I195" s="38"/>
      <c r="J195" s="38"/>
      <c r="K195" s="38" t="str">
        <f t="shared" si="1"/>
        <v/>
      </c>
      <c r="L195" s="38" t="str">
        <f>IF(A195="","",IFERROR(VLOOKUP(VLOOKUP(A195,BOOKINGS!$A:$Q,7,FALSE),SETUP_RATES!$A:$H,8,FALSE),0))</f>
        <v/>
      </c>
      <c r="M195" s="38" t="str">
        <f t="shared" si="2"/>
        <v/>
      </c>
      <c r="N195" s="33" t="str">
        <f t="shared" si="3"/>
        <v/>
      </c>
    </row>
    <row r="196" ht="15.75" customHeight="1">
      <c r="B196" s="39"/>
      <c r="C196" s="39"/>
      <c r="E196" s="38"/>
      <c r="F196" s="38"/>
      <c r="G196" s="38"/>
      <c r="H196" s="38"/>
      <c r="I196" s="38"/>
      <c r="J196" s="38"/>
      <c r="K196" s="38" t="str">
        <f t="shared" si="1"/>
        <v/>
      </c>
      <c r="L196" s="38" t="str">
        <f>IF(A196="","",IFERROR(VLOOKUP(VLOOKUP(A196,BOOKINGS!$A:$Q,7,FALSE),SETUP_RATES!$A:$H,8,FALSE),0))</f>
        <v/>
      </c>
      <c r="M196" s="38" t="str">
        <f t="shared" si="2"/>
        <v/>
      </c>
      <c r="N196" s="33" t="str">
        <f t="shared" si="3"/>
        <v/>
      </c>
    </row>
    <row r="197" ht="15.75" customHeight="1">
      <c r="B197" s="39"/>
      <c r="C197" s="39"/>
      <c r="E197" s="38"/>
      <c r="F197" s="38"/>
      <c r="G197" s="38"/>
      <c r="H197" s="38"/>
      <c r="I197" s="38"/>
      <c r="J197" s="38"/>
      <c r="K197" s="38" t="str">
        <f t="shared" si="1"/>
        <v/>
      </c>
      <c r="L197" s="38" t="str">
        <f>IF(A197="","",IFERROR(VLOOKUP(VLOOKUP(A197,BOOKINGS!$A:$Q,7,FALSE),SETUP_RATES!$A:$H,8,FALSE),0))</f>
        <v/>
      </c>
      <c r="M197" s="38" t="str">
        <f t="shared" si="2"/>
        <v/>
      </c>
      <c r="N197" s="33" t="str">
        <f t="shared" si="3"/>
        <v/>
      </c>
    </row>
    <row r="198" ht="15.75" customHeight="1">
      <c r="B198" s="39"/>
      <c r="C198" s="39"/>
      <c r="E198" s="38"/>
      <c r="F198" s="38"/>
      <c r="G198" s="38"/>
      <c r="H198" s="38"/>
      <c r="I198" s="38"/>
      <c r="J198" s="38"/>
      <c r="K198" s="38" t="str">
        <f t="shared" si="1"/>
        <v/>
      </c>
      <c r="L198" s="38" t="str">
        <f>IF(A198="","",IFERROR(VLOOKUP(VLOOKUP(A198,BOOKINGS!$A:$Q,7,FALSE),SETUP_RATES!$A:$H,8,FALSE),0))</f>
        <v/>
      </c>
      <c r="M198" s="38" t="str">
        <f t="shared" si="2"/>
        <v/>
      </c>
      <c r="N198" s="33" t="str">
        <f t="shared" si="3"/>
        <v/>
      </c>
    </row>
    <row r="199" ht="15.75" customHeight="1">
      <c r="B199" s="39"/>
      <c r="C199" s="39"/>
      <c r="E199" s="38"/>
      <c r="F199" s="38"/>
      <c r="G199" s="38"/>
      <c r="H199" s="38"/>
      <c r="I199" s="38"/>
      <c r="J199" s="38"/>
      <c r="K199" s="38" t="str">
        <f t="shared" si="1"/>
        <v/>
      </c>
      <c r="L199" s="38" t="str">
        <f>IF(A199="","",IFERROR(VLOOKUP(VLOOKUP(A199,BOOKINGS!$A:$Q,7,FALSE),SETUP_RATES!$A:$H,8,FALSE),0))</f>
        <v/>
      </c>
      <c r="M199" s="38" t="str">
        <f t="shared" si="2"/>
        <v/>
      </c>
      <c r="N199" s="33" t="str">
        <f t="shared" si="3"/>
        <v/>
      </c>
    </row>
    <row r="200" ht="15.75" customHeight="1">
      <c r="B200" s="39"/>
      <c r="C200" s="39"/>
      <c r="E200" s="38"/>
      <c r="F200" s="38"/>
      <c r="G200" s="38"/>
      <c r="H200" s="38"/>
      <c r="I200" s="38"/>
      <c r="J200" s="38"/>
      <c r="K200" s="38" t="str">
        <f t="shared" si="1"/>
        <v/>
      </c>
      <c r="L200" s="38" t="str">
        <f>IF(A200="","",IFERROR(VLOOKUP(VLOOKUP(A200,BOOKINGS!$A:$Q,7,FALSE),SETUP_RATES!$A:$H,8,FALSE),0))</f>
        <v/>
      </c>
      <c r="M200" s="38" t="str">
        <f t="shared" si="2"/>
        <v/>
      </c>
      <c r="N200" s="33" t="str">
        <f t="shared" si="3"/>
        <v/>
      </c>
    </row>
    <row r="201" ht="15.75" customHeight="1">
      <c r="B201" s="39"/>
      <c r="C201" s="39"/>
      <c r="E201" s="38"/>
      <c r="F201" s="38"/>
      <c r="G201" s="38"/>
      <c r="H201" s="38"/>
      <c r="I201" s="38"/>
      <c r="J201" s="38"/>
      <c r="K201" s="38" t="str">
        <f t="shared" si="1"/>
        <v/>
      </c>
      <c r="L201" s="38" t="str">
        <f>IF(A201="","",IFERROR(VLOOKUP(VLOOKUP(A201,BOOKINGS!$A:$Q,7,FALSE),SETUP_RATES!$A:$H,8,FALSE),0))</f>
        <v/>
      </c>
      <c r="M201" s="38" t="str">
        <f t="shared" si="2"/>
        <v/>
      </c>
      <c r="N201" s="33" t="str">
        <f t="shared" si="3"/>
        <v/>
      </c>
    </row>
    <row r="202" ht="15.75" customHeight="1">
      <c r="B202" s="39"/>
      <c r="C202" s="39"/>
      <c r="E202" s="38"/>
      <c r="F202" s="38"/>
      <c r="G202" s="38"/>
      <c r="H202" s="38"/>
      <c r="I202" s="38"/>
      <c r="J202" s="38"/>
      <c r="K202" s="38" t="str">
        <f t="shared" si="1"/>
        <v/>
      </c>
      <c r="L202" s="38" t="str">
        <f>IF(A202="","",IFERROR(VLOOKUP(VLOOKUP(A202,BOOKINGS!$A:$Q,7,FALSE),SETUP_RATES!$A:$H,8,FALSE),0))</f>
        <v/>
      </c>
      <c r="M202" s="38" t="str">
        <f t="shared" si="2"/>
        <v/>
      </c>
      <c r="N202" s="33" t="str">
        <f t="shared" si="3"/>
        <v/>
      </c>
    </row>
    <row r="203" ht="15.75" customHeight="1">
      <c r="B203" s="39"/>
      <c r="C203" s="39"/>
      <c r="E203" s="38"/>
      <c r="F203" s="38"/>
      <c r="G203" s="38"/>
      <c r="H203" s="38"/>
      <c r="I203" s="38"/>
      <c r="J203" s="38"/>
      <c r="K203" s="38" t="str">
        <f t="shared" si="1"/>
        <v/>
      </c>
      <c r="L203" s="38" t="str">
        <f>IF(A203="","",IFERROR(VLOOKUP(VLOOKUP(A203,BOOKINGS!$A:$Q,7,FALSE),SETUP_RATES!$A:$H,8,FALSE),0))</f>
        <v/>
      </c>
      <c r="M203" s="38" t="str">
        <f t="shared" si="2"/>
        <v/>
      </c>
      <c r="N203" s="33" t="str">
        <f t="shared" si="3"/>
        <v/>
      </c>
    </row>
    <row r="204" ht="15.75" customHeight="1">
      <c r="B204" s="39"/>
      <c r="C204" s="39"/>
      <c r="E204" s="38"/>
      <c r="F204" s="38"/>
      <c r="G204" s="38"/>
      <c r="H204" s="38"/>
      <c r="I204" s="38"/>
      <c r="J204" s="38"/>
      <c r="K204" s="38" t="str">
        <f t="shared" si="1"/>
        <v/>
      </c>
      <c r="L204" s="38" t="str">
        <f>IF(A204="","",IFERROR(VLOOKUP(VLOOKUP(A204,BOOKINGS!$A:$Q,7,FALSE),SETUP_RATES!$A:$H,8,FALSE),0))</f>
        <v/>
      </c>
      <c r="M204" s="38" t="str">
        <f t="shared" si="2"/>
        <v/>
      </c>
      <c r="N204" s="33" t="str">
        <f t="shared" si="3"/>
        <v/>
      </c>
    </row>
    <row r="205" ht="15.75" customHeight="1">
      <c r="B205" s="39"/>
      <c r="C205" s="39"/>
      <c r="E205" s="38"/>
      <c r="F205" s="38"/>
      <c r="G205" s="38"/>
      <c r="H205" s="38"/>
      <c r="I205" s="38"/>
      <c r="J205" s="38"/>
      <c r="K205" s="38" t="str">
        <f t="shared" si="1"/>
        <v/>
      </c>
      <c r="L205" s="38" t="str">
        <f>IF(A205="","",IFERROR(VLOOKUP(VLOOKUP(A205,BOOKINGS!$A:$Q,7,FALSE),SETUP_RATES!$A:$H,8,FALSE),0))</f>
        <v/>
      </c>
      <c r="M205" s="38" t="str">
        <f t="shared" si="2"/>
        <v/>
      </c>
      <c r="N205" s="33" t="str">
        <f t="shared" si="3"/>
        <v/>
      </c>
    </row>
    <row r="206" ht="15.75" customHeight="1">
      <c r="B206" s="39"/>
      <c r="C206" s="39"/>
      <c r="E206" s="38"/>
      <c r="F206" s="38"/>
      <c r="G206" s="38"/>
      <c r="H206" s="38"/>
      <c r="I206" s="38"/>
      <c r="J206" s="38"/>
      <c r="K206" s="38" t="str">
        <f t="shared" si="1"/>
        <v/>
      </c>
      <c r="L206" s="38" t="str">
        <f>IF(A206="","",IFERROR(VLOOKUP(VLOOKUP(A206,BOOKINGS!$A:$Q,7,FALSE),SETUP_RATES!$A:$H,8,FALSE),0))</f>
        <v/>
      </c>
      <c r="M206" s="38" t="str">
        <f t="shared" si="2"/>
        <v/>
      </c>
      <c r="N206" s="33" t="str">
        <f t="shared" si="3"/>
        <v/>
      </c>
    </row>
    <row r="207" ht="15.75" customHeight="1">
      <c r="B207" s="39"/>
      <c r="C207" s="39"/>
      <c r="E207" s="38"/>
      <c r="F207" s="38"/>
      <c r="G207" s="38"/>
      <c r="H207" s="38"/>
      <c r="I207" s="38"/>
      <c r="J207" s="38"/>
      <c r="K207" s="38" t="str">
        <f t="shared" si="1"/>
        <v/>
      </c>
      <c r="L207" s="38" t="str">
        <f>IF(A207="","",IFERROR(VLOOKUP(VLOOKUP(A207,BOOKINGS!$A:$Q,7,FALSE),SETUP_RATES!$A:$H,8,FALSE),0))</f>
        <v/>
      </c>
      <c r="M207" s="38" t="str">
        <f t="shared" si="2"/>
        <v/>
      </c>
      <c r="N207" s="33" t="str">
        <f t="shared" si="3"/>
        <v/>
      </c>
    </row>
    <row r="208" ht="15.75" customHeight="1">
      <c r="B208" s="39"/>
      <c r="C208" s="39"/>
      <c r="E208" s="38"/>
      <c r="F208" s="38"/>
      <c r="G208" s="38"/>
      <c r="H208" s="38"/>
      <c r="I208" s="38"/>
      <c r="J208" s="38"/>
      <c r="K208" s="38" t="str">
        <f t="shared" si="1"/>
        <v/>
      </c>
      <c r="L208" s="38" t="str">
        <f>IF(A208="","",IFERROR(VLOOKUP(VLOOKUP(A208,BOOKINGS!$A:$Q,7,FALSE),SETUP_RATES!$A:$H,8,FALSE),0))</f>
        <v/>
      </c>
      <c r="M208" s="38" t="str">
        <f t="shared" si="2"/>
        <v/>
      </c>
      <c r="N208" s="33" t="str">
        <f t="shared" si="3"/>
        <v/>
      </c>
    </row>
    <row r="209" ht="15.75" customHeight="1">
      <c r="B209" s="39"/>
      <c r="C209" s="39"/>
      <c r="E209" s="38"/>
      <c r="F209" s="38"/>
      <c r="G209" s="38"/>
      <c r="H209" s="38"/>
      <c r="I209" s="38"/>
      <c r="J209" s="38"/>
      <c r="K209" s="38" t="str">
        <f t="shared" si="1"/>
        <v/>
      </c>
      <c r="L209" s="38" t="str">
        <f>IF(A209="","",IFERROR(VLOOKUP(VLOOKUP(A209,BOOKINGS!$A:$Q,7,FALSE),SETUP_RATES!$A:$H,8,FALSE),0))</f>
        <v/>
      </c>
      <c r="M209" s="38" t="str">
        <f t="shared" si="2"/>
        <v/>
      </c>
      <c r="N209" s="33" t="str">
        <f t="shared" si="3"/>
        <v/>
      </c>
    </row>
    <row r="210" ht="15.75" customHeight="1">
      <c r="B210" s="39"/>
      <c r="C210" s="39"/>
      <c r="E210" s="38"/>
      <c r="F210" s="38"/>
      <c r="G210" s="38"/>
      <c r="H210" s="38"/>
      <c r="I210" s="38"/>
      <c r="J210" s="38"/>
      <c r="K210" s="38" t="str">
        <f t="shared" si="1"/>
        <v/>
      </c>
      <c r="L210" s="38" t="str">
        <f>IF(A210="","",IFERROR(VLOOKUP(VLOOKUP(A210,BOOKINGS!$A:$Q,7,FALSE),SETUP_RATES!$A:$H,8,FALSE),0))</f>
        <v/>
      </c>
      <c r="M210" s="38" t="str">
        <f t="shared" si="2"/>
        <v/>
      </c>
      <c r="N210" s="33" t="str">
        <f t="shared" si="3"/>
        <v/>
      </c>
    </row>
    <row r="211" ht="15.75" customHeight="1">
      <c r="B211" s="39"/>
      <c r="C211" s="39"/>
      <c r="E211" s="38"/>
      <c r="F211" s="38"/>
      <c r="G211" s="38"/>
      <c r="H211" s="38"/>
      <c r="I211" s="38"/>
      <c r="J211" s="38"/>
      <c r="K211" s="38" t="str">
        <f t="shared" si="1"/>
        <v/>
      </c>
      <c r="L211" s="38" t="str">
        <f>IF(A211="","",IFERROR(VLOOKUP(VLOOKUP(A211,BOOKINGS!$A:$Q,7,FALSE),SETUP_RATES!$A:$H,8,FALSE),0))</f>
        <v/>
      </c>
      <c r="M211" s="38" t="str">
        <f t="shared" si="2"/>
        <v/>
      </c>
      <c r="N211" s="33" t="str">
        <f t="shared" si="3"/>
        <v/>
      </c>
    </row>
    <row r="212" ht="15.75" customHeight="1">
      <c r="B212" s="39"/>
      <c r="C212" s="39"/>
      <c r="E212" s="38"/>
      <c r="F212" s="38"/>
      <c r="G212" s="38"/>
      <c r="H212" s="38"/>
      <c r="I212" s="38"/>
      <c r="J212" s="38"/>
      <c r="K212" s="38" t="str">
        <f t="shared" si="1"/>
        <v/>
      </c>
      <c r="L212" s="38" t="str">
        <f>IF(A212="","",IFERROR(VLOOKUP(VLOOKUP(A212,BOOKINGS!$A:$Q,7,FALSE),SETUP_RATES!$A:$H,8,FALSE),0))</f>
        <v/>
      </c>
      <c r="M212" s="38" t="str">
        <f t="shared" si="2"/>
        <v/>
      </c>
      <c r="N212" s="33" t="str">
        <f t="shared" si="3"/>
        <v/>
      </c>
    </row>
    <row r="213" ht="15.75" customHeight="1">
      <c r="B213" s="39"/>
      <c r="C213" s="39"/>
      <c r="E213" s="38"/>
      <c r="F213" s="38"/>
      <c r="G213" s="38"/>
      <c r="H213" s="38"/>
      <c r="I213" s="38"/>
      <c r="J213" s="38"/>
      <c r="K213" s="38" t="str">
        <f t="shared" si="1"/>
        <v/>
      </c>
      <c r="L213" s="38" t="str">
        <f>IF(A213="","",IFERROR(VLOOKUP(VLOOKUP(A213,BOOKINGS!$A:$Q,7,FALSE),SETUP_RATES!$A:$H,8,FALSE),0))</f>
        <v/>
      </c>
      <c r="M213" s="38" t="str">
        <f t="shared" si="2"/>
        <v/>
      </c>
      <c r="N213" s="33" t="str">
        <f t="shared" si="3"/>
        <v/>
      </c>
    </row>
    <row r="214" ht="15.75" customHeight="1">
      <c r="B214" s="39"/>
      <c r="C214" s="39"/>
      <c r="E214" s="38"/>
      <c r="F214" s="38"/>
      <c r="G214" s="38"/>
      <c r="H214" s="38"/>
      <c r="I214" s="38"/>
      <c r="J214" s="38"/>
      <c r="K214" s="38" t="str">
        <f t="shared" si="1"/>
        <v/>
      </c>
      <c r="L214" s="38" t="str">
        <f>IF(A214="","",IFERROR(VLOOKUP(VLOOKUP(A214,BOOKINGS!$A:$Q,7,FALSE),SETUP_RATES!$A:$H,8,FALSE),0))</f>
        <v/>
      </c>
      <c r="M214" s="38" t="str">
        <f t="shared" si="2"/>
        <v/>
      </c>
      <c r="N214" s="33" t="str">
        <f t="shared" si="3"/>
        <v/>
      </c>
    </row>
    <row r="215" ht="15.75" customHeight="1">
      <c r="B215" s="39"/>
      <c r="C215" s="39"/>
      <c r="E215" s="38"/>
      <c r="F215" s="38"/>
      <c r="G215" s="38"/>
      <c r="H215" s="38"/>
      <c r="I215" s="38"/>
      <c r="J215" s="38"/>
      <c r="K215" s="38" t="str">
        <f t="shared" si="1"/>
        <v/>
      </c>
      <c r="L215" s="38" t="str">
        <f>IF(A215="","",IFERROR(VLOOKUP(VLOOKUP(A215,BOOKINGS!$A:$Q,7,FALSE),SETUP_RATES!$A:$H,8,FALSE),0))</f>
        <v/>
      </c>
      <c r="M215" s="38" t="str">
        <f t="shared" si="2"/>
        <v/>
      </c>
      <c r="N215" s="33" t="str">
        <f t="shared" si="3"/>
        <v/>
      </c>
    </row>
    <row r="216" ht="15.75" customHeight="1">
      <c r="B216" s="39"/>
      <c r="C216" s="39"/>
      <c r="E216" s="38"/>
      <c r="F216" s="38"/>
      <c r="G216" s="38"/>
      <c r="H216" s="38"/>
      <c r="I216" s="38"/>
      <c r="J216" s="38"/>
      <c r="K216" s="38" t="str">
        <f t="shared" si="1"/>
        <v/>
      </c>
      <c r="L216" s="38" t="str">
        <f>IF(A216="","",IFERROR(VLOOKUP(VLOOKUP(A216,BOOKINGS!$A:$Q,7,FALSE),SETUP_RATES!$A:$H,8,FALSE),0))</f>
        <v/>
      </c>
      <c r="M216" s="38" t="str">
        <f t="shared" si="2"/>
        <v/>
      </c>
      <c r="N216" s="33" t="str">
        <f t="shared" si="3"/>
        <v/>
      </c>
    </row>
    <row r="217" ht="15.75" customHeight="1">
      <c r="B217" s="39"/>
      <c r="C217" s="39"/>
      <c r="E217" s="38"/>
      <c r="F217" s="38"/>
      <c r="G217" s="38"/>
      <c r="H217" s="38"/>
      <c r="I217" s="38"/>
      <c r="J217" s="38"/>
      <c r="K217" s="38" t="str">
        <f t="shared" si="1"/>
        <v/>
      </c>
      <c r="L217" s="38" t="str">
        <f>IF(A217="","",IFERROR(VLOOKUP(VLOOKUP(A217,BOOKINGS!$A:$Q,7,FALSE),SETUP_RATES!$A:$H,8,FALSE),0))</f>
        <v/>
      </c>
      <c r="M217" s="38" t="str">
        <f t="shared" si="2"/>
        <v/>
      </c>
      <c r="N217" s="33" t="str">
        <f t="shared" si="3"/>
        <v/>
      </c>
    </row>
    <row r="218" ht="15.75" customHeight="1">
      <c r="B218" s="39"/>
      <c r="C218" s="39"/>
      <c r="E218" s="38"/>
      <c r="F218" s="38"/>
      <c r="G218" s="38"/>
      <c r="H218" s="38"/>
      <c r="I218" s="38"/>
      <c r="J218" s="38"/>
      <c r="K218" s="38" t="str">
        <f t="shared" si="1"/>
        <v/>
      </c>
      <c r="L218" s="38" t="str">
        <f>IF(A218="","",IFERROR(VLOOKUP(VLOOKUP(A218,BOOKINGS!$A:$Q,7,FALSE),SETUP_RATES!$A:$H,8,FALSE),0))</f>
        <v/>
      </c>
      <c r="M218" s="38" t="str">
        <f t="shared" si="2"/>
        <v/>
      </c>
      <c r="N218" s="33" t="str">
        <f t="shared" si="3"/>
        <v/>
      </c>
    </row>
    <row r="219" ht="15.75" customHeight="1">
      <c r="B219" s="39"/>
      <c r="C219" s="39"/>
      <c r="E219" s="38"/>
      <c r="F219" s="38"/>
      <c r="G219" s="38"/>
      <c r="H219" s="38"/>
      <c r="I219" s="38"/>
      <c r="J219" s="38"/>
      <c r="K219" s="38" t="str">
        <f t="shared" si="1"/>
        <v/>
      </c>
      <c r="L219" s="38" t="str">
        <f>IF(A219="","",IFERROR(VLOOKUP(VLOOKUP(A219,BOOKINGS!$A:$Q,7,FALSE),SETUP_RATES!$A:$H,8,FALSE),0))</f>
        <v/>
      </c>
      <c r="M219" s="38" t="str">
        <f t="shared" si="2"/>
        <v/>
      </c>
      <c r="N219" s="33" t="str">
        <f t="shared" si="3"/>
        <v/>
      </c>
    </row>
    <row r="220" ht="15.75" customHeight="1">
      <c r="B220" s="39"/>
      <c r="C220" s="39"/>
      <c r="E220" s="38"/>
      <c r="F220" s="38"/>
      <c r="G220" s="38"/>
      <c r="H220" s="38"/>
      <c r="I220" s="38"/>
      <c r="J220" s="38"/>
      <c r="K220" s="38" t="str">
        <f t="shared" si="1"/>
        <v/>
      </c>
      <c r="L220" s="38" t="str">
        <f>IF(A220="","",IFERROR(VLOOKUP(VLOOKUP(A220,BOOKINGS!$A:$Q,7,FALSE),SETUP_RATES!$A:$H,8,FALSE),0))</f>
        <v/>
      </c>
      <c r="M220" s="38" t="str">
        <f t="shared" si="2"/>
        <v/>
      </c>
      <c r="N220" s="33" t="str">
        <f t="shared" si="3"/>
        <v/>
      </c>
    </row>
    <row r="221" ht="15.75" customHeight="1">
      <c r="B221" s="39"/>
      <c r="C221" s="39"/>
      <c r="E221" s="38"/>
      <c r="F221" s="38"/>
      <c r="G221" s="38"/>
      <c r="H221" s="38"/>
      <c r="I221" s="38"/>
      <c r="J221" s="38"/>
      <c r="K221" s="38" t="str">
        <f t="shared" si="1"/>
        <v/>
      </c>
      <c r="L221" s="38" t="str">
        <f>IF(A221="","",IFERROR(VLOOKUP(VLOOKUP(A221,BOOKINGS!$A:$Q,7,FALSE),SETUP_RATES!$A:$H,8,FALSE),0))</f>
        <v/>
      </c>
      <c r="M221" s="38" t="str">
        <f t="shared" si="2"/>
        <v/>
      </c>
      <c r="N221" s="33" t="str">
        <f t="shared" si="3"/>
        <v/>
      </c>
    </row>
    <row r="222" ht="15.75" customHeight="1">
      <c r="B222" s="39"/>
      <c r="C222" s="39"/>
      <c r="E222" s="38"/>
      <c r="F222" s="38"/>
      <c r="G222" s="38"/>
      <c r="H222" s="38"/>
      <c r="I222" s="38"/>
      <c r="J222" s="38"/>
      <c r="K222" s="38" t="str">
        <f t="shared" si="1"/>
        <v/>
      </c>
      <c r="L222" s="38" t="str">
        <f>IF(A222="","",IFERROR(VLOOKUP(VLOOKUP(A222,BOOKINGS!$A:$Q,7,FALSE),SETUP_RATES!$A:$H,8,FALSE),0))</f>
        <v/>
      </c>
      <c r="M222" s="38" t="str">
        <f t="shared" si="2"/>
        <v/>
      </c>
      <c r="N222" s="33" t="str">
        <f t="shared" si="3"/>
        <v/>
      </c>
    </row>
    <row r="223" ht="15.75" customHeight="1">
      <c r="B223" s="39"/>
      <c r="C223" s="39"/>
      <c r="E223" s="38"/>
      <c r="F223" s="38"/>
      <c r="G223" s="38"/>
      <c r="H223" s="38"/>
      <c r="I223" s="38"/>
      <c r="J223" s="38"/>
      <c r="K223" s="38" t="str">
        <f t="shared" si="1"/>
        <v/>
      </c>
      <c r="L223" s="38" t="str">
        <f>IF(A223="","",IFERROR(VLOOKUP(VLOOKUP(A223,BOOKINGS!$A:$Q,7,FALSE),SETUP_RATES!$A:$H,8,FALSE),0))</f>
        <v/>
      </c>
      <c r="M223" s="38" t="str">
        <f t="shared" si="2"/>
        <v/>
      </c>
      <c r="N223" s="33" t="str">
        <f t="shared" si="3"/>
        <v/>
      </c>
    </row>
    <row r="224" ht="15.75" customHeight="1">
      <c r="B224" s="39"/>
      <c r="C224" s="39"/>
      <c r="E224" s="38"/>
      <c r="F224" s="38"/>
      <c r="G224" s="38"/>
      <c r="H224" s="38"/>
      <c r="I224" s="38"/>
      <c r="J224" s="38"/>
      <c r="K224" s="38" t="str">
        <f t="shared" si="1"/>
        <v/>
      </c>
      <c r="L224" s="38" t="str">
        <f>IF(A224="","",IFERROR(VLOOKUP(VLOOKUP(A224,BOOKINGS!$A:$Q,7,FALSE),SETUP_RATES!$A:$H,8,FALSE),0))</f>
        <v/>
      </c>
      <c r="M224" s="38" t="str">
        <f t="shared" si="2"/>
        <v/>
      </c>
      <c r="N224" s="33" t="str">
        <f t="shared" si="3"/>
        <v/>
      </c>
    </row>
    <row r="225" ht="15.75" customHeight="1">
      <c r="B225" s="39"/>
      <c r="C225" s="39"/>
      <c r="E225" s="38"/>
      <c r="F225" s="38"/>
      <c r="G225" s="38"/>
      <c r="H225" s="38"/>
      <c r="I225" s="38"/>
      <c r="J225" s="38"/>
      <c r="K225" s="38" t="str">
        <f t="shared" si="1"/>
        <v/>
      </c>
      <c r="L225" s="38" t="str">
        <f>IF(A225="","",IFERROR(VLOOKUP(VLOOKUP(A225,BOOKINGS!$A:$Q,7,FALSE),SETUP_RATES!$A:$H,8,FALSE),0))</f>
        <v/>
      </c>
      <c r="M225" s="38" t="str">
        <f t="shared" si="2"/>
        <v/>
      </c>
      <c r="N225" s="33" t="str">
        <f t="shared" si="3"/>
        <v/>
      </c>
    </row>
    <row r="226" ht="15.75" customHeight="1">
      <c r="B226" s="39"/>
      <c r="C226" s="39"/>
      <c r="E226" s="38"/>
      <c r="F226" s="38"/>
      <c r="G226" s="38"/>
      <c r="H226" s="38"/>
      <c r="I226" s="38"/>
      <c r="J226" s="38"/>
      <c r="K226" s="38" t="str">
        <f t="shared" si="1"/>
        <v/>
      </c>
      <c r="L226" s="38" t="str">
        <f>IF(A226="","",IFERROR(VLOOKUP(VLOOKUP(A226,BOOKINGS!$A:$Q,7,FALSE),SETUP_RATES!$A:$H,8,FALSE),0))</f>
        <v/>
      </c>
      <c r="M226" s="38" t="str">
        <f t="shared" si="2"/>
        <v/>
      </c>
      <c r="N226" s="33" t="str">
        <f t="shared" si="3"/>
        <v/>
      </c>
    </row>
    <row r="227" ht="15.75" customHeight="1">
      <c r="B227" s="39"/>
      <c r="C227" s="39"/>
      <c r="E227" s="38"/>
      <c r="F227" s="38"/>
      <c r="G227" s="38"/>
      <c r="H227" s="38"/>
      <c r="I227" s="38"/>
      <c r="J227" s="38"/>
      <c r="K227" s="38" t="str">
        <f t="shared" si="1"/>
        <v/>
      </c>
      <c r="L227" s="38" t="str">
        <f>IF(A227="","",IFERROR(VLOOKUP(VLOOKUP(A227,BOOKINGS!$A:$Q,7,FALSE),SETUP_RATES!$A:$H,8,FALSE),0))</f>
        <v/>
      </c>
      <c r="M227" s="38" t="str">
        <f t="shared" si="2"/>
        <v/>
      </c>
      <c r="N227" s="33" t="str">
        <f t="shared" si="3"/>
        <v/>
      </c>
    </row>
    <row r="228" ht="15.75" customHeight="1">
      <c r="B228" s="39"/>
      <c r="C228" s="39"/>
      <c r="E228" s="38"/>
      <c r="F228" s="38"/>
      <c r="G228" s="38"/>
      <c r="H228" s="38"/>
      <c r="I228" s="38"/>
      <c r="J228" s="38"/>
      <c r="K228" s="38" t="str">
        <f t="shared" si="1"/>
        <v/>
      </c>
      <c r="L228" s="38" t="str">
        <f>IF(A228="","",IFERROR(VLOOKUP(VLOOKUP(A228,BOOKINGS!$A:$Q,7,FALSE),SETUP_RATES!$A:$H,8,FALSE),0))</f>
        <v/>
      </c>
      <c r="M228" s="38" t="str">
        <f t="shared" si="2"/>
        <v/>
      </c>
      <c r="N228" s="33" t="str">
        <f t="shared" si="3"/>
        <v/>
      </c>
    </row>
    <row r="229" ht="15.75" customHeight="1">
      <c r="B229" s="39"/>
      <c r="C229" s="39"/>
      <c r="E229" s="38"/>
      <c r="F229" s="38"/>
      <c r="G229" s="38"/>
      <c r="H229" s="38"/>
      <c r="I229" s="38"/>
      <c r="J229" s="38"/>
      <c r="K229" s="38" t="str">
        <f t="shared" si="1"/>
        <v/>
      </c>
      <c r="L229" s="38" t="str">
        <f>IF(A229="","",IFERROR(VLOOKUP(VLOOKUP(A229,BOOKINGS!$A:$Q,7,FALSE),SETUP_RATES!$A:$H,8,FALSE),0))</f>
        <v/>
      </c>
      <c r="M229" s="38" t="str">
        <f t="shared" si="2"/>
        <v/>
      </c>
      <c r="N229" s="33" t="str">
        <f t="shared" si="3"/>
        <v/>
      </c>
    </row>
    <row r="230" ht="15.75" customHeight="1">
      <c r="B230" s="39"/>
      <c r="C230" s="39"/>
      <c r="E230" s="38"/>
      <c r="F230" s="38"/>
      <c r="G230" s="38"/>
      <c r="H230" s="38"/>
      <c r="I230" s="38"/>
      <c r="J230" s="38"/>
      <c r="K230" s="38" t="str">
        <f t="shared" si="1"/>
        <v/>
      </c>
      <c r="L230" s="38" t="str">
        <f>IF(A230="","",IFERROR(VLOOKUP(VLOOKUP(A230,BOOKINGS!$A:$Q,7,FALSE),SETUP_RATES!$A:$H,8,FALSE),0))</f>
        <v/>
      </c>
      <c r="M230" s="38" t="str">
        <f t="shared" si="2"/>
        <v/>
      </c>
      <c r="N230" s="33" t="str">
        <f t="shared" si="3"/>
        <v/>
      </c>
    </row>
    <row r="231" ht="15.75" customHeight="1">
      <c r="B231" s="39"/>
      <c r="C231" s="39"/>
      <c r="E231" s="38"/>
      <c r="F231" s="38"/>
      <c r="G231" s="38"/>
      <c r="H231" s="38"/>
      <c r="I231" s="38"/>
      <c r="J231" s="38"/>
      <c r="K231" s="38" t="str">
        <f t="shared" si="1"/>
        <v/>
      </c>
      <c r="L231" s="38" t="str">
        <f>IF(A231="","",IFERROR(VLOOKUP(VLOOKUP(A231,BOOKINGS!$A:$Q,7,FALSE),SETUP_RATES!$A:$H,8,FALSE),0))</f>
        <v/>
      </c>
      <c r="M231" s="38" t="str">
        <f t="shared" si="2"/>
        <v/>
      </c>
      <c r="N231" s="33" t="str">
        <f t="shared" si="3"/>
        <v/>
      </c>
    </row>
    <row r="232" ht="15.75" customHeight="1">
      <c r="B232" s="39"/>
      <c r="C232" s="39"/>
      <c r="E232" s="38"/>
      <c r="F232" s="38"/>
      <c r="G232" s="38"/>
      <c r="H232" s="38"/>
      <c r="I232" s="38"/>
      <c r="J232" s="38"/>
      <c r="K232" s="38" t="str">
        <f t="shared" si="1"/>
        <v/>
      </c>
      <c r="L232" s="38" t="str">
        <f>IF(A232="","",IFERROR(VLOOKUP(VLOOKUP(A232,BOOKINGS!$A:$Q,7,FALSE),SETUP_RATES!$A:$H,8,FALSE),0))</f>
        <v/>
      </c>
      <c r="M232" s="38" t="str">
        <f t="shared" si="2"/>
        <v/>
      </c>
      <c r="N232" s="33" t="str">
        <f t="shared" si="3"/>
        <v/>
      </c>
    </row>
    <row r="233" ht="15.75" customHeight="1">
      <c r="B233" s="39"/>
      <c r="C233" s="39"/>
      <c r="E233" s="38"/>
      <c r="F233" s="38"/>
      <c r="G233" s="38"/>
      <c r="H233" s="38"/>
      <c r="I233" s="38"/>
      <c r="J233" s="38"/>
      <c r="K233" s="38" t="str">
        <f t="shared" si="1"/>
        <v/>
      </c>
      <c r="L233" s="38" t="str">
        <f>IF(A233="","",IFERROR(VLOOKUP(VLOOKUP(A233,BOOKINGS!$A:$Q,7,FALSE),SETUP_RATES!$A:$H,8,FALSE),0))</f>
        <v/>
      </c>
      <c r="M233" s="38" t="str">
        <f t="shared" si="2"/>
        <v/>
      </c>
      <c r="N233" s="33" t="str">
        <f t="shared" si="3"/>
        <v/>
      </c>
    </row>
    <row r="234" ht="15.75" customHeight="1">
      <c r="B234" s="39"/>
      <c r="C234" s="39"/>
      <c r="E234" s="38"/>
      <c r="F234" s="38"/>
      <c r="G234" s="38"/>
      <c r="H234" s="38"/>
      <c r="I234" s="38"/>
      <c r="J234" s="38"/>
      <c r="K234" s="38" t="str">
        <f t="shared" si="1"/>
        <v/>
      </c>
      <c r="L234" s="38" t="str">
        <f>IF(A234="","",IFERROR(VLOOKUP(VLOOKUP(A234,BOOKINGS!$A:$Q,7,FALSE),SETUP_RATES!$A:$H,8,FALSE),0))</f>
        <v/>
      </c>
      <c r="M234" s="38" t="str">
        <f t="shared" si="2"/>
        <v/>
      </c>
      <c r="N234" s="33" t="str">
        <f t="shared" si="3"/>
        <v/>
      </c>
    </row>
    <row r="235" ht="15.75" customHeight="1">
      <c r="B235" s="39"/>
      <c r="C235" s="39"/>
      <c r="E235" s="38"/>
      <c r="F235" s="38"/>
      <c r="G235" s="38"/>
      <c r="H235" s="38"/>
      <c r="I235" s="38"/>
      <c r="J235" s="38"/>
      <c r="K235" s="38" t="str">
        <f t="shared" si="1"/>
        <v/>
      </c>
      <c r="L235" s="38" t="str">
        <f>IF(A235="","",IFERROR(VLOOKUP(VLOOKUP(A235,BOOKINGS!$A:$Q,7,FALSE),SETUP_RATES!$A:$H,8,FALSE),0))</f>
        <v/>
      </c>
      <c r="M235" s="38" t="str">
        <f t="shared" si="2"/>
        <v/>
      </c>
      <c r="N235" s="33" t="str">
        <f t="shared" si="3"/>
        <v/>
      </c>
    </row>
    <row r="236" ht="15.75" customHeight="1">
      <c r="B236" s="39"/>
      <c r="C236" s="39"/>
      <c r="E236" s="38"/>
      <c r="F236" s="38"/>
      <c r="G236" s="38"/>
      <c r="H236" s="38"/>
      <c r="I236" s="38"/>
      <c r="J236" s="38"/>
      <c r="K236" s="38" t="str">
        <f t="shared" si="1"/>
        <v/>
      </c>
      <c r="L236" s="38" t="str">
        <f>IF(A236="","",IFERROR(VLOOKUP(VLOOKUP(A236,BOOKINGS!$A:$Q,7,FALSE),SETUP_RATES!$A:$H,8,FALSE),0))</f>
        <v/>
      </c>
      <c r="M236" s="38" t="str">
        <f t="shared" si="2"/>
        <v/>
      </c>
      <c r="N236" s="33" t="str">
        <f t="shared" si="3"/>
        <v/>
      </c>
    </row>
    <row r="237" ht="15.75" customHeight="1">
      <c r="B237" s="39"/>
      <c r="C237" s="39"/>
      <c r="E237" s="38"/>
      <c r="F237" s="38"/>
      <c r="G237" s="38"/>
      <c r="H237" s="38"/>
      <c r="I237" s="38"/>
      <c r="J237" s="38"/>
      <c r="K237" s="38" t="str">
        <f t="shared" si="1"/>
        <v/>
      </c>
      <c r="L237" s="38" t="str">
        <f>IF(A237="","",IFERROR(VLOOKUP(VLOOKUP(A237,BOOKINGS!$A:$Q,7,FALSE),SETUP_RATES!$A:$H,8,FALSE),0))</f>
        <v/>
      </c>
      <c r="M237" s="38" t="str">
        <f t="shared" si="2"/>
        <v/>
      </c>
      <c r="N237" s="33" t="str">
        <f t="shared" si="3"/>
        <v/>
      </c>
    </row>
    <row r="238" ht="15.75" customHeight="1">
      <c r="B238" s="39"/>
      <c r="C238" s="39"/>
      <c r="E238" s="38"/>
      <c r="F238" s="38"/>
      <c r="G238" s="38"/>
      <c r="H238" s="38"/>
      <c r="I238" s="38"/>
      <c r="J238" s="38"/>
      <c r="K238" s="38" t="str">
        <f t="shared" si="1"/>
        <v/>
      </c>
      <c r="L238" s="38" t="str">
        <f>IF(A238="","",IFERROR(VLOOKUP(VLOOKUP(A238,BOOKINGS!$A:$Q,7,FALSE),SETUP_RATES!$A:$H,8,FALSE),0))</f>
        <v/>
      </c>
      <c r="M238" s="38" t="str">
        <f t="shared" si="2"/>
        <v/>
      </c>
      <c r="N238" s="33" t="str">
        <f t="shared" si="3"/>
        <v/>
      </c>
    </row>
    <row r="239" ht="15.75" customHeight="1">
      <c r="B239" s="39"/>
      <c r="C239" s="39"/>
      <c r="E239" s="38"/>
      <c r="F239" s="38"/>
      <c r="G239" s="38"/>
      <c r="H239" s="38"/>
      <c r="I239" s="38"/>
      <c r="J239" s="38"/>
      <c r="K239" s="38" t="str">
        <f t="shared" si="1"/>
        <v/>
      </c>
      <c r="L239" s="38" t="str">
        <f>IF(A239="","",IFERROR(VLOOKUP(VLOOKUP(A239,BOOKINGS!$A:$Q,7,FALSE),SETUP_RATES!$A:$H,8,FALSE),0))</f>
        <v/>
      </c>
      <c r="M239" s="38" t="str">
        <f t="shared" si="2"/>
        <v/>
      </c>
      <c r="N239" s="33" t="str">
        <f t="shared" si="3"/>
        <v/>
      </c>
    </row>
    <row r="240" ht="15.75" customHeight="1">
      <c r="B240" s="39"/>
      <c r="C240" s="39"/>
      <c r="E240" s="38"/>
      <c r="F240" s="38"/>
      <c r="G240" s="38"/>
      <c r="H240" s="38"/>
      <c r="I240" s="38"/>
      <c r="J240" s="38"/>
      <c r="K240" s="38" t="str">
        <f t="shared" si="1"/>
        <v/>
      </c>
      <c r="L240" s="38" t="str">
        <f>IF(A240="","",IFERROR(VLOOKUP(VLOOKUP(A240,BOOKINGS!$A:$Q,7,FALSE),SETUP_RATES!$A:$H,8,FALSE),0))</f>
        <v/>
      </c>
      <c r="M240" s="38" t="str">
        <f t="shared" si="2"/>
        <v/>
      </c>
      <c r="N240" s="33" t="str">
        <f t="shared" si="3"/>
        <v/>
      </c>
    </row>
    <row r="241" ht="15.75" customHeight="1">
      <c r="B241" s="39"/>
      <c r="C241" s="39"/>
      <c r="E241" s="38"/>
      <c r="F241" s="38"/>
      <c r="G241" s="38"/>
      <c r="H241" s="38"/>
      <c r="I241" s="38"/>
      <c r="J241" s="38"/>
      <c r="K241" s="38" t="str">
        <f t="shared" si="1"/>
        <v/>
      </c>
      <c r="L241" s="38" t="str">
        <f>IF(A241="","",IFERROR(VLOOKUP(VLOOKUP(A241,BOOKINGS!$A:$Q,7,FALSE),SETUP_RATES!$A:$H,8,FALSE),0))</f>
        <v/>
      </c>
      <c r="M241" s="38" t="str">
        <f t="shared" si="2"/>
        <v/>
      </c>
      <c r="N241" s="33" t="str">
        <f t="shared" si="3"/>
        <v/>
      </c>
    </row>
    <row r="242" ht="15.75" customHeight="1">
      <c r="B242" s="39"/>
      <c r="C242" s="39"/>
      <c r="E242" s="38"/>
      <c r="F242" s="38"/>
      <c r="G242" s="38"/>
      <c r="H242" s="38"/>
      <c r="I242" s="38"/>
      <c r="J242" s="38"/>
      <c r="K242" s="38" t="str">
        <f t="shared" si="1"/>
        <v/>
      </c>
      <c r="L242" s="38" t="str">
        <f>IF(A242="","",IFERROR(VLOOKUP(VLOOKUP(A242,BOOKINGS!$A:$Q,7,FALSE),SETUP_RATES!$A:$H,8,FALSE),0))</f>
        <v/>
      </c>
      <c r="M242" s="38" t="str">
        <f t="shared" si="2"/>
        <v/>
      </c>
      <c r="N242" s="33" t="str">
        <f t="shared" si="3"/>
        <v/>
      </c>
    </row>
    <row r="243" ht="15.75" customHeight="1">
      <c r="B243" s="39"/>
      <c r="C243" s="39"/>
      <c r="E243" s="38"/>
      <c r="F243" s="38"/>
      <c r="G243" s="38"/>
      <c r="H243" s="38"/>
      <c r="I243" s="38"/>
      <c r="J243" s="38"/>
      <c r="K243" s="38" t="str">
        <f t="shared" si="1"/>
        <v/>
      </c>
      <c r="L243" s="38" t="str">
        <f>IF(A243="","",IFERROR(VLOOKUP(VLOOKUP(A243,BOOKINGS!$A:$Q,7,FALSE),SETUP_RATES!$A:$H,8,FALSE),0))</f>
        <v/>
      </c>
      <c r="M243" s="38" t="str">
        <f t="shared" si="2"/>
        <v/>
      </c>
      <c r="N243" s="33" t="str">
        <f t="shared" si="3"/>
        <v/>
      </c>
    </row>
    <row r="244" ht="15.75" customHeight="1">
      <c r="B244" s="39"/>
      <c r="C244" s="39"/>
      <c r="E244" s="38"/>
      <c r="F244" s="38"/>
      <c r="G244" s="38"/>
      <c r="H244" s="38"/>
      <c r="I244" s="38"/>
      <c r="J244" s="38"/>
      <c r="K244" s="38" t="str">
        <f t="shared" si="1"/>
        <v/>
      </c>
      <c r="L244" s="38" t="str">
        <f>IF(A244="","",IFERROR(VLOOKUP(VLOOKUP(A244,BOOKINGS!$A:$Q,7,FALSE),SETUP_RATES!$A:$H,8,FALSE),0))</f>
        <v/>
      </c>
      <c r="M244" s="38" t="str">
        <f t="shared" si="2"/>
        <v/>
      </c>
      <c r="N244" s="33" t="str">
        <f t="shared" si="3"/>
        <v/>
      </c>
    </row>
    <row r="245" ht="15.75" customHeight="1">
      <c r="B245" s="39"/>
      <c r="C245" s="39"/>
      <c r="E245" s="38"/>
      <c r="F245" s="38"/>
      <c r="G245" s="38"/>
      <c r="H245" s="38"/>
      <c r="I245" s="38"/>
      <c r="J245" s="38"/>
      <c r="K245" s="38" t="str">
        <f t="shared" si="1"/>
        <v/>
      </c>
      <c r="L245" s="38" t="str">
        <f>IF(A245="","",IFERROR(VLOOKUP(VLOOKUP(A245,BOOKINGS!$A:$Q,7,FALSE),SETUP_RATES!$A:$H,8,FALSE),0))</f>
        <v/>
      </c>
      <c r="M245" s="38" t="str">
        <f t="shared" si="2"/>
        <v/>
      </c>
      <c r="N245" s="33" t="str">
        <f t="shared" si="3"/>
        <v/>
      </c>
    </row>
    <row r="246" ht="15.75" customHeight="1">
      <c r="B246" s="39"/>
      <c r="C246" s="39"/>
      <c r="E246" s="38"/>
      <c r="F246" s="38"/>
      <c r="G246" s="38"/>
      <c r="H246" s="38"/>
      <c r="I246" s="38"/>
      <c r="J246" s="38"/>
      <c r="K246" s="38" t="str">
        <f t="shared" si="1"/>
        <v/>
      </c>
      <c r="L246" s="38" t="str">
        <f>IF(A246="","",IFERROR(VLOOKUP(VLOOKUP(A246,BOOKINGS!$A:$Q,7,FALSE),SETUP_RATES!$A:$H,8,FALSE),0))</f>
        <v/>
      </c>
      <c r="M246" s="38" t="str">
        <f t="shared" si="2"/>
        <v/>
      </c>
      <c r="N246" s="33" t="str">
        <f t="shared" si="3"/>
        <v/>
      </c>
    </row>
    <row r="247" ht="15.75" customHeight="1">
      <c r="B247" s="39"/>
      <c r="C247" s="39"/>
      <c r="E247" s="38"/>
      <c r="F247" s="38"/>
      <c r="G247" s="38"/>
      <c r="H247" s="38"/>
      <c r="I247" s="38"/>
      <c r="J247" s="38"/>
      <c r="K247" s="38" t="str">
        <f t="shared" si="1"/>
        <v/>
      </c>
      <c r="L247" s="38" t="str">
        <f>IF(A247="","",IFERROR(VLOOKUP(VLOOKUP(A247,BOOKINGS!$A:$Q,7,FALSE),SETUP_RATES!$A:$H,8,FALSE),0))</f>
        <v/>
      </c>
      <c r="M247" s="38" t="str">
        <f t="shared" si="2"/>
        <v/>
      </c>
      <c r="N247" s="33" t="str">
        <f t="shared" si="3"/>
        <v/>
      </c>
    </row>
    <row r="248" ht="15.75" customHeight="1">
      <c r="B248" s="39"/>
      <c r="C248" s="39"/>
      <c r="E248" s="38"/>
      <c r="F248" s="38"/>
      <c r="G248" s="38"/>
      <c r="H248" s="38"/>
      <c r="I248" s="38"/>
      <c r="J248" s="38"/>
      <c r="K248" s="38" t="str">
        <f t="shared" si="1"/>
        <v/>
      </c>
      <c r="L248" s="38" t="str">
        <f>IF(A248="","",IFERROR(VLOOKUP(VLOOKUP(A248,BOOKINGS!$A:$Q,7,FALSE),SETUP_RATES!$A:$H,8,FALSE),0))</f>
        <v/>
      </c>
      <c r="M248" s="38" t="str">
        <f t="shared" si="2"/>
        <v/>
      </c>
      <c r="N248" s="33" t="str">
        <f t="shared" si="3"/>
        <v/>
      </c>
    </row>
    <row r="249" ht="15.75" customHeight="1">
      <c r="B249" s="39"/>
      <c r="C249" s="39"/>
      <c r="E249" s="38"/>
      <c r="F249" s="38"/>
      <c r="G249" s="38"/>
      <c r="H249" s="38"/>
      <c r="I249" s="38"/>
      <c r="J249" s="38"/>
      <c r="K249" s="38" t="str">
        <f t="shared" si="1"/>
        <v/>
      </c>
      <c r="L249" s="38" t="str">
        <f>IF(A249="","",IFERROR(VLOOKUP(VLOOKUP(A249,BOOKINGS!$A:$Q,7,FALSE),SETUP_RATES!$A:$H,8,FALSE),0))</f>
        <v/>
      </c>
      <c r="M249" s="38" t="str">
        <f t="shared" si="2"/>
        <v/>
      </c>
      <c r="N249" s="33" t="str">
        <f t="shared" si="3"/>
        <v/>
      </c>
    </row>
    <row r="250" ht="15.75" customHeight="1">
      <c r="B250" s="39"/>
      <c r="C250" s="39"/>
      <c r="E250" s="38"/>
      <c r="F250" s="38"/>
      <c r="G250" s="38"/>
      <c r="H250" s="38"/>
      <c r="I250" s="38"/>
      <c r="J250" s="38"/>
      <c r="K250" s="38" t="str">
        <f t="shared" si="1"/>
        <v/>
      </c>
      <c r="L250" s="38" t="str">
        <f>IF(A250="","",IFERROR(VLOOKUP(VLOOKUP(A250,BOOKINGS!$A:$Q,7,FALSE),SETUP_RATES!$A:$H,8,FALSE),0))</f>
        <v/>
      </c>
      <c r="M250" s="38" t="str">
        <f t="shared" si="2"/>
        <v/>
      </c>
      <c r="N250" s="33" t="str">
        <f t="shared" si="3"/>
        <v/>
      </c>
    </row>
    <row r="251" ht="15.75" customHeight="1">
      <c r="B251" s="39"/>
      <c r="C251" s="39"/>
      <c r="E251" s="38"/>
      <c r="F251" s="38"/>
      <c r="G251" s="38"/>
      <c r="H251" s="38"/>
      <c r="I251" s="38"/>
      <c r="J251" s="38"/>
      <c r="K251" s="38" t="str">
        <f t="shared" si="1"/>
        <v/>
      </c>
      <c r="L251" s="38" t="str">
        <f>IF(A251="","",IFERROR(VLOOKUP(VLOOKUP(A251,BOOKINGS!$A:$Q,7,FALSE),SETUP_RATES!$A:$H,8,FALSE),0))</f>
        <v/>
      </c>
      <c r="M251" s="38" t="str">
        <f t="shared" si="2"/>
        <v/>
      </c>
      <c r="N251" s="33" t="str">
        <f t="shared" si="3"/>
        <v/>
      </c>
    </row>
    <row r="252" ht="15.75" customHeight="1">
      <c r="B252" s="39"/>
      <c r="C252" s="39"/>
      <c r="E252" s="38"/>
      <c r="F252" s="38"/>
      <c r="G252" s="38"/>
      <c r="H252" s="38"/>
      <c r="I252" s="38"/>
      <c r="J252" s="38"/>
      <c r="K252" s="38" t="str">
        <f t="shared" si="1"/>
        <v/>
      </c>
      <c r="L252" s="38" t="str">
        <f>IF(A252="","",IFERROR(VLOOKUP(VLOOKUP(A252,BOOKINGS!$A:$Q,7,FALSE),SETUP_RATES!$A:$H,8,FALSE),0))</f>
        <v/>
      </c>
      <c r="M252" s="38" t="str">
        <f t="shared" si="2"/>
        <v/>
      </c>
      <c r="N252" s="33" t="str">
        <f t="shared" si="3"/>
        <v/>
      </c>
    </row>
    <row r="253" ht="15.75" customHeight="1">
      <c r="B253" s="39"/>
      <c r="C253" s="39"/>
      <c r="E253" s="38"/>
      <c r="F253" s="38"/>
      <c r="G253" s="38"/>
      <c r="H253" s="38"/>
      <c r="I253" s="38"/>
      <c r="J253" s="38"/>
      <c r="K253" s="38" t="str">
        <f t="shared" si="1"/>
        <v/>
      </c>
      <c r="L253" s="38" t="str">
        <f>IF(A253="","",IFERROR(VLOOKUP(VLOOKUP(A253,BOOKINGS!$A:$Q,7,FALSE),SETUP_RATES!$A:$H,8,FALSE),0))</f>
        <v/>
      </c>
      <c r="M253" s="38" t="str">
        <f t="shared" si="2"/>
        <v/>
      </c>
      <c r="N253" s="33" t="str">
        <f t="shared" si="3"/>
        <v/>
      </c>
    </row>
    <row r="254" ht="15.75" customHeight="1">
      <c r="B254" s="39"/>
      <c r="C254" s="39"/>
      <c r="E254" s="38"/>
      <c r="F254" s="38"/>
      <c r="G254" s="38"/>
      <c r="H254" s="38"/>
      <c r="I254" s="38"/>
      <c r="J254" s="38"/>
      <c r="K254" s="38" t="str">
        <f t="shared" si="1"/>
        <v/>
      </c>
      <c r="L254" s="38" t="str">
        <f>IF(A254="","",IFERROR(VLOOKUP(VLOOKUP(A254,BOOKINGS!$A:$Q,7,FALSE),SETUP_RATES!$A:$H,8,FALSE),0))</f>
        <v/>
      </c>
      <c r="M254" s="38" t="str">
        <f t="shared" si="2"/>
        <v/>
      </c>
      <c r="N254" s="33" t="str">
        <f t="shared" si="3"/>
        <v/>
      </c>
    </row>
    <row r="255" ht="15.75" customHeight="1">
      <c r="B255" s="39"/>
      <c r="C255" s="39"/>
      <c r="E255" s="38"/>
      <c r="F255" s="38"/>
      <c r="G255" s="38"/>
      <c r="H255" s="38"/>
      <c r="I255" s="38"/>
      <c r="J255" s="38"/>
      <c r="K255" s="38" t="str">
        <f t="shared" si="1"/>
        <v/>
      </c>
      <c r="L255" s="38" t="str">
        <f>IF(A255="","",IFERROR(VLOOKUP(VLOOKUP(A255,BOOKINGS!$A:$Q,7,FALSE),SETUP_RATES!$A:$H,8,FALSE),0))</f>
        <v/>
      </c>
      <c r="M255" s="38" t="str">
        <f t="shared" si="2"/>
        <v/>
      </c>
      <c r="N255" s="33" t="str">
        <f t="shared" si="3"/>
        <v/>
      </c>
    </row>
    <row r="256" ht="15.75" customHeight="1">
      <c r="B256" s="39"/>
      <c r="C256" s="39"/>
      <c r="E256" s="38"/>
      <c r="F256" s="38"/>
      <c r="G256" s="38"/>
      <c r="H256" s="38"/>
      <c r="I256" s="38"/>
      <c r="J256" s="38"/>
      <c r="K256" s="38" t="str">
        <f t="shared" si="1"/>
        <v/>
      </c>
      <c r="L256" s="38" t="str">
        <f>IF(A256="","",IFERROR(VLOOKUP(VLOOKUP(A256,BOOKINGS!$A:$Q,7,FALSE),SETUP_RATES!$A:$H,8,FALSE),0))</f>
        <v/>
      </c>
      <c r="M256" s="38" t="str">
        <f t="shared" si="2"/>
        <v/>
      </c>
      <c r="N256" s="33" t="str">
        <f t="shared" si="3"/>
        <v/>
      </c>
    </row>
    <row r="257" ht="15.75" customHeight="1">
      <c r="B257" s="39"/>
      <c r="C257" s="39"/>
      <c r="E257" s="38"/>
      <c r="F257" s="38"/>
      <c r="G257" s="38"/>
      <c r="H257" s="38"/>
      <c r="I257" s="38"/>
      <c r="J257" s="38"/>
      <c r="K257" s="38" t="str">
        <f t="shared" si="1"/>
        <v/>
      </c>
      <c r="L257" s="38" t="str">
        <f>IF(A257="","",IFERROR(VLOOKUP(VLOOKUP(A257,BOOKINGS!$A:$Q,7,FALSE),SETUP_RATES!$A:$H,8,FALSE),0))</f>
        <v/>
      </c>
      <c r="M257" s="38" t="str">
        <f t="shared" si="2"/>
        <v/>
      </c>
      <c r="N257" s="33" t="str">
        <f t="shared" si="3"/>
        <v/>
      </c>
    </row>
    <row r="258" ht="15.75" customHeight="1">
      <c r="B258" s="39"/>
      <c r="C258" s="39"/>
      <c r="E258" s="38"/>
      <c r="F258" s="38"/>
      <c r="G258" s="38"/>
      <c r="H258" s="38"/>
      <c r="I258" s="38"/>
      <c r="J258" s="38"/>
      <c r="K258" s="38" t="str">
        <f t="shared" si="1"/>
        <v/>
      </c>
      <c r="L258" s="38" t="str">
        <f>IF(A258="","",IFERROR(VLOOKUP(VLOOKUP(A258,BOOKINGS!$A:$Q,7,FALSE),SETUP_RATES!$A:$H,8,FALSE),0))</f>
        <v/>
      </c>
      <c r="M258" s="38" t="str">
        <f t="shared" si="2"/>
        <v/>
      </c>
      <c r="N258" s="33" t="str">
        <f t="shared" si="3"/>
        <v/>
      </c>
    </row>
    <row r="259" ht="15.75" customHeight="1">
      <c r="B259" s="39"/>
      <c r="C259" s="39"/>
      <c r="E259" s="38"/>
      <c r="F259" s="38"/>
      <c r="G259" s="38"/>
      <c r="H259" s="38"/>
      <c r="I259" s="38"/>
      <c r="J259" s="38"/>
      <c r="K259" s="38" t="str">
        <f t="shared" si="1"/>
        <v/>
      </c>
      <c r="L259" s="38" t="str">
        <f>IF(A259="","",IFERROR(VLOOKUP(VLOOKUP(A259,BOOKINGS!$A:$Q,7,FALSE),SETUP_RATES!$A:$H,8,FALSE),0))</f>
        <v/>
      </c>
      <c r="M259" s="38" t="str">
        <f t="shared" si="2"/>
        <v/>
      </c>
      <c r="N259" s="33" t="str">
        <f t="shared" si="3"/>
        <v/>
      </c>
    </row>
    <row r="260" ht="15.75" customHeight="1">
      <c r="B260" s="39"/>
      <c r="C260" s="39"/>
      <c r="E260" s="38"/>
      <c r="F260" s="38"/>
      <c r="G260" s="38"/>
      <c r="H260" s="38"/>
      <c r="I260" s="38"/>
      <c r="J260" s="38"/>
      <c r="K260" s="38" t="str">
        <f t="shared" si="1"/>
        <v/>
      </c>
      <c r="L260" s="38" t="str">
        <f>IF(A260="","",IFERROR(VLOOKUP(VLOOKUP(A260,BOOKINGS!$A:$Q,7,FALSE),SETUP_RATES!$A:$H,8,FALSE),0))</f>
        <v/>
      </c>
      <c r="M260" s="38" t="str">
        <f t="shared" si="2"/>
        <v/>
      </c>
      <c r="N260" s="33" t="str">
        <f t="shared" si="3"/>
        <v/>
      </c>
    </row>
    <row r="261" ht="15.75" customHeight="1">
      <c r="B261" s="39"/>
      <c r="C261" s="39"/>
      <c r="E261" s="38"/>
      <c r="F261" s="38"/>
      <c r="G261" s="38"/>
      <c r="H261" s="38"/>
      <c r="I261" s="38"/>
      <c r="J261" s="38"/>
      <c r="K261" s="38" t="str">
        <f t="shared" si="1"/>
        <v/>
      </c>
      <c r="L261" s="38" t="str">
        <f>IF(A261="","",IFERROR(VLOOKUP(VLOOKUP(A261,BOOKINGS!$A:$Q,7,FALSE),SETUP_RATES!$A:$H,8,FALSE),0))</f>
        <v/>
      </c>
      <c r="M261" s="38" t="str">
        <f t="shared" si="2"/>
        <v/>
      </c>
      <c r="N261" s="33" t="str">
        <f t="shared" si="3"/>
        <v/>
      </c>
    </row>
    <row r="262" ht="15.75" customHeight="1">
      <c r="B262" s="39"/>
      <c r="C262" s="39"/>
      <c r="E262" s="38"/>
      <c r="F262" s="38"/>
      <c r="G262" s="38"/>
      <c r="H262" s="38"/>
      <c r="I262" s="38"/>
      <c r="J262" s="38"/>
      <c r="K262" s="38" t="str">
        <f t="shared" si="1"/>
        <v/>
      </c>
      <c r="L262" s="38" t="str">
        <f>IF(A262="","",IFERROR(VLOOKUP(VLOOKUP(A262,BOOKINGS!$A:$Q,7,FALSE),SETUP_RATES!$A:$H,8,FALSE),0))</f>
        <v/>
      </c>
      <c r="M262" s="38" t="str">
        <f t="shared" si="2"/>
        <v/>
      </c>
      <c r="N262" s="33" t="str">
        <f t="shared" si="3"/>
        <v/>
      </c>
    </row>
    <row r="263" ht="15.75" customHeight="1">
      <c r="B263" s="39"/>
      <c r="C263" s="39"/>
      <c r="E263" s="38"/>
      <c r="F263" s="38"/>
      <c r="G263" s="38"/>
      <c r="H263" s="38"/>
      <c r="I263" s="38"/>
      <c r="J263" s="38"/>
      <c r="K263" s="38" t="str">
        <f t="shared" si="1"/>
        <v/>
      </c>
      <c r="L263" s="38" t="str">
        <f>IF(A263="","",IFERROR(VLOOKUP(VLOOKUP(A263,BOOKINGS!$A:$Q,7,FALSE),SETUP_RATES!$A:$H,8,FALSE),0))</f>
        <v/>
      </c>
      <c r="M263" s="38" t="str">
        <f t="shared" si="2"/>
        <v/>
      </c>
      <c r="N263" s="33" t="str">
        <f t="shared" si="3"/>
        <v/>
      </c>
    </row>
    <row r="264" ht="15.75" customHeight="1">
      <c r="B264" s="39"/>
      <c r="C264" s="39"/>
      <c r="E264" s="38"/>
      <c r="F264" s="38"/>
      <c r="G264" s="38"/>
      <c r="H264" s="38"/>
      <c r="I264" s="38"/>
      <c r="J264" s="38"/>
      <c r="K264" s="38" t="str">
        <f t="shared" si="1"/>
        <v/>
      </c>
      <c r="L264" s="38" t="str">
        <f>IF(A264="","",IFERROR(VLOOKUP(VLOOKUP(A264,BOOKINGS!$A:$Q,7,FALSE),SETUP_RATES!$A:$H,8,FALSE),0))</f>
        <v/>
      </c>
      <c r="M264" s="38" t="str">
        <f t="shared" si="2"/>
        <v/>
      </c>
      <c r="N264" s="33" t="str">
        <f t="shared" si="3"/>
        <v/>
      </c>
    </row>
    <row r="265" ht="15.75" customHeight="1">
      <c r="B265" s="39"/>
      <c r="C265" s="39"/>
      <c r="E265" s="38"/>
      <c r="F265" s="38"/>
      <c r="G265" s="38"/>
      <c r="H265" s="38"/>
      <c r="I265" s="38"/>
      <c r="J265" s="38"/>
      <c r="K265" s="38" t="str">
        <f t="shared" si="1"/>
        <v/>
      </c>
      <c r="L265" s="38" t="str">
        <f>IF(A265="","",IFERROR(VLOOKUP(VLOOKUP(A265,BOOKINGS!$A:$Q,7,FALSE),SETUP_RATES!$A:$H,8,FALSE),0))</f>
        <v/>
      </c>
      <c r="M265" s="38" t="str">
        <f t="shared" si="2"/>
        <v/>
      </c>
      <c r="N265" s="33" t="str">
        <f t="shared" si="3"/>
        <v/>
      </c>
    </row>
    <row r="266" ht="15.75" customHeight="1">
      <c r="B266" s="39"/>
      <c r="C266" s="39"/>
      <c r="E266" s="38"/>
      <c r="F266" s="38"/>
      <c r="G266" s="38"/>
      <c r="H266" s="38"/>
      <c r="I266" s="38"/>
      <c r="J266" s="38"/>
      <c r="K266" s="38" t="str">
        <f t="shared" si="1"/>
        <v/>
      </c>
      <c r="L266" s="38" t="str">
        <f>IF(A266="","",IFERROR(VLOOKUP(VLOOKUP(A266,BOOKINGS!$A:$Q,7,FALSE),SETUP_RATES!$A:$H,8,FALSE),0))</f>
        <v/>
      </c>
      <c r="M266" s="38" t="str">
        <f t="shared" si="2"/>
        <v/>
      </c>
      <c r="N266" s="33" t="str">
        <f t="shared" si="3"/>
        <v/>
      </c>
    </row>
    <row r="267" ht="15.75" customHeight="1">
      <c r="B267" s="39"/>
      <c r="C267" s="39"/>
      <c r="E267" s="38"/>
      <c r="F267" s="38"/>
      <c r="G267" s="38"/>
      <c r="H267" s="38"/>
      <c r="I267" s="38"/>
      <c r="J267" s="38"/>
      <c r="K267" s="38" t="str">
        <f t="shared" si="1"/>
        <v/>
      </c>
      <c r="L267" s="38" t="str">
        <f>IF(A267="","",IFERROR(VLOOKUP(VLOOKUP(A267,BOOKINGS!$A:$Q,7,FALSE),SETUP_RATES!$A:$H,8,FALSE),0))</f>
        <v/>
      </c>
      <c r="M267" s="38" t="str">
        <f t="shared" si="2"/>
        <v/>
      </c>
      <c r="N267" s="33" t="str">
        <f t="shared" si="3"/>
        <v/>
      </c>
    </row>
    <row r="268" ht="15.75" customHeight="1">
      <c r="B268" s="39"/>
      <c r="C268" s="39"/>
      <c r="E268" s="38"/>
      <c r="F268" s="38"/>
      <c r="G268" s="38"/>
      <c r="H268" s="38"/>
      <c r="I268" s="38"/>
      <c r="J268" s="38"/>
      <c r="K268" s="38" t="str">
        <f t="shared" si="1"/>
        <v/>
      </c>
      <c r="L268" s="38" t="str">
        <f>IF(A268="","",IFERROR(VLOOKUP(VLOOKUP(A268,BOOKINGS!$A:$Q,7,FALSE),SETUP_RATES!$A:$H,8,FALSE),0))</f>
        <v/>
      </c>
      <c r="M268" s="38" t="str">
        <f t="shared" si="2"/>
        <v/>
      </c>
      <c r="N268" s="33" t="str">
        <f t="shared" si="3"/>
        <v/>
      </c>
    </row>
    <row r="269" ht="15.75" customHeight="1">
      <c r="B269" s="39"/>
      <c r="C269" s="39"/>
      <c r="E269" s="38"/>
      <c r="F269" s="38"/>
      <c r="G269" s="38"/>
      <c r="H269" s="38"/>
      <c r="I269" s="38"/>
      <c r="J269" s="38"/>
      <c r="K269" s="38" t="str">
        <f t="shared" si="1"/>
        <v/>
      </c>
      <c r="L269" s="38" t="str">
        <f>IF(A269="","",IFERROR(VLOOKUP(VLOOKUP(A269,BOOKINGS!$A:$Q,7,FALSE),SETUP_RATES!$A:$H,8,FALSE),0))</f>
        <v/>
      </c>
      <c r="M269" s="38" t="str">
        <f t="shared" si="2"/>
        <v/>
      </c>
      <c r="N269" s="33" t="str">
        <f t="shared" si="3"/>
        <v/>
      </c>
    </row>
    <row r="270" ht="15.75" customHeight="1">
      <c r="B270" s="39"/>
      <c r="C270" s="39"/>
      <c r="E270" s="38"/>
      <c r="F270" s="38"/>
      <c r="G270" s="38"/>
      <c r="H270" s="38"/>
      <c r="I270" s="38"/>
      <c r="J270" s="38"/>
      <c r="K270" s="38" t="str">
        <f t="shared" si="1"/>
        <v/>
      </c>
      <c r="L270" s="38" t="str">
        <f>IF(A270="","",IFERROR(VLOOKUP(VLOOKUP(A270,BOOKINGS!$A:$Q,7,FALSE),SETUP_RATES!$A:$H,8,FALSE),0))</f>
        <v/>
      </c>
      <c r="M270" s="38" t="str">
        <f t="shared" si="2"/>
        <v/>
      </c>
      <c r="N270" s="33" t="str">
        <f t="shared" si="3"/>
        <v/>
      </c>
    </row>
    <row r="271" ht="15.75" customHeight="1">
      <c r="B271" s="39"/>
      <c r="C271" s="39"/>
      <c r="E271" s="38"/>
      <c r="F271" s="38"/>
      <c r="G271" s="38"/>
      <c r="H271" s="38"/>
      <c r="I271" s="38"/>
      <c r="J271" s="38"/>
      <c r="K271" s="38" t="str">
        <f t="shared" si="1"/>
        <v/>
      </c>
      <c r="L271" s="38" t="str">
        <f>IF(A271="","",IFERROR(VLOOKUP(VLOOKUP(A271,BOOKINGS!$A:$Q,7,FALSE),SETUP_RATES!$A:$H,8,FALSE),0))</f>
        <v/>
      </c>
      <c r="M271" s="38" t="str">
        <f t="shared" si="2"/>
        <v/>
      </c>
      <c r="N271" s="33" t="str">
        <f t="shared" si="3"/>
        <v/>
      </c>
    </row>
    <row r="272" ht="15.75" customHeight="1">
      <c r="B272" s="39"/>
      <c r="C272" s="39"/>
      <c r="E272" s="38"/>
      <c r="F272" s="38"/>
      <c r="G272" s="38"/>
      <c r="H272" s="38"/>
      <c r="I272" s="38"/>
      <c r="J272" s="38"/>
      <c r="K272" s="38" t="str">
        <f t="shared" si="1"/>
        <v/>
      </c>
      <c r="L272" s="38" t="str">
        <f>IF(A272="","",IFERROR(VLOOKUP(VLOOKUP(A272,BOOKINGS!$A:$Q,7,FALSE),SETUP_RATES!$A:$H,8,FALSE),0))</f>
        <v/>
      </c>
      <c r="M272" s="38" t="str">
        <f t="shared" si="2"/>
        <v/>
      </c>
      <c r="N272" s="33" t="str">
        <f t="shared" si="3"/>
        <v/>
      </c>
    </row>
    <row r="273" ht="15.75" customHeight="1">
      <c r="B273" s="39"/>
      <c r="C273" s="39"/>
      <c r="E273" s="38"/>
      <c r="F273" s="38"/>
      <c r="G273" s="38"/>
      <c r="H273" s="38"/>
      <c r="I273" s="38"/>
      <c r="J273" s="38"/>
      <c r="K273" s="38" t="str">
        <f t="shared" si="1"/>
        <v/>
      </c>
      <c r="L273" s="38" t="str">
        <f>IF(A273="","",IFERROR(VLOOKUP(VLOOKUP(A273,BOOKINGS!$A:$Q,7,FALSE),SETUP_RATES!$A:$H,8,FALSE),0))</f>
        <v/>
      </c>
      <c r="M273" s="38" t="str">
        <f t="shared" si="2"/>
        <v/>
      </c>
      <c r="N273" s="33" t="str">
        <f t="shared" si="3"/>
        <v/>
      </c>
    </row>
    <row r="274" ht="15.75" customHeight="1">
      <c r="B274" s="39"/>
      <c r="C274" s="39"/>
      <c r="E274" s="38"/>
      <c r="F274" s="38"/>
      <c r="G274" s="38"/>
      <c r="H274" s="38"/>
      <c r="I274" s="38"/>
      <c r="J274" s="38"/>
      <c r="K274" s="38" t="str">
        <f t="shared" si="1"/>
        <v/>
      </c>
      <c r="L274" s="38" t="str">
        <f>IF(A274="","",IFERROR(VLOOKUP(VLOOKUP(A274,BOOKINGS!$A:$Q,7,FALSE),SETUP_RATES!$A:$H,8,FALSE),0))</f>
        <v/>
      </c>
      <c r="M274" s="38" t="str">
        <f t="shared" si="2"/>
        <v/>
      </c>
      <c r="N274" s="33" t="str">
        <f t="shared" si="3"/>
        <v/>
      </c>
    </row>
    <row r="275" ht="15.75" customHeight="1">
      <c r="B275" s="39"/>
      <c r="C275" s="39"/>
      <c r="E275" s="38"/>
      <c r="F275" s="38"/>
      <c r="G275" s="38"/>
      <c r="H275" s="38"/>
      <c r="I275" s="38"/>
      <c r="J275" s="38"/>
      <c r="K275" s="38" t="str">
        <f t="shared" si="1"/>
        <v/>
      </c>
      <c r="L275" s="38" t="str">
        <f>IF(A275="","",IFERROR(VLOOKUP(VLOOKUP(A275,BOOKINGS!$A:$Q,7,FALSE),SETUP_RATES!$A:$H,8,FALSE),0))</f>
        <v/>
      </c>
      <c r="M275" s="38" t="str">
        <f t="shared" si="2"/>
        <v/>
      </c>
      <c r="N275" s="33" t="str">
        <f t="shared" si="3"/>
        <v/>
      </c>
    </row>
    <row r="276" ht="15.75" customHeight="1">
      <c r="B276" s="39"/>
      <c r="C276" s="39"/>
      <c r="E276" s="38"/>
      <c r="F276" s="38"/>
      <c r="G276" s="38"/>
      <c r="H276" s="38"/>
      <c r="I276" s="38"/>
      <c r="J276" s="38"/>
      <c r="K276" s="38" t="str">
        <f t="shared" si="1"/>
        <v/>
      </c>
      <c r="L276" s="38" t="str">
        <f>IF(A276="","",IFERROR(VLOOKUP(VLOOKUP(A276,BOOKINGS!$A:$Q,7,FALSE),SETUP_RATES!$A:$H,8,FALSE),0))</f>
        <v/>
      </c>
      <c r="M276" s="38" t="str">
        <f t="shared" si="2"/>
        <v/>
      </c>
      <c r="N276" s="33" t="str">
        <f t="shared" si="3"/>
        <v/>
      </c>
    </row>
    <row r="277" ht="15.75" customHeight="1">
      <c r="B277" s="39"/>
      <c r="C277" s="39"/>
      <c r="E277" s="38"/>
      <c r="F277" s="38"/>
      <c r="G277" s="38"/>
      <c r="H277" s="38"/>
      <c r="I277" s="38"/>
      <c r="J277" s="38"/>
      <c r="K277" s="38" t="str">
        <f t="shared" si="1"/>
        <v/>
      </c>
      <c r="L277" s="38" t="str">
        <f>IF(A277="","",IFERROR(VLOOKUP(VLOOKUP(A277,BOOKINGS!$A:$Q,7,FALSE),SETUP_RATES!$A:$H,8,FALSE),0))</f>
        <v/>
      </c>
      <c r="M277" s="38" t="str">
        <f t="shared" si="2"/>
        <v/>
      </c>
      <c r="N277" s="33" t="str">
        <f t="shared" si="3"/>
        <v/>
      </c>
    </row>
    <row r="278" ht="15.75" customHeight="1">
      <c r="B278" s="39"/>
      <c r="C278" s="39"/>
      <c r="E278" s="38"/>
      <c r="F278" s="38"/>
      <c r="G278" s="38"/>
      <c r="H278" s="38"/>
      <c r="I278" s="38"/>
      <c r="J278" s="38"/>
      <c r="K278" s="38" t="str">
        <f t="shared" si="1"/>
        <v/>
      </c>
      <c r="L278" s="38" t="str">
        <f>IF(A278="","",IFERROR(VLOOKUP(VLOOKUP(A278,BOOKINGS!$A:$Q,7,FALSE),SETUP_RATES!$A:$H,8,FALSE),0))</f>
        <v/>
      </c>
      <c r="M278" s="38" t="str">
        <f t="shared" si="2"/>
        <v/>
      </c>
      <c r="N278" s="33" t="str">
        <f t="shared" si="3"/>
        <v/>
      </c>
    </row>
    <row r="279" ht="15.75" customHeight="1">
      <c r="B279" s="39"/>
      <c r="C279" s="39"/>
      <c r="E279" s="38"/>
      <c r="F279" s="38"/>
      <c r="G279" s="38"/>
      <c r="H279" s="38"/>
      <c r="I279" s="38"/>
      <c r="J279" s="38"/>
      <c r="K279" s="38" t="str">
        <f t="shared" si="1"/>
        <v/>
      </c>
      <c r="L279" s="38" t="str">
        <f>IF(A279="","",IFERROR(VLOOKUP(VLOOKUP(A279,BOOKINGS!$A:$Q,7,FALSE),SETUP_RATES!$A:$H,8,FALSE),0))</f>
        <v/>
      </c>
      <c r="M279" s="38" t="str">
        <f t="shared" si="2"/>
        <v/>
      </c>
      <c r="N279" s="33" t="str">
        <f t="shared" si="3"/>
        <v/>
      </c>
    </row>
    <row r="280" ht="15.75" customHeight="1">
      <c r="B280" s="39"/>
      <c r="C280" s="39"/>
      <c r="E280" s="38"/>
      <c r="F280" s="38"/>
      <c r="G280" s="38"/>
      <c r="H280" s="38"/>
      <c r="I280" s="38"/>
      <c r="J280" s="38"/>
      <c r="K280" s="38" t="str">
        <f t="shared" si="1"/>
        <v/>
      </c>
      <c r="L280" s="38" t="str">
        <f>IF(A280="","",IFERROR(VLOOKUP(VLOOKUP(A280,BOOKINGS!$A:$Q,7,FALSE),SETUP_RATES!$A:$H,8,FALSE),0))</f>
        <v/>
      </c>
      <c r="M280" s="38" t="str">
        <f t="shared" si="2"/>
        <v/>
      </c>
      <c r="N280" s="33" t="str">
        <f t="shared" si="3"/>
        <v/>
      </c>
    </row>
    <row r="281" ht="15.75" customHeight="1">
      <c r="B281" s="39"/>
      <c r="C281" s="39"/>
      <c r="E281" s="38"/>
      <c r="F281" s="38"/>
      <c r="G281" s="38"/>
      <c r="H281" s="38"/>
      <c r="I281" s="38"/>
      <c r="J281" s="38"/>
      <c r="K281" s="38" t="str">
        <f t="shared" si="1"/>
        <v/>
      </c>
      <c r="L281" s="38" t="str">
        <f>IF(A281="","",IFERROR(VLOOKUP(VLOOKUP(A281,BOOKINGS!$A:$Q,7,FALSE),SETUP_RATES!$A:$H,8,FALSE),0))</f>
        <v/>
      </c>
      <c r="M281" s="38" t="str">
        <f t="shared" si="2"/>
        <v/>
      </c>
      <c r="N281" s="33" t="str">
        <f t="shared" si="3"/>
        <v/>
      </c>
    </row>
    <row r="282" ht="15.75" customHeight="1">
      <c r="B282" s="39"/>
      <c r="C282" s="39"/>
      <c r="E282" s="38"/>
      <c r="F282" s="38"/>
      <c r="G282" s="38"/>
      <c r="H282" s="38"/>
      <c r="I282" s="38"/>
      <c r="J282" s="38"/>
      <c r="K282" s="38" t="str">
        <f t="shared" si="1"/>
        <v/>
      </c>
      <c r="L282" s="38" t="str">
        <f>IF(A282="","",IFERROR(VLOOKUP(VLOOKUP(A282,BOOKINGS!$A:$Q,7,FALSE),SETUP_RATES!$A:$H,8,FALSE),0))</f>
        <v/>
      </c>
      <c r="M282" s="38" t="str">
        <f t="shared" si="2"/>
        <v/>
      </c>
      <c r="N282" s="33" t="str">
        <f t="shared" si="3"/>
        <v/>
      </c>
    </row>
    <row r="283" ht="15.75" customHeight="1">
      <c r="B283" s="39"/>
      <c r="C283" s="39"/>
      <c r="E283" s="38"/>
      <c r="F283" s="38"/>
      <c r="G283" s="38"/>
      <c r="H283" s="38"/>
      <c r="I283" s="38"/>
      <c r="J283" s="38"/>
      <c r="K283" s="38" t="str">
        <f t="shared" si="1"/>
        <v/>
      </c>
      <c r="L283" s="38" t="str">
        <f>IF(A283="","",IFERROR(VLOOKUP(VLOOKUP(A283,BOOKINGS!$A:$Q,7,FALSE),SETUP_RATES!$A:$H,8,FALSE),0))</f>
        <v/>
      </c>
      <c r="M283" s="38" t="str">
        <f t="shared" si="2"/>
        <v/>
      </c>
      <c r="N283" s="33" t="str">
        <f t="shared" si="3"/>
        <v/>
      </c>
    </row>
    <row r="284" ht="15.75" customHeight="1">
      <c r="B284" s="39"/>
      <c r="C284" s="39"/>
      <c r="E284" s="38"/>
      <c r="F284" s="38"/>
      <c r="G284" s="38"/>
      <c r="H284" s="38"/>
      <c r="I284" s="38"/>
      <c r="J284" s="38"/>
      <c r="K284" s="38" t="str">
        <f t="shared" si="1"/>
        <v/>
      </c>
      <c r="L284" s="38" t="str">
        <f>IF(A284="","",IFERROR(VLOOKUP(VLOOKUP(A284,BOOKINGS!$A:$Q,7,FALSE),SETUP_RATES!$A:$H,8,FALSE),0))</f>
        <v/>
      </c>
      <c r="M284" s="38" t="str">
        <f t="shared" si="2"/>
        <v/>
      </c>
      <c r="N284" s="33" t="str">
        <f t="shared" si="3"/>
        <v/>
      </c>
    </row>
    <row r="285" ht="15.75" customHeight="1">
      <c r="B285" s="39"/>
      <c r="C285" s="39"/>
      <c r="E285" s="38"/>
      <c r="F285" s="38"/>
      <c r="G285" s="38"/>
      <c r="H285" s="38"/>
      <c r="I285" s="38"/>
      <c r="J285" s="38"/>
      <c r="K285" s="38" t="str">
        <f t="shared" si="1"/>
        <v/>
      </c>
      <c r="L285" s="38" t="str">
        <f>IF(A285="","",IFERROR(VLOOKUP(VLOOKUP(A285,BOOKINGS!$A:$Q,7,FALSE),SETUP_RATES!$A:$H,8,FALSE),0))</f>
        <v/>
      </c>
      <c r="M285" s="38" t="str">
        <f t="shared" si="2"/>
        <v/>
      </c>
      <c r="N285" s="33" t="str">
        <f t="shared" si="3"/>
        <v/>
      </c>
    </row>
    <row r="286" ht="15.75" customHeight="1">
      <c r="B286" s="39"/>
      <c r="C286" s="39"/>
      <c r="E286" s="38"/>
      <c r="F286" s="38"/>
      <c r="G286" s="38"/>
      <c r="H286" s="38"/>
      <c r="I286" s="38"/>
      <c r="J286" s="38"/>
      <c r="K286" s="38" t="str">
        <f t="shared" si="1"/>
        <v/>
      </c>
      <c r="L286" s="38" t="str">
        <f>IF(A286="","",IFERROR(VLOOKUP(VLOOKUP(A286,BOOKINGS!$A:$Q,7,FALSE),SETUP_RATES!$A:$H,8,FALSE),0))</f>
        <v/>
      </c>
      <c r="M286" s="38" t="str">
        <f t="shared" si="2"/>
        <v/>
      </c>
      <c r="N286" s="33" t="str">
        <f t="shared" si="3"/>
        <v/>
      </c>
    </row>
    <row r="287" ht="15.75" customHeight="1">
      <c r="B287" s="39"/>
      <c r="C287" s="39"/>
      <c r="E287" s="38"/>
      <c r="F287" s="38"/>
      <c r="G287" s="38"/>
      <c r="H287" s="38"/>
      <c r="I287" s="38"/>
      <c r="J287" s="38"/>
      <c r="K287" s="38" t="str">
        <f t="shared" si="1"/>
        <v/>
      </c>
      <c r="L287" s="38" t="str">
        <f>IF(A287="","",IFERROR(VLOOKUP(VLOOKUP(A287,BOOKINGS!$A:$Q,7,FALSE),SETUP_RATES!$A:$H,8,FALSE),0))</f>
        <v/>
      </c>
      <c r="M287" s="38" t="str">
        <f t="shared" si="2"/>
        <v/>
      </c>
      <c r="N287" s="33" t="str">
        <f t="shared" si="3"/>
        <v/>
      </c>
    </row>
    <row r="288" ht="15.75" customHeight="1">
      <c r="B288" s="39"/>
      <c r="C288" s="39"/>
      <c r="E288" s="38"/>
      <c r="F288" s="38"/>
      <c r="G288" s="38"/>
      <c r="H288" s="38"/>
      <c r="I288" s="38"/>
      <c r="J288" s="38"/>
      <c r="K288" s="38" t="str">
        <f t="shared" si="1"/>
        <v/>
      </c>
      <c r="L288" s="38" t="str">
        <f>IF(A288="","",IFERROR(VLOOKUP(VLOOKUP(A288,BOOKINGS!$A:$Q,7,FALSE),SETUP_RATES!$A:$H,8,FALSE),0))</f>
        <v/>
      </c>
      <c r="M288" s="38" t="str">
        <f t="shared" si="2"/>
        <v/>
      </c>
      <c r="N288" s="33" t="str">
        <f t="shared" si="3"/>
        <v/>
      </c>
    </row>
    <row r="289" ht="15.75" customHeight="1">
      <c r="B289" s="39"/>
      <c r="C289" s="39"/>
      <c r="E289" s="38"/>
      <c r="F289" s="38"/>
      <c r="G289" s="38"/>
      <c r="H289" s="38"/>
      <c r="I289" s="38"/>
      <c r="J289" s="38"/>
      <c r="K289" s="38" t="str">
        <f t="shared" si="1"/>
        <v/>
      </c>
      <c r="L289" s="38" t="str">
        <f>IF(A289="","",IFERROR(VLOOKUP(VLOOKUP(A289,BOOKINGS!$A:$Q,7,FALSE),SETUP_RATES!$A:$H,8,FALSE),0))</f>
        <v/>
      </c>
      <c r="M289" s="38" t="str">
        <f t="shared" si="2"/>
        <v/>
      </c>
      <c r="N289" s="33" t="str">
        <f t="shared" si="3"/>
        <v/>
      </c>
    </row>
    <row r="290" ht="15.75" customHeight="1">
      <c r="B290" s="39"/>
      <c r="C290" s="39"/>
      <c r="E290" s="38"/>
      <c r="F290" s="38"/>
      <c r="G290" s="38"/>
      <c r="H290" s="38"/>
      <c r="I290" s="38"/>
      <c r="J290" s="38"/>
      <c r="K290" s="38" t="str">
        <f t="shared" si="1"/>
        <v/>
      </c>
      <c r="L290" s="38" t="str">
        <f>IF(A290="","",IFERROR(VLOOKUP(VLOOKUP(A290,BOOKINGS!$A:$Q,7,FALSE),SETUP_RATES!$A:$H,8,FALSE),0))</f>
        <v/>
      </c>
      <c r="M290" s="38" t="str">
        <f t="shared" si="2"/>
        <v/>
      </c>
      <c r="N290" s="33" t="str">
        <f t="shared" si="3"/>
        <v/>
      </c>
    </row>
    <row r="291" ht="15.75" customHeight="1">
      <c r="B291" s="39"/>
      <c r="C291" s="39"/>
      <c r="E291" s="38"/>
      <c r="F291" s="38"/>
      <c r="G291" s="38"/>
      <c r="H291" s="38"/>
      <c r="I291" s="38"/>
      <c r="J291" s="38"/>
      <c r="K291" s="38" t="str">
        <f t="shared" si="1"/>
        <v/>
      </c>
      <c r="L291" s="38" t="str">
        <f>IF(A291="","",IFERROR(VLOOKUP(VLOOKUP(A291,BOOKINGS!$A:$Q,7,FALSE),SETUP_RATES!$A:$H,8,FALSE),0))</f>
        <v/>
      </c>
      <c r="M291" s="38" t="str">
        <f t="shared" si="2"/>
        <v/>
      </c>
      <c r="N291" s="33" t="str">
        <f t="shared" si="3"/>
        <v/>
      </c>
    </row>
    <row r="292" ht="15.75" customHeight="1">
      <c r="B292" s="39"/>
      <c r="C292" s="39"/>
      <c r="E292" s="38"/>
      <c r="F292" s="38"/>
      <c r="G292" s="38"/>
      <c r="H292" s="38"/>
      <c r="I292" s="38"/>
      <c r="J292" s="38"/>
      <c r="K292" s="38" t="str">
        <f t="shared" si="1"/>
        <v/>
      </c>
      <c r="L292" s="38" t="str">
        <f>IF(A292="","",IFERROR(VLOOKUP(VLOOKUP(A292,BOOKINGS!$A:$Q,7,FALSE),SETUP_RATES!$A:$H,8,FALSE),0))</f>
        <v/>
      </c>
      <c r="M292" s="38" t="str">
        <f t="shared" si="2"/>
        <v/>
      </c>
      <c r="N292" s="33" t="str">
        <f t="shared" si="3"/>
        <v/>
      </c>
    </row>
    <row r="293" ht="15.75" customHeight="1">
      <c r="B293" s="39"/>
      <c r="C293" s="39"/>
      <c r="E293" s="38"/>
      <c r="F293" s="38"/>
      <c r="G293" s="38"/>
      <c r="H293" s="38"/>
      <c r="I293" s="38"/>
      <c r="J293" s="38"/>
      <c r="K293" s="38" t="str">
        <f t="shared" si="1"/>
        <v/>
      </c>
      <c r="L293" s="38" t="str">
        <f>IF(A293="","",IFERROR(VLOOKUP(VLOOKUP(A293,BOOKINGS!$A:$Q,7,FALSE),SETUP_RATES!$A:$H,8,FALSE),0))</f>
        <v/>
      </c>
      <c r="M293" s="38" t="str">
        <f t="shared" si="2"/>
        <v/>
      </c>
      <c r="N293" s="33" t="str">
        <f t="shared" si="3"/>
        <v/>
      </c>
    </row>
    <row r="294" ht="15.75" customHeight="1">
      <c r="B294" s="39"/>
      <c r="C294" s="39"/>
      <c r="E294" s="38"/>
      <c r="F294" s="38"/>
      <c r="G294" s="38"/>
      <c r="H294" s="38"/>
      <c r="I294" s="38"/>
      <c r="J294" s="38"/>
      <c r="K294" s="38" t="str">
        <f t="shared" si="1"/>
        <v/>
      </c>
      <c r="L294" s="38" t="str">
        <f>IF(A294="","",IFERROR(VLOOKUP(VLOOKUP(A294,BOOKINGS!$A:$Q,7,FALSE),SETUP_RATES!$A:$H,8,FALSE),0))</f>
        <v/>
      </c>
      <c r="M294" s="38" t="str">
        <f t="shared" si="2"/>
        <v/>
      </c>
      <c r="N294" s="33" t="str">
        <f t="shared" si="3"/>
        <v/>
      </c>
    </row>
    <row r="295" ht="15.75" customHeight="1">
      <c r="B295" s="39"/>
      <c r="C295" s="39"/>
      <c r="E295" s="38"/>
      <c r="F295" s="38"/>
      <c r="G295" s="38"/>
      <c r="H295" s="38"/>
      <c r="I295" s="38"/>
      <c r="J295" s="38"/>
      <c r="K295" s="38" t="str">
        <f t="shared" si="1"/>
        <v/>
      </c>
      <c r="L295" s="38" t="str">
        <f>IF(A295="","",IFERROR(VLOOKUP(VLOOKUP(A295,BOOKINGS!$A:$Q,7,FALSE),SETUP_RATES!$A:$H,8,FALSE),0))</f>
        <v/>
      </c>
      <c r="M295" s="38" t="str">
        <f t="shared" si="2"/>
        <v/>
      </c>
      <c r="N295" s="33" t="str">
        <f t="shared" si="3"/>
        <v/>
      </c>
    </row>
    <row r="296" ht="15.75" customHeight="1">
      <c r="B296" s="39"/>
      <c r="C296" s="39"/>
      <c r="E296" s="38"/>
      <c r="F296" s="38"/>
      <c r="G296" s="38"/>
      <c r="H296" s="38"/>
      <c r="I296" s="38"/>
      <c r="J296" s="38"/>
      <c r="K296" s="38" t="str">
        <f t="shared" si="1"/>
        <v/>
      </c>
      <c r="L296" s="38" t="str">
        <f>IF(A296="","",IFERROR(VLOOKUP(VLOOKUP(A296,BOOKINGS!$A:$Q,7,FALSE),SETUP_RATES!$A:$H,8,FALSE),0))</f>
        <v/>
      </c>
      <c r="M296" s="38" t="str">
        <f t="shared" si="2"/>
        <v/>
      </c>
      <c r="N296" s="33" t="str">
        <f t="shared" si="3"/>
        <v/>
      </c>
    </row>
    <row r="297" ht="15.75" customHeight="1">
      <c r="B297" s="39"/>
      <c r="C297" s="39"/>
      <c r="E297" s="38"/>
      <c r="F297" s="38"/>
      <c r="G297" s="38"/>
      <c r="H297" s="38"/>
      <c r="I297" s="38"/>
      <c r="J297" s="38"/>
      <c r="K297" s="38" t="str">
        <f t="shared" si="1"/>
        <v/>
      </c>
      <c r="L297" s="38" t="str">
        <f>IF(A297="","",IFERROR(VLOOKUP(VLOOKUP(A297,BOOKINGS!$A:$Q,7,FALSE),SETUP_RATES!$A:$H,8,FALSE),0))</f>
        <v/>
      </c>
      <c r="M297" s="38" t="str">
        <f t="shared" si="2"/>
        <v/>
      </c>
      <c r="N297" s="33" t="str">
        <f t="shared" si="3"/>
        <v/>
      </c>
    </row>
    <row r="298" ht="15.75" customHeight="1">
      <c r="B298" s="39"/>
      <c r="C298" s="39"/>
      <c r="E298" s="38"/>
      <c r="F298" s="38"/>
      <c r="G298" s="38"/>
      <c r="H298" s="38"/>
      <c r="I298" s="38"/>
      <c r="J298" s="38"/>
      <c r="K298" s="38" t="str">
        <f t="shared" si="1"/>
        <v/>
      </c>
      <c r="L298" s="38" t="str">
        <f>IF(A298="","",IFERROR(VLOOKUP(VLOOKUP(A298,BOOKINGS!$A:$Q,7,FALSE),SETUP_RATES!$A:$H,8,FALSE),0))</f>
        <v/>
      </c>
      <c r="M298" s="38" t="str">
        <f t="shared" si="2"/>
        <v/>
      </c>
      <c r="N298" s="33" t="str">
        <f t="shared" si="3"/>
        <v/>
      </c>
    </row>
    <row r="299" ht="15.75" customHeight="1">
      <c r="B299" s="39"/>
      <c r="C299" s="39"/>
      <c r="E299" s="38"/>
      <c r="F299" s="38"/>
      <c r="G299" s="38"/>
      <c r="H299" s="38"/>
      <c r="I299" s="38"/>
      <c r="J299" s="38"/>
      <c r="K299" s="38" t="str">
        <f t="shared" si="1"/>
        <v/>
      </c>
      <c r="L299" s="38" t="str">
        <f>IF(A299="","",IFERROR(VLOOKUP(VLOOKUP(A299,BOOKINGS!$A:$Q,7,FALSE),SETUP_RATES!$A:$H,8,FALSE),0))</f>
        <v/>
      </c>
      <c r="M299" s="38" t="str">
        <f t="shared" si="2"/>
        <v/>
      </c>
      <c r="N299" s="33" t="str">
        <f t="shared" si="3"/>
        <v/>
      </c>
    </row>
    <row r="300" ht="15.75" customHeight="1">
      <c r="B300" s="39"/>
      <c r="C300" s="39"/>
      <c r="E300" s="38"/>
      <c r="F300" s="38"/>
      <c r="G300" s="38"/>
      <c r="H300" s="38"/>
      <c r="I300" s="38"/>
      <c r="J300" s="38"/>
      <c r="K300" s="38" t="str">
        <f t="shared" si="1"/>
        <v/>
      </c>
      <c r="L300" s="38" t="str">
        <f>IF(A300="","",IFERROR(VLOOKUP(VLOOKUP(A300,BOOKINGS!$A:$Q,7,FALSE),SETUP_RATES!$A:$H,8,FALSE),0))</f>
        <v/>
      </c>
      <c r="M300" s="38" t="str">
        <f t="shared" si="2"/>
        <v/>
      </c>
      <c r="N300" s="33" t="str">
        <f t="shared" si="3"/>
        <v/>
      </c>
    </row>
    <row r="301" ht="15.75" customHeight="1">
      <c r="B301" s="39"/>
      <c r="C301" s="39"/>
      <c r="E301" s="38"/>
      <c r="F301" s="38"/>
      <c r="G301" s="38"/>
      <c r="H301" s="38"/>
      <c r="I301" s="38"/>
      <c r="J301" s="38"/>
      <c r="K301" s="38" t="str">
        <f t="shared" si="1"/>
        <v/>
      </c>
      <c r="L301" s="38" t="str">
        <f>IF(A301="","",IFERROR(VLOOKUP(VLOOKUP(A301,BOOKINGS!$A:$Q,7,FALSE),SETUP_RATES!$A:$H,8,FALSE),0))</f>
        <v/>
      </c>
      <c r="M301" s="38" t="str">
        <f t="shared" si="2"/>
        <v/>
      </c>
      <c r="N301" s="33" t="str">
        <f t="shared" si="3"/>
        <v/>
      </c>
    </row>
    <row r="302" ht="15.75" customHeight="1">
      <c r="B302" s="39"/>
      <c r="C302" s="39"/>
      <c r="E302" s="38"/>
      <c r="F302" s="38"/>
      <c r="G302" s="38"/>
      <c r="H302" s="38"/>
      <c r="I302" s="38"/>
      <c r="J302" s="38"/>
      <c r="K302" s="38" t="str">
        <f t="shared" si="1"/>
        <v/>
      </c>
      <c r="L302" s="38" t="str">
        <f>IF(A302="","",IFERROR(VLOOKUP(VLOOKUP(A302,BOOKINGS!$A:$Q,7,FALSE),SETUP_RATES!$A:$H,8,FALSE),0))</f>
        <v/>
      </c>
      <c r="M302" s="38" t="str">
        <f t="shared" si="2"/>
        <v/>
      </c>
      <c r="N302" s="33" t="str">
        <f t="shared" si="3"/>
        <v/>
      </c>
    </row>
    <row r="303" ht="15.75" customHeight="1">
      <c r="B303" s="39"/>
      <c r="C303" s="39"/>
      <c r="E303" s="38"/>
      <c r="F303" s="38"/>
      <c r="G303" s="38"/>
      <c r="H303" s="38"/>
      <c r="I303" s="38"/>
      <c r="J303" s="38"/>
      <c r="K303" s="38" t="str">
        <f t="shared" si="1"/>
        <v/>
      </c>
      <c r="L303" s="38" t="str">
        <f>IF(A303="","",IFERROR(VLOOKUP(VLOOKUP(A303,BOOKINGS!$A:$Q,7,FALSE),SETUP_RATES!$A:$H,8,FALSE),0))</f>
        <v/>
      </c>
      <c r="M303" s="38" t="str">
        <f t="shared" si="2"/>
        <v/>
      </c>
      <c r="N303" s="33" t="str">
        <f t="shared" si="3"/>
        <v/>
      </c>
    </row>
    <row r="304" ht="15.75" customHeight="1">
      <c r="B304" s="39"/>
      <c r="C304" s="39"/>
      <c r="E304" s="38"/>
      <c r="F304" s="38"/>
      <c r="G304" s="38"/>
      <c r="H304" s="38"/>
      <c r="I304" s="38"/>
      <c r="J304" s="38"/>
      <c r="K304" s="38" t="str">
        <f t="shared" si="1"/>
        <v/>
      </c>
      <c r="L304" s="38" t="str">
        <f>IF(A304="","",IFERROR(VLOOKUP(VLOOKUP(A304,BOOKINGS!$A:$Q,7,FALSE),SETUP_RATES!$A:$H,8,FALSE),0))</f>
        <v/>
      </c>
      <c r="M304" s="38" t="str">
        <f t="shared" si="2"/>
        <v/>
      </c>
      <c r="N304" s="33" t="str">
        <f t="shared" si="3"/>
        <v/>
      </c>
    </row>
    <row r="305" ht="15.75" customHeight="1">
      <c r="B305" s="39"/>
      <c r="C305" s="39"/>
      <c r="E305" s="38"/>
      <c r="F305" s="38"/>
      <c r="G305" s="38"/>
      <c r="H305" s="38"/>
      <c r="I305" s="38"/>
      <c r="J305" s="38"/>
      <c r="K305" s="38" t="str">
        <f t="shared" si="1"/>
        <v/>
      </c>
      <c r="L305" s="38" t="str">
        <f>IF(A305="","",IFERROR(VLOOKUP(VLOOKUP(A305,BOOKINGS!$A:$Q,7,FALSE),SETUP_RATES!$A:$H,8,FALSE),0))</f>
        <v/>
      </c>
      <c r="M305" s="38" t="str">
        <f t="shared" si="2"/>
        <v/>
      </c>
      <c r="N305" s="33" t="str">
        <f t="shared" si="3"/>
        <v/>
      </c>
    </row>
    <row r="306" ht="15.75" customHeight="1">
      <c r="B306" s="39"/>
      <c r="C306" s="39"/>
      <c r="E306" s="38"/>
      <c r="F306" s="38"/>
      <c r="G306" s="38"/>
      <c r="H306" s="38"/>
      <c r="I306" s="38"/>
      <c r="J306" s="38"/>
      <c r="K306" s="38" t="str">
        <f t="shared" si="1"/>
        <v/>
      </c>
      <c r="L306" s="38" t="str">
        <f>IF(A306="","",IFERROR(VLOOKUP(VLOOKUP(A306,BOOKINGS!$A:$Q,7,FALSE),SETUP_RATES!$A:$H,8,FALSE),0))</f>
        <v/>
      </c>
      <c r="M306" s="38" t="str">
        <f t="shared" si="2"/>
        <v/>
      </c>
      <c r="N306" s="33" t="str">
        <f t="shared" si="3"/>
        <v/>
      </c>
    </row>
    <row r="307" ht="15.75" customHeight="1">
      <c r="B307" s="39"/>
      <c r="C307" s="39"/>
      <c r="E307" s="38"/>
      <c r="F307" s="38"/>
      <c r="G307" s="38"/>
      <c r="H307" s="38"/>
      <c r="I307" s="38"/>
      <c r="J307" s="38"/>
      <c r="K307" s="38" t="str">
        <f t="shared" si="1"/>
        <v/>
      </c>
      <c r="L307" s="38" t="str">
        <f>IF(A307="","",IFERROR(VLOOKUP(VLOOKUP(A307,BOOKINGS!$A:$Q,7,FALSE),SETUP_RATES!$A:$H,8,FALSE),0))</f>
        <v/>
      </c>
      <c r="M307" s="38" t="str">
        <f t="shared" si="2"/>
        <v/>
      </c>
      <c r="N307" s="33" t="str">
        <f t="shared" si="3"/>
        <v/>
      </c>
    </row>
    <row r="308" ht="15.75" customHeight="1">
      <c r="B308" s="39"/>
      <c r="C308" s="39"/>
      <c r="E308" s="38"/>
      <c r="F308" s="38"/>
      <c r="G308" s="38"/>
      <c r="H308" s="38"/>
      <c r="I308" s="38"/>
      <c r="J308" s="38"/>
      <c r="K308" s="38" t="str">
        <f t="shared" si="1"/>
        <v/>
      </c>
      <c r="L308" s="38" t="str">
        <f>IF(A308="","",IFERROR(VLOOKUP(VLOOKUP(A308,BOOKINGS!$A:$Q,7,FALSE),SETUP_RATES!$A:$H,8,FALSE),0))</f>
        <v/>
      </c>
      <c r="M308" s="38" t="str">
        <f t="shared" si="2"/>
        <v/>
      </c>
      <c r="N308" s="33" t="str">
        <f t="shared" si="3"/>
        <v/>
      </c>
    </row>
    <row r="309" ht="15.75" customHeight="1">
      <c r="B309" s="39"/>
      <c r="C309" s="39"/>
      <c r="E309" s="38"/>
      <c r="F309" s="38"/>
      <c r="G309" s="38"/>
      <c r="H309" s="38"/>
      <c r="I309" s="38"/>
      <c r="J309" s="38"/>
      <c r="K309" s="38" t="str">
        <f t="shared" si="1"/>
        <v/>
      </c>
      <c r="L309" s="38" t="str">
        <f>IF(A309="","",IFERROR(VLOOKUP(VLOOKUP(A309,BOOKINGS!$A:$Q,7,FALSE),SETUP_RATES!$A:$H,8,FALSE),0))</f>
        <v/>
      </c>
      <c r="M309" s="38" t="str">
        <f t="shared" si="2"/>
        <v/>
      </c>
      <c r="N309" s="33" t="str">
        <f t="shared" si="3"/>
        <v/>
      </c>
    </row>
    <row r="310" ht="15.75" customHeight="1">
      <c r="B310" s="39"/>
      <c r="C310" s="39"/>
      <c r="E310" s="38"/>
      <c r="F310" s="38"/>
      <c r="G310" s="38"/>
      <c r="H310" s="38"/>
      <c r="I310" s="38"/>
      <c r="J310" s="38"/>
      <c r="K310" s="38" t="str">
        <f t="shared" si="1"/>
        <v/>
      </c>
      <c r="L310" s="38" t="str">
        <f>IF(A310="","",IFERROR(VLOOKUP(VLOOKUP(A310,BOOKINGS!$A:$Q,7,FALSE),SETUP_RATES!$A:$H,8,FALSE),0))</f>
        <v/>
      </c>
      <c r="M310" s="38" t="str">
        <f t="shared" si="2"/>
        <v/>
      </c>
      <c r="N310" s="33" t="str">
        <f t="shared" si="3"/>
        <v/>
      </c>
    </row>
    <row r="311" ht="15.75" customHeight="1">
      <c r="B311" s="39"/>
      <c r="C311" s="39"/>
      <c r="E311" s="38"/>
      <c r="F311" s="38"/>
      <c r="G311" s="38"/>
      <c r="H311" s="38"/>
      <c r="I311" s="38"/>
      <c r="J311" s="38"/>
      <c r="K311" s="38" t="str">
        <f t="shared" si="1"/>
        <v/>
      </c>
      <c r="L311" s="38" t="str">
        <f>IF(A311="","",IFERROR(VLOOKUP(VLOOKUP(A311,BOOKINGS!$A:$Q,7,FALSE),SETUP_RATES!$A:$H,8,FALSE),0))</f>
        <v/>
      </c>
      <c r="M311" s="38" t="str">
        <f t="shared" si="2"/>
        <v/>
      </c>
      <c r="N311" s="33" t="str">
        <f t="shared" si="3"/>
        <v/>
      </c>
    </row>
    <row r="312" ht="15.75" customHeight="1">
      <c r="B312" s="39"/>
      <c r="C312" s="39"/>
      <c r="E312" s="38"/>
      <c r="F312" s="38"/>
      <c r="G312" s="38"/>
      <c r="H312" s="38"/>
      <c r="I312" s="38"/>
      <c r="J312" s="38"/>
      <c r="K312" s="38" t="str">
        <f t="shared" si="1"/>
        <v/>
      </c>
      <c r="L312" s="38" t="str">
        <f>IF(A312="","",IFERROR(VLOOKUP(VLOOKUP(A312,BOOKINGS!$A:$Q,7,FALSE),SETUP_RATES!$A:$H,8,FALSE),0))</f>
        <v/>
      </c>
      <c r="M312" s="38" t="str">
        <f t="shared" si="2"/>
        <v/>
      </c>
      <c r="N312" s="33" t="str">
        <f t="shared" si="3"/>
        <v/>
      </c>
    </row>
    <row r="313" ht="15.75" customHeight="1">
      <c r="B313" s="39"/>
      <c r="C313" s="39"/>
      <c r="E313" s="38"/>
      <c r="F313" s="38"/>
      <c r="G313" s="38"/>
      <c r="H313" s="38"/>
      <c r="I313" s="38"/>
      <c r="J313" s="38"/>
      <c r="K313" s="38" t="str">
        <f t="shared" si="1"/>
        <v/>
      </c>
      <c r="L313" s="38" t="str">
        <f>IF(A313="","",IFERROR(VLOOKUP(VLOOKUP(A313,BOOKINGS!$A:$Q,7,FALSE),SETUP_RATES!$A:$H,8,FALSE),0))</f>
        <v/>
      </c>
      <c r="M313" s="38" t="str">
        <f t="shared" si="2"/>
        <v/>
      </c>
      <c r="N313" s="33" t="str">
        <f t="shared" si="3"/>
        <v/>
      </c>
    </row>
    <row r="314" ht="15.75" customHeight="1">
      <c r="B314" s="39"/>
      <c r="C314" s="39"/>
      <c r="E314" s="38"/>
      <c r="F314" s="38"/>
      <c r="G314" s="38"/>
      <c r="H314" s="38"/>
      <c r="I314" s="38"/>
      <c r="J314" s="38"/>
      <c r="K314" s="38" t="str">
        <f t="shared" si="1"/>
        <v/>
      </c>
      <c r="L314" s="38" t="str">
        <f>IF(A314="","",IFERROR(VLOOKUP(VLOOKUP(A314,BOOKINGS!$A:$Q,7,FALSE),SETUP_RATES!$A:$H,8,FALSE),0))</f>
        <v/>
      </c>
      <c r="M314" s="38" t="str">
        <f t="shared" si="2"/>
        <v/>
      </c>
      <c r="N314" s="33" t="str">
        <f t="shared" si="3"/>
        <v/>
      </c>
    </row>
    <row r="315" ht="15.75" customHeight="1">
      <c r="B315" s="39"/>
      <c r="C315" s="39"/>
      <c r="E315" s="38"/>
      <c r="F315" s="38"/>
      <c r="G315" s="38"/>
      <c r="H315" s="38"/>
      <c r="I315" s="38"/>
      <c r="J315" s="38"/>
      <c r="K315" s="38" t="str">
        <f t="shared" si="1"/>
        <v/>
      </c>
      <c r="L315" s="38" t="str">
        <f>IF(A315="","",IFERROR(VLOOKUP(VLOOKUP(A315,BOOKINGS!$A:$Q,7,FALSE),SETUP_RATES!$A:$H,8,FALSE),0))</f>
        <v/>
      </c>
      <c r="M315" s="38" t="str">
        <f t="shared" si="2"/>
        <v/>
      </c>
      <c r="N315" s="33" t="str">
        <f t="shared" si="3"/>
        <v/>
      </c>
    </row>
    <row r="316" ht="15.75" customHeight="1">
      <c r="B316" s="39"/>
      <c r="C316" s="39"/>
      <c r="E316" s="38"/>
      <c r="F316" s="38"/>
      <c r="G316" s="38"/>
      <c r="H316" s="38"/>
      <c r="I316" s="38"/>
      <c r="J316" s="38"/>
      <c r="K316" s="38" t="str">
        <f t="shared" si="1"/>
        <v/>
      </c>
      <c r="L316" s="38" t="str">
        <f>IF(A316="","",IFERROR(VLOOKUP(VLOOKUP(A316,BOOKINGS!$A:$Q,7,FALSE),SETUP_RATES!$A:$H,8,FALSE),0))</f>
        <v/>
      </c>
      <c r="M316" s="38" t="str">
        <f t="shared" si="2"/>
        <v/>
      </c>
      <c r="N316" s="33" t="str">
        <f t="shared" si="3"/>
        <v/>
      </c>
    </row>
    <row r="317" ht="15.75" customHeight="1">
      <c r="B317" s="39"/>
      <c r="C317" s="39"/>
      <c r="E317" s="38"/>
      <c r="F317" s="38"/>
      <c r="G317" s="38"/>
      <c r="H317" s="38"/>
      <c r="I317" s="38"/>
      <c r="J317" s="38"/>
      <c r="K317" s="38" t="str">
        <f t="shared" si="1"/>
        <v/>
      </c>
      <c r="L317" s="38" t="str">
        <f>IF(A317="","",IFERROR(VLOOKUP(VLOOKUP(A317,BOOKINGS!$A:$Q,7,FALSE),SETUP_RATES!$A:$H,8,FALSE),0))</f>
        <v/>
      </c>
      <c r="M317" s="38" t="str">
        <f t="shared" si="2"/>
        <v/>
      </c>
      <c r="N317" s="33" t="str">
        <f t="shared" si="3"/>
        <v/>
      </c>
    </row>
    <row r="318" ht="15.75" customHeight="1">
      <c r="B318" s="39"/>
      <c r="C318" s="39"/>
      <c r="E318" s="38"/>
      <c r="F318" s="38"/>
      <c r="G318" s="38"/>
      <c r="H318" s="38"/>
      <c r="I318" s="38"/>
      <c r="J318" s="38"/>
      <c r="K318" s="38" t="str">
        <f t="shared" si="1"/>
        <v/>
      </c>
      <c r="L318" s="38" t="str">
        <f>IF(A318="","",IFERROR(VLOOKUP(VLOOKUP(A318,BOOKINGS!$A:$Q,7,FALSE),SETUP_RATES!$A:$H,8,FALSE),0))</f>
        <v/>
      </c>
      <c r="M318" s="38" t="str">
        <f t="shared" si="2"/>
        <v/>
      </c>
      <c r="N318" s="33" t="str">
        <f t="shared" si="3"/>
        <v/>
      </c>
    </row>
    <row r="319" ht="15.75" customHeight="1">
      <c r="B319" s="39"/>
      <c r="C319" s="39"/>
      <c r="E319" s="38"/>
      <c r="F319" s="38"/>
      <c r="G319" s="38"/>
      <c r="H319" s="38"/>
      <c r="I319" s="38"/>
      <c r="J319" s="38"/>
      <c r="K319" s="38" t="str">
        <f t="shared" si="1"/>
        <v/>
      </c>
      <c r="L319" s="38" t="str">
        <f>IF(A319="","",IFERROR(VLOOKUP(VLOOKUP(A319,BOOKINGS!$A:$Q,7,FALSE),SETUP_RATES!$A:$H,8,FALSE),0))</f>
        <v/>
      </c>
      <c r="M319" s="38" t="str">
        <f t="shared" si="2"/>
        <v/>
      </c>
      <c r="N319" s="33" t="str">
        <f t="shared" si="3"/>
        <v/>
      </c>
    </row>
    <row r="320" ht="15.75" customHeight="1">
      <c r="B320" s="39"/>
      <c r="C320" s="39"/>
      <c r="E320" s="38"/>
      <c r="F320" s="38"/>
      <c r="G320" s="38"/>
      <c r="H320" s="38"/>
      <c r="I320" s="38"/>
      <c r="J320" s="38"/>
      <c r="K320" s="38" t="str">
        <f t="shared" si="1"/>
        <v/>
      </c>
      <c r="L320" s="38" t="str">
        <f>IF(A320="","",IFERROR(VLOOKUP(VLOOKUP(A320,BOOKINGS!$A:$Q,7,FALSE),SETUP_RATES!$A:$H,8,FALSE),0))</f>
        <v/>
      </c>
      <c r="M320" s="38" t="str">
        <f t="shared" si="2"/>
        <v/>
      </c>
      <c r="N320" s="33" t="str">
        <f t="shared" si="3"/>
        <v/>
      </c>
    </row>
    <row r="321" ht="15.75" customHeight="1">
      <c r="B321" s="39"/>
      <c r="C321" s="39"/>
      <c r="E321" s="38"/>
      <c r="F321" s="38"/>
      <c r="G321" s="38"/>
      <c r="H321" s="38"/>
      <c r="I321" s="38"/>
      <c r="J321" s="38"/>
      <c r="K321" s="38" t="str">
        <f t="shared" si="1"/>
        <v/>
      </c>
      <c r="L321" s="38" t="str">
        <f>IF(A321="","",IFERROR(VLOOKUP(VLOOKUP(A321,BOOKINGS!$A:$Q,7,FALSE),SETUP_RATES!$A:$H,8,FALSE),0))</f>
        <v/>
      </c>
      <c r="M321" s="38" t="str">
        <f t="shared" si="2"/>
        <v/>
      </c>
      <c r="N321" s="33" t="str">
        <f t="shared" si="3"/>
        <v/>
      </c>
    </row>
    <row r="322" ht="15.75" customHeight="1">
      <c r="B322" s="39"/>
      <c r="C322" s="39"/>
      <c r="E322" s="38"/>
      <c r="F322" s="38"/>
      <c r="G322" s="38"/>
      <c r="H322" s="38"/>
      <c r="I322" s="38"/>
      <c r="J322" s="38"/>
      <c r="K322" s="38" t="str">
        <f t="shared" si="1"/>
        <v/>
      </c>
      <c r="L322" s="38" t="str">
        <f>IF(A322="","",IFERROR(VLOOKUP(VLOOKUP(A322,BOOKINGS!$A:$Q,7,FALSE),SETUP_RATES!$A:$H,8,FALSE),0))</f>
        <v/>
      </c>
      <c r="M322" s="38" t="str">
        <f t="shared" si="2"/>
        <v/>
      </c>
      <c r="N322" s="33" t="str">
        <f t="shared" si="3"/>
        <v/>
      </c>
    </row>
    <row r="323" ht="15.75" customHeight="1">
      <c r="B323" s="39"/>
      <c r="C323" s="39"/>
      <c r="E323" s="38"/>
      <c r="F323" s="38"/>
      <c r="G323" s="38"/>
      <c r="H323" s="38"/>
      <c r="I323" s="38"/>
      <c r="J323" s="38"/>
      <c r="K323" s="38" t="str">
        <f t="shared" si="1"/>
        <v/>
      </c>
      <c r="L323" s="38" t="str">
        <f>IF(A323="","",IFERROR(VLOOKUP(VLOOKUP(A323,BOOKINGS!$A:$Q,7,FALSE),SETUP_RATES!$A:$H,8,FALSE),0))</f>
        <v/>
      </c>
      <c r="M323" s="38" t="str">
        <f t="shared" si="2"/>
        <v/>
      </c>
      <c r="N323" s="33" t="str">
        <f t="shared" si="3"/>
        <v/>
      </c>
    </row>
    <row r="324" ht="15.75" customHeight="1">
      <c r="B324" s="39"/>
      <c r="C324" s="39"/>
      <c r="E324" s="38"/>
      <c r="F324" s="38"/>
      <c r="G324" s="38"/>
      <c r="H324" s="38"/>
      <c r="I324" s="38"/>
      <c r="J324" s="38"/>
      <c r="K324" s="38" t="str">
        <f t="shared" si="1"/>
        <v/>
      </c>
      <c r="L324" s="38" t="str">
        <f>IF(A324="","",IFERROR(VLOOKUP(VLOOKUP(A324,BOOKINGS!$A:$Q,7,FALSE),SETUP_RATES!$A:$H,8,FALSE),0))</f>
        <v/>
      </c>
      <c r="M324" s="38" t="str">
        <f t="shared" si="2"/>
        <v/>
      </c>
      <c r="N324" s="33" t="str">
        <f t="shared" si="3"/>
        <v/>
      </c>
    </row>
    <row r="325" ht="15.75" customHeight="1">
      <c r="B325" s="39"/>
      <c r="C325" s="39"/>
      <c r="E325" s="38"/>
      <c r="F325" s="38"/>
      <c r="G325" s="38"/>
      <c r="H325" s="38"/>
      <c r="I325" s="38"/>
      <c r="J325" s="38"/>
      <c r="K325" s="38" t="str">
        <f t="shared" si="1"/>
        <v/>
      </c>
      <c r="L325" s="38" t="str">
        <f>IF(A325="","",IFERROR(VLOOKUP(VLOOKUP(A325,BOOKINGS!$A:$Q,7,FALSE),SETUP_RATES!$A:$H,8,FALSE),0))</f>
        <v/>
      </c>
      <c r="M325" s="38" t="str">
        <f t="shared" si="2"/>
        <v/>
      </c>
      <c r="N325" s="33" t="str">
        <f t="shared" si="3"/>
        <v/>
      </c>
    </row>
    <row r="326" ht="15.75" customHeight="1">
      <c r="B326" s="39"/>
      <c r="C326" s="39"/>
      <c r="E326" s="38"/>
      <c r="F326" s="38"/>
      <c r="G326" s="38"/>
      <c r="H326" s="38"/>
      <c r="I326" s="38"/>
      <c r="J326" s="38"/>
      <c r="K326" s="38" t="str">
        <f t="shared" si="1"/>
        <v/>
      </c>
      <c r="L326" s="38" t="str">
        <f>IF(A326="","",IFERROR(VLOOKUP(VLOOKUP(A326,BOOKINGS!$A:$Q,7,FALSE),SETUP_RATES!$A:$H,8,FALSE),0))</f>
        <v/>
      </c>
      <c r="M326" s="38" t="str">
        <f t="shared" si="2"/>
        <v/>
      </c>
      <c r="N326" s="33" t="str">
        <f t="shared" si="3"/>
        <v/>
      </c>
    </row>
    <row r="327" ht="15.75" customHeight="1">
      <c r="B327" s="39"/>
      <c r="C327" s="39"/>
      <c r="E327" s="38"/>
      <c r="F327" s="38"/>
      <c r="G327" s="38"/>
      <c r="H327" s="38"/>
      <c r="I327" s="38"/>
      <c r="J327" s="38"/>
      <c r="K327" s="38" t="str">
        <f t="shared" si="1"/>
        <v/>
      </c>
      <c r="L327" s="38" t="str">
        <f>IF(A327="","",IFERROR(VLOOKUP(VLOOKUP(A327,BOOKINGS!$A:$Q,7,FALSE),SETUP_RATES!$A:$H,8,FALSE),0))</f>
        <v/>
      </c>
      <c r="M327" s="38" t="str">
        <f t="shared" si="2"/>
        <v/>
      </c>
      <c r="N327" s="33" t="str">
        <f t="shared" si="3"/>
        <v/>
      </c>
    </row>
    <row r="328" ht="15.75" customHeight="1">
      <c r="B328" s="39"/>
      <c r="C328" s="39"/>
      <c r="E328" s="38"/>
      <c r="F328" s="38"/>
      <c r="G328" s="38"/>
      <c r="H328" s="38"/>
      <c r="I328" s="38"/>
      <c r="J328" s="38"/>
      <c r="K328" s="38" t="str">
        <f t="shared" si="1"/>
        <v/>
      </c>
      <c r="L328" s="38" t="str">
        <f>IF(A328="","",IFERROR(VLOOKUP(VLOOKUP(A328,BOOKINGS!$A:$Q,7,FALSE),SETUP_RATES!$A:$H,8,FALSE),0))</f>
        <v/>
      </c>
      <c r="M328" s="38" t="str">
        <f t="shared" si="2"/>
        <v/>
      </c>
      <c r="N328" s="33" t="str">
        <f t="shared" si="3"/>
        <v/>
      </c>
    </row>
    <row r="329" ht="15.75" customHeight="1">
      <c r="B329" s="39"/>
      <c r="C329" s="39"/>
      <c r="E329" s="38"/>
      <c r="F329" s="38"/>
      <c r="G329" s="38"/>
      <c r="H329" s="38"/>
      <c r="I329" s="38"/>
      <c r="J329" s="38"/>
      <c r="K329" s="38" t="str">
        <f t="shared" si="1"/>
        <v/>
      </c>
      <c r="L329" s="38" t="str">
        <f>IF(A329="","",IFERROR(VLOOKUP(VLOOKUP(A329,BOOKINGS!$A:$Q,7,FALSE),SETUP_RATES!$A:$H,8,FALSE),0))</f>
        <v/>
      </c>
      <c r="M329" s="38" t="str">
        <f t="shared" si="2"/>
        <v/>
      </c>
      <c r="N329" s="33" t="str">
        <f t="shared" si="3"/>
        <v/>
      </c>
    </row>
    <row r="330" ht="15.75" customHeight="1">
      <c r="B330" s="39"/>
      <c r="C330" s="39"/>
      <c r="E330" s="38"/>
      <c r="F330" s="38"/>
      <c r="G330" s="38"/>
      <c r="H330" s="38"/>
      <c r="I330" s="38"/>
      <c r="J330" s="38"/>
      <c r="K330" s="38" t="str">
        <f t="shared" si="1"/>
        <v/>
      </c>
      <c r="L330" s="38" t="str">
        <f>IF(A330="","",IFERROR(VLOOKUP(VLOOKUP(A330,BOOKINGS!$A:$Q,7,FALSE),SETUP_RATES!$A:$H,8,FALSE),0))</f>
        <v/>
      </c>
      <c r="M330" s="38" t="str">
        <f t="shared" si="2"/>
        <v/>
      </c>
      <c r="N330" s="33" t="str">
        <f t="shared" si="3"/>
        <v/>
      </c>
    </row>
    <row r="331" ht="15.75" customHeight="1">
      <c r="B331" s="39"/>
      <c r="C331" s="39"/>
      <c r="E331" s="38"/>
      <c r="F331" s="38"/>
      <c r="G331" s="38"/>
      <c r="H331" s="38"/>
      <c r="I331" s="38"/>
      <c r="J331" s="38"/>
      <c r="K331" s="38" t="str">
        <f t="shared" si="1"/>
        <v/>
      </c>
      <c r="L331" s="38" t="str">
        <f>IF(A331="","",IFERROR(VLOOKUP(VLOOKUP(A331,BOOKINGS!$A:$Q,7,FALSE),SETUP_RATES!$A:$H,8,FALSE),0))</f>
        <v/>
      </c>
      <c r="M331" s="38" t="str">
        <f t="shared" si="2"/>
        <v/>
      </c>
      <c r="N331" s="33" t="str">
        <f t="shared" si="3"/>
        <v/>
      </c>
    </row>
    <row r="332" ht="15.75" customHeight="1">
      <c r="B332" s="39"/>
      <c r="C332" s="39"/>
      <c r="E332" s="38"/>
      <c r="F332" s="38"/>
      <c r="G332" s="38"/>
      <c r="H332" s="38"/>
      <c r="I332" s="38"/>
      <c r="J332" s="38"/>
      <c r="K332" s="38" t="str">
        <f t="shared" si="1"/>
        <v/>
      </c>
      <c r="L332" s="38" t="str">
        <f>IF(A332="","",IFERROR(VLOOKUP(VLOOKUP(A332,BOOKINGS!$A:$Q,7,FALSE),SETUP_RATES!$A:$H,8,FALSE),0))</f>
        <v/>
      </c>
      <c r="M332" s="38" t="str">
        <f t="shared" si="2"/>
        <v/>
      </c>
      <c r="N332" s="33" t="str">
        <f t="shared" si="3"/>
        <v/>
      </c>
    </row>
    <row r="333" ht="15.75" customHeight="1">
      <c r="B333" s="39"/>
      <c r="C333" s="39"/>
      <c r="E333" s="38"/>
      <c r="F333" s="38"/>
      <c r="G333" s="38"/>
      <c r="H333" s="38"/>
      <c r="I333" s="38"/>
      <c r="J333" s="38"/>
      <c r="K333" s="38" t="str">
        <f t="shared" si="1"/>
        <v/>
      </c>
      <c r="L333" s="38" t="str">
        <f>IF(A333="","",IFERROR(VLOOKUP(VLOOKUP(A333,BOOKINGS!$A:$Q,7,FALSE),SETUP_RATES!$A:$H,8,FALSE),0))</f>
        <v/>
      </c>
      <c r="M333" s="38" t="str">
        <f t="shared" si="2"/>
        <v/>
      </c>
      <c r="N333" s="33" t="str">
        <f t="shared" si="3"/>
        <v/>
      </c>
    </row>
    <row r="334" ht="15.75" customHeight="1">
      <c r="B334" s="39"/>
      <c r="C334" s="39"/>
      <c r="E334" s="38"/>
      <c r="F334" s="38"/>
      <c r="G334" s="38"/>
      <c r="H334" s="38"/>
      <c r="I334" s="38"/>
      <c r="J334" s="38"/>
      <c r="K334" s="38" t="str">
        <f t="shared" si="1"/>
        <v/>
      </c>
      <c r="L334" s="38" t="str">
        <f>IF(A334="","",IFERROR(VLOOKUP(VLOOKUP(A334,BOOKINGS!$A:$Q,7,FALSE),SETUP_RATES!$A:$H,8,FALSE),0))</f>
        <v/>
      </c>
      <c r="M334" s="38" t="str">
        <f t="shared" si="2"/>
        <v/>
      </c>
      <c r="N334" s="33" t="str">
        <f t="shared" si="3"/>
        <v/>
      </c>
    </row>
    <row r="335" ht="15.75" customHeight="1">
      <c r="B335" s="39"/>
      <c r="C335" s="39"/>
      <c r="E335" s="38"/>
      <c r="F335" s="38"/>
      <c r="G335" s="38"/>
      <c r="H335" s="38"/>
      <c r="I335" s="38"/>
      <c r="J335" s="38"/>
      <c r="K335" s="38" t="str">
        <f t="shared" si="1"/>
        <v/>
      </c>
      <c r="L335" s="38" t="str">
        <f>IF(A335="","",IFERROR(VLOOKUP(VLOOKUP(A335,BOOKINGS!$A:$Q,7,FALSE),SETUP_RATES!$A:$H,8,FALSE),0))</f>
        <v/>
      </c>
      <c r="M335" s="38" t="str">
        <f t="shared" si="2"/>
        <v/>
      </c>
      <c r="N335" s="33" t="str">
        <f t="shared" si="3"/>
        <v/>
      </c>
    </row>
    <row r="336" ht="15.75" customHeight="1">
      <c r="B336" s="39"/>
      <c r="C336" s="39"/>
      <c r="E336" s="38"/>
      <c r="F336" s="38"/>
      <c r="G336" s="38"/>
      <c r="H336" s="38"/>
      <c r="I336" s="38"/>
      <c r="J336" s="38"/>
      <c r="K336" s="38" t="str">
        <f t="shared" si="1"/>
        <v/>
      </c>
      <c r="L336" s="38" t="str">
        <f>IF(A336="","",IFERROR(VLOOKUP(VLOOKUP(A336,BOOKINGS!$A:$Q,7,FALSE),SETUP_RATES!$A:$H,8,FALSE),0))</f>
        <v/>
      </c>
      <c r="M336" s="38" t="str">
        <f t="shared" si="2"/>
        <v/>
      </c>
      <c r="N336" s="33" t="str">
        <f t="shared" si="3"/>
        <v/>
      </c>
    </row>
    <row r="337" ht="15.75" customHeight="1">
      <c r="B337" s="39"/>
      <c r="C337" s="39"/>
      <c r="E337" s="38"/>
      <c r="F337" s="38"/>
      <c r="G337" s="38"/>
      <c r="H337" s="38"/>
      <c r="I337" s="38"/>
      <c r="J337" s="38"/>
      <c r="K337" s="38" t="str">
        <f t="shared" si="1"/>
        <v/>
      </c>
      <c r="L337" s="38" t="str">
        <f>IF(A337="","",IFERROR(VLOOKUP(VLOOKUP(A337,BOOKINGS!$A:$Q,7,FALSE),SETUP_RATES!$A:$H,8,FALSE),0))</f>
        <v/>
      </c>
      <c r="M337" s="38" t="str">
        <f t="shared" si="2"/>
        <v/>
      </c>
      <c r="N337" s="33" t="str">
        <f t="shared" si="3"/>
        <v/>
      </c>
    </row>
    <row r="338" ht="15.75" customHeight="1">
      <c r="B338" s="39"/>
      <c r="C338" s="39"/>
      <c r="E338" s="38"/>
      <c r="F338" s="38"/>
      <c r="G338" s="38"/>
      <c r="H338" s="38"/>
      <c r="I338" s="38"/>
      <c r="J338" s="38"/>
      <c r="K338" s="38" t="str">
        <f t="shared" si="1"/>
        <v/>
      </c>
      <c r="L338" s="38" t="str">
        <f>IF(A338="","",IFERROR(VLOOKUP(VLOOKUP(A338,BOOKINGS!$A:$Q,7,FALSE),SETUP_RATES!$A:$H,8,FALSE),0))</f>
        <v/>
      </c>
      <c r="M338" s="38" t="str">
        <f t="shared" si="2"/>
        <v/>
      </c>
      <c r="N338" s="33" t="str">
        <f t="shared" si="3"/>
        <v/>
      </c>
    </row>
    <row r="339" ht="15.75" customHeight="1">
      <c r="B339" s="39"/>
      <c r="C339" s="39"/>
      <c r="E339" s="38"/>
      <c r="F339" s="38"/>
      <c r="G339" s="38"/>
      <c r="H339" s="38"/>
      <c r="I339" s="38"/>
      <c r="J339" s="38"/>
      <c r="K339" s="38" t="str">
        <f t="shared" si="1"/>
        <v/>
      </c>
      <c r="L339" s="38" t="str">
        <f>IF(A339="","",IFERROR(VLOOKUP(VLOOKUP(A339,BOOKINGS!$A:$Q,7,FALSE),SETUP_RATES!$A:$H,8,FALSE),0))</f>
        <v/>
      </c>
      <c r="M339" s="38" t="str">
        <f t="shared" si="2"/>
        <v/>
      </c>
      <c r="N339" s="33" t="str">
        <f t="shared" si="3"/>
        <v/>
      </c>
    </row>
    <row r="340" ht="15.75" customHeight="1">
      <c r="B340" s="39"/>
      <c r="C340" s="39"/>
      <c r="E340" s="38"/>
      <c r="F340" s="38"/>
      <c r="G340" s="38"/>
      <c r="H340" s="38"/>
      <c r="I340" s="38"/>
      <c r="J340" s="38"/>
      <c r="K340" s="38" t="str">
        <f t="shared" si="1"/>
        <v/>
      </c>
      <c r="L340" s="38" t="str">
        <f>IF(A340="","",IFERROR(VLOOKUP(VLOOKUP(A340,BOOKINGS!$A:$Q,7,FALSE),SETUP_RATES!$A:$H,8,FALSE),0))</f>
        <v/>
      </c>
      <c r="M340" s="38" t="str">
        <f t="shared" si="2"/>
        <v/>
      </c>
      <c r="N340" s="33" t="str">
        <f t="shared" si="3"/>
        <v/>
      </c>
    </row>
    <row r="341" ht="15.75" customHeight="1">
      <c r="B341" s="39"/>
      <c r="C341" s="39"/>
      <c r="E341" s="38"/>
      <c r="F341" s="38"/>
      <c r="G341" s="38"/>
      <c r="H341" s="38"/>
      <c r="I341" s="38"/>
      <c r="J341" s="38"/>
      <c r="K341" s="38" t="str">
        <f t="shared" si="1"/>
        <v/>
      </c>
      <c r="L341" s="38" t="str">
        <f>IF(A341="","",IFERROR(VLOOKUP(VLOOKUP(A341,BOOKINGS!$A:$Q,7,FALSE),SETUP_RATES!$A:$H,8,FALSE),0))</f>
        <v/>
      </c>
      <c r="M341" s="38" t="str">
        <f t="shared" si="2"/>
        <v/>
      </c>
      <c r="N341" s="33" t="str">
        <f t="shared" si="3"/>
        <v/>
      </c>
    </row>
    <row r="342" ht="15.75" customHeight="1">
      <c r="B342" s="39"/>
      <c r="C342" s="39"/>
      <c r="E342" s="38"/>
      <c r="F342" s="38"/>
      <c r="G342" s="38"/>
      <c r="H342" s="38"/>
      <c r="I342" s="38"/>
      <c r="J342" s="38"/>
      <c r="K342" s="38" t="str">
        <f t="shared" si="1"/>
        <v/>
      </c>
      <c r="L342" s="38" t="str">
        <f>IF(A342="","",IFERROR(VLOOKUP(VLOOKUP(A342,BOOKINGS!$A:$Q,7,FALSE),SETUP_RATES!$A:$H,8,FALSE),0))</f>
        <v/>
      </c>
      <c r="M342" s="38" t="str">
        <f t="shared" si="2"/>
        <v/>
      </c>
      <c r="N342" s="33" t="str">
        <f t="shared" si="3"/>
        <v/>
      </c>
    </row>
    <row r="343" ht="15.75" customHeight="1">
      <c r="B343" s="39"/>
      <c r="C343" s="39"/>
      <c r="E343" s="38"/>
      <c r="F343" s="38"/>
      <c r="G343" s="38"/>
      <c r="H343" s="38"/>
      <c r="I343" s="38"/>
      <c r="J343" s="38"/>
      <c r="K343" s="38" t="str">
        <f t="shared" si="1"/>
        <v/>
      </c>
      <c r="L343" s="38" t="str">
        <f>IF(A343="","",IFERROR(VLOOKUP(VLOOKUP(A343,BOOKINGS!$A:$Q,7,FALSE),SETUP_RATES!$A:$H,8,FALSE),0))</f>
        <v/>
      </c>
      <c r="M343" s="38" t="str">
        <f t="shared" si="2"/>
        <v/>
      </c>
      <c r="N343" s="33" t="str">
        <f t="shared" si="3"/>
        <v/>
      </c>
    </row>
    <row r="344" ht="15.75" customHeight="1">
      <c r="B344" s="39"/>
      <c r="C344" s="39"/>
      <c r="E344" s="38"/>
      <c r="F344" s="38"/>
      <c r="G344" s="38"/>
      <c r="H344" s="38"/>
      <c r="I344" s="38"/>
      <c r="J344" s="38"/>
      <c r="K344" s="38" t="str">
        <f t="shared" si="1"/>
        <v/>
      </c>
      <c r="L344" s="38" t="str">
        <f>IF(A344="","",IFERROR(VLOOKUP(VLOOKUP(A344,BOOKINGS!$A:$Q,7,FALSE),SETUP_RATES!$A:$H,8,FALSE),0))</f>
        <v/>
      </c>
      <c r="M344" s="38" t="str">
        <f t="shared" si="2"/>
        <v/>
      </c>
      <c r="N344" s="33" t="str">
        <f t="shared" si="3"/>
        <v/>
      </c>
    </row>
    <row r="345" ht="15.75" customHeight="1">
      <c r="B345" s="39"/>
      <c r="C345" s="39"/>
      <c r="E345" s="38"/>
      <c r="F345" s="38"/>
      <c r="G345" s="38"/>
      <c r="H345" s="38"/>
      <c r="I345" s="38"/>
      <c r="J345" s="38"/>
      <c r="K345" s="38" t="str">
        <f t="shared" si="1"/>
        <v/>
      </c>
      <c r="L345" s="38" t="str">
        <f>IF(A345="","",IFERROR(VLOOKUP(VLOOKUP(A345,BOOKINGS!$A:$Q,7,FALSE),SETUP_RATES!$A:$H,8,FALSE),0))</f>
        <v/>
      </c>
      <c r="M345" s="38" t="str">
        <f t="shared" si="2"/>
        <v/>
      </c>
      <c r="N345" s="33" t="str">
        <f t="shared" si="3"/>
        <v/>
      </c>
    </row>
    <row r="346" ht="15.75" customHeight="1">
      <c r="B346" s="39"/>
      <c r="C346" s="39"/>
      <c r="E346" s="38"/>
      <c r="F346" s="38"/>
      <c r="G346" s="38"/>
      <c r="H346" s="38"/>
      <c r="I346" s="38"/>
      <c r="J346" s="38"/>
      <c r="K346" s="38" t="str">
        <f t="shared" si="1"/>
        <v/>
      </c>
      <c r="L346" s="38" t="str">
        <f>IF(A346="","",IFERROR(VLOOKUP(VLOOKUP(A346,BOOKINGS!$A:$Q,7,FALSE),SETUP_RATES!$A:$H,8,FALSE),0))</f>
        <v/>
      </c>
      <c r="M346" s="38" t="str">
        <f t="shared" si="2"/>
        <v/>
      </c>
      <c r="N346" s="33" t="str">
        <f t="shared" si="3"/>
        <v/>
      </c>
    </row>
    <row r="347" ht="15.75" customHeight="1">
      <c r="B347" s="39"/>
      <c r="C347" s="39"/>
      <c r="E347" s="38"/>
      <c r="F347" s="38"/>
      <c r="G347" s="38"/>
      <c r="H347" s="38"/>
      <c r="I347" s="38"/>
      <c r="J347" s="38"/>
      <c r="K347" s="38" t="str">
        <f t="shared" si="1"/>
        <v/>
      </c>
      <c r="L347" s="38" t="str">
        <f>IF(A347="","",IFERROR(VLOOKUP(VLOOKUP(A347,BOOKINGS!$A:$Q,7,FALSE),SETUP_RATES!$A:$H,8,FALSE),0))</f>
        <v/>
      </c>
      <c r="M347" s="38" t="str">
        <f t="shared" si="2"/>
        <v/>
      </c>
      <c r="N347" s="33" t="str">
        <f t="shared" si="3"/>
        <v/>
      </c>
    </row>
    <row r="348" ht="15.75" customHeight="1">
      <c r="B348" s="39"/>
      <c r="C348" s="39"/>
      <c r="E348" s="38"/>
      <c r="F348" s="38"/>
      <c r="G348" s="38"/>
      <c r="H348" s="38"/>
      <c r="I348" s="38"/>
      <c r="J348" s="38"/>
      <c r="K348" s="38" t="str">
        <f t="shared" si="1"/>
        <v/>
      </c>
      <c r="L348" s="38" t="str">
        <f>IF(A348="","",IFERROR(VLOOKUP(VLOOKUP(A348,BOOKINGS!$A:$Q,7,FALSE),SETUP_RATES!$A:$H,8,FALSE),0))</f>
        <v/>
      </c>
      <c r="M348" s="38" t="str">
        <f t="shared" si="2"/>
        <v/>
      </c>
      <c r="N348" s="33" t="str">
        <f t="shared" si="3"/>
        <v/>
      </c>
    </row>
    <row r="349" ht="15.75" customHeight="1">
      <c r="B349" s="39"/>
      <c r="C349" s="39"/>
      <c r="E349" s="38"/>
      <c r="F349" s="38"/>
      <c r="G349" s="38"/>
      <c r="H349" s="38"/>
      <c r="I349" s="38"/>
      <c r="J349" s="38"/>
      <c r="K349" s="38" t="str">
        <f t="shared" si="1"/>
        <v/>
      </c>
      <c r="L349" s="38" t="str">
        <f>IF(A349="","",IFERROR(VLOOKUP(VLOOKUP(A349,BOOKINGS!$A:$Q,7,FALSE),SETUP_RATES!$A:$H,8,FALSE),0))</f>
        <v/>
      </c>
      <c r="M349" s="38" t="str">
        <f t="shared" si="2"/>
        <v/>
      </c>
      <c r="N349" s="33" t="str">
        <f t="shared" si="3"/>
        <v/>
      </c>
    </row>
    <row r="350" ht="15.75" customHeight="1">
      <c r="B350" s="39"/>
      <c r="C350" s="39"/>
      <c r="E350" s="38"/>
      <c r="F350" s="38"/>
      <c r="G350" s="38"/>
      <c r="H350" s="38"/>
      <c r="I350" s="38"/>
      <c r="J350" s="38"/>
      <c r="K350" s="38" t="str">
        <f t="shared" si="1"/>
        <v/>
      </c>
      <c r="L350" s="38" t="str">
        <f>IF(A350="","",IFERROR(VLOOKUP(VLOOKUP(A350,BOOKINGS!$A:$Q,7,FALSE),SETUP_RATES!$A:$H,8,FALSE),0))</f>
        <v/>
      </c>
      <c r="M350" s="38" t="str">
        <f t="shared" si="2"/>
        <v/>
      </c>
      <c r="N350" s="33" t="str">
        <f t="shared" si="3"/>
        <v/>
      </c>
    </row>
    <row r="351" ht="15.75" customHeight="1">
      <c r="B351" s="39"/>
      <c r="C351" s="39"/>
      <c r="E351" s="38"/>
      <c r="F351" s="38"/>
      <c r="G351" s="38"/>
      <c r="H351" s="38"/>
      <c r="I351" s="38"/>
      <c r="J351" s="38"/>
      <c r="K351" s="38" t="str">
        <f t="shared" si="1"/>
        <v/>
      </c>
      <c r="L351" s="38" t="str">
        <f>IF(A351="","",IFERROR(VLOOKUP(VLOOKUP(A351,BOOKINGS!$A:$Q,7,FALSE),SETUP_RATES!$A:$H,8,FALSE),0))</f>
        <v/>
      </c>
      <c r="M351" s="38" t="str">
        <f t="shared" si="2"/>
        <v/>
      </c>
      <c r="N351" s="33" t="str">
        <f t="shared" si="3"/>
        <v/>
      </c>
    </row>
    <row r="352" ht="15.75" customHeight="1">
      <c r="B352" s="39"/>
      <c r="C352" s="39"/>
      <c r="E352" s="38"/>
      <c r="F352" s="38"/>
      <c r="G352" s="38"/>
      <c r="H352" s="38"/>
      <c r="I352" s="38"/>
      <c r="J352" s="38"/>
      <c r="K352" s="38" t="str">
        <f t="shared" si="1"/>
        <v/>
      </c>
      <c r="L352" s="38" t="str">
        <f>IF(A352="","",IFERROR(VLOOKUP(VLOOKUP(A352,BOOKINGS!$A:$Q,7,FALSE),SETUP_RATES!$A:$H,8,FALSE),0))</f>
        <v/>
      </c>
      <c r="M352" s="38" t="str">
        <f t="shared" si="2"/>
        <v/>
      </c>
      <c r="N352" s="33" t="str">
        <f t="shared" si="3"/>
        <v/>
      </c>
    </row>
    <row r="353" ht="15.75" customHeight="1">
      <c r="B353" s="39"/>
      <c r="C353" s="39"/>
      <c r="E353" s="38"/>
      <c r="F353" s="38"/>
      <c r="G353" s="38"/>
      <c r="H353" s="38"/>
      <c r="I353" s="38"/>
      <c r="J353" s="38"/>
      <c r="K353" s="38" t="str">
        <f t="shared" si="1"/>
        <v/>
      </c>
      <c r="L353" s="38" t="str">
        <f>IF(A353="","",IFERROR(VLOOKUP(VLOOKUP(A353,BOOKINGS!$A:$Q,7,FALSE),SETUP_RATES!$A:$H,8,FALSE),0))</f>
        <v/>
      </c>
      <c r="M353" s="38" t="str">
        <f t="shared" si="2"/>
        <v/>
      </c>
      <c r="N353" s="33" t="str">
        <f t="shared" si="3"/>
        <v/>
      </c>
    </row>
    <row r="354" ht="15.75" customHeight="1">
      <c r="B354" s="39"/>
      <c r="C354" s="39"/>
      <c r="E354" s="38"/>
      <c r="F354" s="38"/>
      <c r="G354" s="38"/>
      <c r="H354" s="38"/>
      <c r="I354" s="38"/>
      <c r="J354" s="38"/>
      <c r="K354" s="38" t="str">
        <f t="shared" si="1"/>
        <v/>
      </c>
      <c r="L354" s="38" t="str">
        <f>IF(A354="","",IFERROR(VLOOKUP(VLOOKUP(A354,BOOKINGS!$A:$Q,7,FALSE),SETUP_RATES!$A:$H,8,FALSE),0))</f>
        <v/>
      </c>
      <c r="M354" s="38" t="str">
        <f t="shared" si="2"/>
        <v/>
      </c>
      <c r="N354" s="33" t="str">
        <f t="shared" si="3"/>
        <v/>
      </c>
    </row>
    <row r="355" ht="15.75" customHeight="1">
      <c r="B355" s="39"/>
      <c r="C355" s="39"/>
      <c r="E355" s="38"/>
      <c r="F355" s="38"/>
      <c r="G355" s="38"/>
      <c r="H355" s="38"/>
      <c r="I355" s="38"/>
      <c r="J355" s="38"/>
      <c r="K355" s="38" t="str">
        <f t="shared" si="1"/>
        <v/>
      </c>
      <c r="L355" s="38" t="str">
        <f>IF(A355="","",IFERROR(VLOOKUP(VLOOKUP(A355,BOOKINGS!$A:$Q,7,FALSE),SETUP_RATES!$A:$H,8,FALSE),0))</f>
        <v/>
      </c>
      <c r="M355" s="38" t="str">
        <f t="shared" si="2"/>
        <v/>
      </c>
      <c r="N355" s="33" t="str">
        <f t="shared" si="3"/>
        <v/>
      </c>
    </row>
    <row r="356" ht="15.75" customHeight="1">
      <c r="B356" s="39"/>
      <c r="C356" s="39"/>
      <c r="E356" s="38"/>
      <c r="F356" s="38"/>
      <c r="G356" s="38"/>
      <c r="H356" s="38"/>
      <c r="I356" s="38"/>
      <c r="J356" s="38"/>
      <c r="K356" s="38" t="str">
        <f t="shared" si="1"/>
        <v/>
      </c>
      <c r="L356" s="38" t="str">
        <f>IF(A356="","",IFERROR(VLOOKUP(VLOOKUP(A356,BOOKINGS!$A:$Q,7,FALSE),SETUP_RATES!$A:$H,8,FALSE),0))</f>
        <v/>
      </c>
      <c r="M356" s="38" t="str">
        <f t="shared" si="2"/>
        <v/>
      </c>
      <c r="N356" s="33" t="str">
        <f t="shared" si="3"/>
        <v/>
      </c>
    </row>
    <row r="357" ht="15.75" customHeight="1">
      <c r="B357" s="39"/>
      <c r="C357" s="39"/>
      <c r="E357" s="38"/>
      <c r="F357" s="38"/>
      <c r="G357" s="38"/>
      <c r="H357" s="38"/>
      <c r="I357" s="38"/>
      <c r="J357" s="38"/>
      <c r="K357" s="38" t="str">
        <f t="shared" si="1"/>
        <v/>
      </c>
      <c r="L357" s="38" t="str">
        <f>IF(A357="","",IFERROR(VLOOKUP(VLOOKUP(A357,BOOKINGS!$A:$Q,7,FALSE),SETUP_RATES!$A:$H,8,FALSE),0))</f>
        <v/>
      </c>
      <c r="M357" s="38" t="str">
        <f t="shared" si="2"/>
        <v/>
      </c>
      <c r="N357" s="33" t="str">
        <f t="shared" si="3"/>
        <v/>
      </c>
    </row>
    <row r="358" ht="15.75" customHeight="1">
      <c r="B358" s="39"/>
      <c r="C358" s="39"/>
      <c r="E358" s="38"/>
      <c r="F358" s="38"/>
      <c r="G358" s="38"/>
      <c r="H358" s="38"/>
      <c r="I358" s="38"/>
      <c r="J358" s="38"/>
      <c r="K358" s="38" t="str">
        <f t="shared" si="1"/>
        <v/>
      </c>
      <c r="L358" s="38" t="str">
        <f>IF(A358="","",IFERROR(VLOOKUP(VLOOKUP(A358,BOOKINGS!$A:$Q,7,FALSE),SETUP_RATES!$A:$H,8,FALSE),0))</f>
        <v/>
      </c>
      <c r="M358" s="38" t="str">
        <f t="shared" si="2"/>
        <v/>
      </c>
      <c r="N358" s="33" t="str">
        <f t="shared" si="3"/>
        <v/>
      </c>
    </row>
    <row r="359" ht="15.75" customHeight="1">
      <c r="B359" s="39"/>
      <c r="C359" s="39"/>
      <c r="E359" s="38"/>
      <c r="F359" s="38"/>
      <c r="G359" s="38"/>
      <c r="H359" s="38"/>
      <c r="I359" s="38"/>
      <c r="J359" s="38"/>
      <c r="K359" s="38" t="str">
        <f t="shared" si="1"/>
        <v/>
      </c>
      <c r="L359" s="38" t="str">
        <f>IF(A359="","",IFERROR(VLOOKUP(VLOOKUP(A359,BOOKINGS!$A:$Q,7,FALSE),SETUP_RATES!$A:$H,8,FALSE),0))</f>
        <v/>
      </c>
      <c r="M359" s="38" t="str">
        <f t="shared" si="2"/>
        <v/>
      </c>
      <c r="N359" s="33" t="str">
        <f t="shared" si="3"/>
        <v/>
      </c>
    </row>
    <row r="360" ht="15.75" customHeight="1">
      <c r="B360" s="39"/>
      <c r="C360" s="39"/>
      <c r="E360" s="38"/>
      <c r="F360" s="38"/>
      <c r="G360" s="38"/>
      <c r="H360" s="38"/>
      <c r="I360" s="38"/>
      <c r="J360" s="38"/>
      <c r="K360" s="38" t="str">
        <f t="shared" si="1"/>
        <v/>
      </c>
      <c r="L360" s="38" t="str">
        <f>IF(A360="","",IFERROR(VLOOKUP(VLOOKUP(A360,BOOKINGS!$A:$Q,7,FALSE),SETUP_RATES!$A:$H,8,FALSE),0))</f>
        <v/>
      </c>
      <c r="M360" s="38" t="str">
        <f t="shared" si="2"/>
        <v/>
      </c>
      <c r="N360" s="33" t="str">
        <f t="shared" si="3"/>
        <v/>
      </c>
    </row>
    <row r="361" ht="15.75" customHeight="1">
      <c r="B361" s="39"/>
      <c r="C361" s="39"/>
      <c r="E361" s="38"/>
      <c r="F361" s="38"/>
      <c r="G361" s="38"/>
      <c r="H361" s="38"/>
      <c r="I361" s="38"/>
      <c r="J361" s="38"/>
      <c r="K361" s="38" t="str">
        <f t="shared" si="1"/>
        <v/>
      </c>
      <c r="L361" s="38" t="str">
        <f>IF(A361="","",IFERROR(VLOOKUP(VLOOKUP(A361,BOOKINGS!$A:$Q,7,FALSE),SETUP_RATES!$A:$H,8,FALSE),0))</f>
        <v/>
      </c>
      <c r="M361" s="38" t="str">
        <f t="shared" si="2"/>
        <v/>
      </c>
      <c r="N361" s="33" t="str">
        <f t="shared" si="3"/>
        <v/>
      </c>
    </row>
    <row r="362" ht="15.75" customHeight="1">
      <c r="B362" s="39"/>
      <c r="C362" s="39"/>
      <c r="E362" s="38"/>
      <c r="F362" s="38"/>
      <c r="G362" s="38"/>
      <c r="H362" s="38"/>
      <c r="I362" s="38"/>
      <c r="J362" s="38"/>
      <c r="K362" s="38" t="str">
        <f t="shared" si="1"/>
        <v/>
      </c>
      <c r="L362" s="38" t="str">
        <f>IF(A362="","",IFERROR(VLOOKUP(VLOOKUP(A362,BOOKINGS!$A:$Q,7,FALSE),SETUP_RATES!$A:$H,8,FALSE),0))</f>
        <v/>
      </c>
      <c r="M362" s="38" t="str">
        <f t="shared" si="2"/>
        <v/>
      </c>
      <c r="N362" s="33" t="str">
        <f t="shared" si="3"/>
        <v/>
      </c>
    </row>
    <row r="363" ht="15.75" customHeight="1">
      <c r="B363" s="39"/>
      <c r="C363" s="39"/>
      <c r="E363" s="38"/>
      <c r="F363" s="38"/>
      <c r="G363" s="38"/>
      <c r="H363" s="38"/>
      <c r="I363" s="38"/>
      <c r="J363" s="38"/>
      <c r="K363" s="38" t="str">
        <f t="shared" si="1"/>
        <v/>
      </c>
      <c r="L363" s="38" t="str">
        <f>IF(A363="","",IFERROR(VLOOKUP(VLOOKUP(A363,BOOKINGS!$A:$Q,7,FALSE),SETUP_RATES!$A:$H,8,FALSE),0))</f>
        <v/>
      </c>
      <c r="M363" s="38" t="str">
        <f t="shared" si="2"/>
        <v/>
      </c>
      <c r="N363" s="33" t="str">
        <f t="shared" si="3"/>
        <v/>
      </c>
    </row>
    <row r="364" ht="15.75" customHeight="1">
      <c r="B364" s="39"/>
      <c r="C364" s="39"/>
      <c r="E364" s="38"/>
      <c r="F364" s="38"/>
      <c r="G364" s="38"/>
      <c r="H364" s="38"/>
      <c r="I364" s="38"/>
      <c r="J364" s="38"/>
      <c r="K364" s="38" t="str">
        <f t="shared" si="1"/>
        <v/>
      </c>
      <c r="L364" s="38" t="str">
        <f>IF(A364="","",IFERROR(VLOOKUP(VLOOKUP(A364,BOOKINGS!$A:$Q,7,FALSE),SETUP_RATES!$A:$H,8,FALSE),0))</f>
        <v/>
      </c>
      <c r="M364" s="38" t="str">
        <f t="shared" si="2"/>
        <v/>
      </c>
      <c r="N364" s="33" t="str">
        <f t="shared" si="3"/>
        <v/>
      </c>
    </row>
    <row r="365" ht="15.75" customHeight="1">
      <c r="B365" s="39"/>
      <c r="C365" s="39"/>
      <c r="E365" s="38"/>
      <c r="F365" s="38"/>
      <c r="G365" s="38"/>
      <c r="H365" s="38"/>
      <c r="I365" s="38"/>
      <c r="J365" s="38"/>
      <c r="K365" s="38" t="str">
        <f t="shared" si="1"/>
        <v/>
      </c>
      <c r="L365" s="38" t="str">
        <f>IF(A365="","",IFERROR(VLOOKUP(VLOOKUP(A365,BOOKINGS!$A:$Q,7,FALSE),SETUP_RATES!$A:$H,8,FALSE),0))</f>
        <v/>
      </c>
      <c r="M365" s="38" t="str">
        <f t="shared" si="2"/>
        <v/>
      </c>
      <c r="N365" s="33" t="str">
        <f t="shared" si="3"/>
        <v/>
      </c>
    </row>
    <row r="366" ht="15.75" customHeight="1">
      <c r="B366" s="39"/>
      <c r="C366" s="39"/>
      <c r="E366" s="38"/>
      <c r="F366" s="38"/>
      <c r="G366" s="38"/>
      <c r="H366" s="38"/>
      <c r="I366" s="38"/>
      <c r="J366" s="38"/>
      <c r="K366" s="38" t="str">
        <f t="shared" si="1"/>
        <v/>
      </c>
      <c r="L366" s="38" t="str">
        <f>IF(A366="","",IFERROR(VLOOKUP(VLOOKUP(A366,BOOKINGS!$A:$Q,7,FALSE),SETUP_RATES!$A:$H,8,FALSE),0))</f>
        <v/>
      </c>
      <c r="M366" s="38" t="str">
        <f t="shared" si="2"/>
        <v/>
      </c>
      <c r="N366" s="33" t="str">
        <f t="shared" si="3"/>
        <v/>
      </c>
    </row>
    <row r="367" ht="15.75" customHeight="1">
      <c r="B367" s="39"/>
      <c r="C367" s="39"/>
      <c r="E367" s="38"/>
      <c r="F367" s="38"/>
      <c r="G367" s="38"/>
      <c r="H367" s="38"/>
      <c r="I367" s="38"/>
      <c r="J367" s="38"/>
      <c r="K367" s="38" t="str">
        <f t="shared" si="1"/>
        <v/>
      </c>
      <c r="L367" s="38" t="str">
        <f>IF(A367="","",IFERROR(VLOOKUP(VLOOKUP(A367,BOOKINGS!$A:$Q,7,FALSE),SETUP_RATES!$A:$H,8,FALSE),0))</f>
        <v/>
      </c>
      <c r="M367" s="38" t="str">
        <f t="shared" si="2"/>
        <v/>
      </c>
      <c r="N367" s="33" t="str">
        <f t="shared" si="3"/>
        <v/>
      </c>
    </row>
    <row r="368" ht="15.75" customHeight="1">
      <c r="B368" s="39"/>
      <c r="C368" s="39"/>
      <c r="E368" s="38"/>
      <c r="F368" s="38"/>
      <c r="G368" s="38"/>
      <c r="H368" s="38"/>
      <c r="I368" s="38"/>
      <c r="J368" s="38"/>
      <c r="K368" s="38" t="str">
        <f t="shared" si="1"/>
        <v/>
      </c>
      <c r="L368" s="38" t="str">
        <f>IF(A368="","",IFERROR(VLOOKUP(VLOOKUP(A368,BOOKINGS!$A:$Q,7,FALSE),SETUP_RATES!$A:$H,8,FALSE),0))</f>
        <v/>
      </c>
      <c r="M368" s="38" t="str">
        <f t="shared" si="2"/>
        <v/>
      </c>
      <c r="N368" s="33" t="str">
        <f t="shared" si="3"/>
        <v/>
      </c>
    </row>
    <row r="369" ht="15.75" customHeight="1">
      <c r="B369" s="39"/>
      <c r="C369" s="39"/>
      <c r="E369" s="38"/>
      <c r="F369" s="38"/>
      <c r="G369" s="38"/>
      <c r="H369" s="38"/>
      <c r="I369" s="38"/>
      <c r="J369" s="38"/>
      <c r="K369" s="38" t="str">
        <f t="shared" si="1"/>
        <v/>
      </c>
      <c r="L369" s="38" t="str">
        <f>IF(A369="","",IFERROR(VLOOKUP(VLOOKUP(A369,BOOKINGS!$A:$Q,7,FALSE),SETUP_RATES!$A:$H,8,FALSE),0))</f>
        <v/>
      </c>
      <c r="M369" s="38" t="str">
        <f t="shared" si="2"/>
        <v/>
      </c>
      <c r="N369" s="33" t="str">
        <f t="shared" si="3"/>
        <v/>
      </c>
    </row>
    <row r="370" ht="15.75" customHeight="1">
      <c r="B370" s="39"/>
      <c r="C370" s="39"/>
      <c r="E370" s="38"/>
      <c r="F370" s="38"/>
      <c r="G370" s="38"/>
      <c r="H370" s="38"/>
      <c r="I370" s="38"/>
      <c r="J370" s="38"/>
      <c r="K370" s="38" t="str">
        <f t="shared" si="1"/>
        <v/>
      </c>
      <c r="L370" s="38" t="str">
        <f>IF(A370="","",IFERROR(VLOOKUP(VLOOKUP(A370,BOOKINGS!$A:$Q,7,FALSE),SETUP_RATES!$A:$H,8,FALSE),0))</f>
        <v/>
      </c>
      <c r="M370" s="38" t="str">
        <f t="shared" si="2"/>
        <v/>
      </c>
      <c r="N370" s="33" t="str">
        <f t="shared" si="3"/>
        <v/>
      </c>
    </row>
    <row r="371" ht="15.75" customHeight="1">
      <c r="B371" s="39"/>
      <c r="C371" s="39"/>
      <c r="E371" s="38"/>
      <c r="F371" s="38"/>
      <c r="G371" s="38"/>
      <c r="H371" s="38"/>
      <c r="I371" s="38"/>
      <c r="J371" s="38"/>
      <c r="K371" s="38" t="str">
        <f t="shared" si="1"/>
        <v/>
      </c>
      <c r="L371" s="38" t="str">
        <f>IF(A371="","",IFERROR(VLOOKUP(VLOOKUP(A371,BOOKINGS!$A:$Q,7,FALSE),SETUP_RATES!$A:$H,8,FALSE),0))</f>
        <v/>
      </c>
      <c r="M371" s="38" t="str">
        <f t="shared" si="2"/>
        <v/>
      </c>
      <c r="N371" s="33" t="str">
        <f t="shared" si="3"/>
        <v/>
      </c>
    </row>
    <row r="372" ht="15.75" customHeight="1">
      <c r="B372" s="39"/>
      <c r="C372" s="39"/>
      <c r="E372" s="38"/>
      <c r="F372" s="38"/>
      <c r="G372" s="38"/>
      <c r="H372" s="38"/>
      <c r="I372" s="38"/>
      <c r="J372" s="38"/>
      <c r="K372" s="38" t="str">
        <f t="shared" si="1"/>
        <v/>
      </c>
      <c r="L372" s="38" t="str">
        <f>IF(A372="","",IFERROR(VLOOKUP(VLOOKUP(A372,BOOKINGS!$A:$Q,7,FALSE),SETUP_RATES!$A:$H,8,FALSE),0))</f>
        <v/>
      </c>
      <c r="M372" s="38" t="str">
        <f t="shared" si="2"/>
        <v/>
      </c>
      <c r="N372" s="33" t="str">
        <f t="shared" si="3"/>
        <v/>
      </c>
    </row>
    <row r="373" ht="15.75" customHeight="1">
      <c r="B373" s="39"/>
      <c r="C373" s="39"/>
      <c r="E373" s="38"/>
      <c r="F373" s="38"/>
      <c r="G373" s="38"/>
      <c r="H373" s="38"/>
      <c r="I373" s="38"/>
      <c r="J373" s="38"/>
      <c r="K373" s="38" t="str">
        <f t="shared" si="1"/>
        <v/>
      </c>
      <c r="L373" s="38" t="str">
        <f>IF(A373="","",IFERROR(VLOOKUP(VLOOKUP(A373,BOOKINGS!$A:$Q,7,FALSE),SETUP_RATES!$A:$H,8,FALSE),0))</f>
        <v/>
      </c>
      <c r="M373" s="38" t="str">
        <f t="shared" si="2"/>
        <v/>
      </c>
      <c r="N373" s="33" t="str">
        <f t="shared" si="3"/>
        <v/>
      </c>
    </row>
    <row r="374" ht="15.75" customHeight="1">
      <c r="B374" s="39"/>
      <c r="C374" s="39"/>
      <c r="E374" s="38"/>
      <c r="F374" s="38"/>
      <c r="G374" s="38"/>
      <c r="H374" s="38"/>
      <c r="I374" s="38"/>
      <c r="J374" s="38"/>
      <c r="K374" s="38" t="str">
        <f t="shared" si="1"/>
        <v/>
      </c>
      <c r="L374" s="38" t="str">
        <f>IF(A374="","",IFERROR(VLOOKUP(VLOOKUP(A374,BOOKINGS!$A:$Q,7,FALSE),SETUP_RATES!$A:$H,8,FALSE),0))</f>
        <v/>
      </c>
      <c r="M374" s="38" t="str">
        <f t="shared" si="2"/>
        <v/>
      </c>
      <c r="N374" s="33" t="str">
        <f t="shared" si="3"/>
        <v/>
      </c>
    </row>
    <row r="375" ht="15.75" customHeight="1">
      <c r="B375" s="39"/>
      <c r="C375" s="39"/>
      <c r="E375" s="38"/>
      <c r="F375" s="38"/>
      <c r="G375" s="38"/>
      <c r="H375" s="38"/>
      <c r="I375" s="38"/>
      <c r="J375" s="38"/>
      <c r="K375" s="38" t="str">
        <f t="shared" si="1"/>
        <v/>
      </c>
      <c r="L375" s="38" t="str">
        <f>IF(A375="","",IFERROR(VLOOKUP(VLOOKUP(A375,BOOKINGS!$A:$Q,7,FALSE),SETUP_RATES!$A:$H,8,FALSE),0))</f>
        <v/>
      </c>
      <c r="M375" s="38" t="str">
        <f t="shared" si="2"/>
        <v/>
      </c>
      <c r="N375" s="33" t="str">
        <f t="shared" si="3"/>
        <v/>
      </c>
    </row>
    <row r="376" ht="15.75" customHeight="1">
      <c r="B376" s="39"/>
      <c r="C376" s="39"/>
      <c r="E376" s="38"/>
      <c r="F376" s="38"/>
      <c r="G376" s="38"/>
      <c r="H376" s="38"/>
      <c r="I376" s="38"/>
      <c r="J376" s="38"/>
      <c r="K376" s="38" t="str">
        <f t="shared" si="1"/>
        <v/>
      </c>
      <c r="L376" s="38" t="str">
        <f>IF(A376="","",IFERROR(VLOOKUP(VLOOKUP(A376,BOOKINGS!$A:$Q,7,FALSE),SETUP_RATES!$A:$H,8,FALSE),0))</f>
        <v/>
      </c>
      <c r="M376" s="38" t="str">
        <f t="shared" si="2"/>
        <v/>
      </c>
      <c r="N376" s="33" t="str">
        <f t="shared" si="3"/>
        <v/>
      </c>
    </row>
    <row r="377" ht="15.75" customHeight="1">
      <c r="B377" s="39"/>
      <c r="C377" s="39"/>
      <c r="E377" s="38"/>
      <c r="F377" s="38"/>
      <c r="G377" s="38"/>
      <c r="H377" s="38"/>
      <c r="I377" s="38"/>
      <c r="J377" s="38"/>
      <c r="K377" s="38" t="str">
        <f t="shared" si="1"/>
        <v/>
      </c>
      <c r="L377" s="38" t="str">
        <f>IF(A377="","",IFERROR(VLOOKUP(VLOOKUP(A377,BOOKINGS!$A:$Q,7,FALSE),SETUP_RATES!$A:$H,8,FALSE),0))</f>
        <v/>
      </c>
      <c r="M377" s="38" t="str">
        <f t="shared" si="2"/>
        <v/>
      </c>
      <c r="N377" s="33" t="str">
        <f t="shared" si="3"/>
        <v/>
      </c>
    </row>
    <row r="378" ht="15.75" customHeight="1">
      <c r="B378" s="39"/>
      <c r="C378" s="39"/>
      <c r="E378" s="38"/>
      <c r="F378" s="38"/>
      <c r="G378" s="38"/>
      <c r="H378" s="38"/>
      <c r="I378" s="38"/>
      <c r="J378" s="38"/>
      <c r="K378" s="38" t="str">
        <f t="shared" si="1"/>
        <v/>
      </c>
      <c r="L378" s="38" t="str">
        <f>IF(A378="","",IFERROR(VLOOKUP(VLOOKUP(A378,BOOKINGS!$A:$Q,7,FALSE),SETUP_RATES!$A:$H,8,FALSE),0))</f>
        <v/>
      </c>
      <c r="M378" s="38" t="str">
        <f t="shared" si="2"/>
        <v/>
      </c>
      <c r="N378" s="33" t="str">
        <f t="shared" si="3"/>
        <v/>
      </c>
    </row>
    <row r="379" ht="15.75" customHeight="1">
      <c r="B379" s="39"/>
      <c r="C379" s="39"/>
      <c r="E379" s="38"/>
      <c r="F379" s="38"/>
      <c r="G379" s="38"/>
      <c r="H379" s="38"/>
      <c r="I379" s="38"/>
      <c r="J379" s="38"/>
      <c r="K379" s="38" t="str">
        <f t="shared" si="1"/>
        <v/>
      </c>
      <c r="L379" s="38" t="str">
        <f>IF(A379="","",IFERROR(VLOOKUP(VLOOKUP(A379,BOOKINGS!$A:$Q,7,FALSE),SETUP_RATES!$A:$H,8,FALSE),0))</f>
        <v/>
      </c>
      <c r="M379" s="38" t="str">
        <f t="shared" si="2"/>
        <v/>
      </c>
      <c r="N379" s="33" t="str">
        <f t="shared" si="3"/>
        <v/>
      </c>
    </row>
    <row r="380" ht="15.75" customHeight="1">
      <c r="B380" s="39"/>
      <c r="C380" s="39"/>
      <c r="E380" s="38"/>
      <c r="F380" s="38"/>
      <c r="G380" s="38"/>
      <c r="H380" s="38"/>
      <c r="I380" s="38"/>
      <c r="J380" s="38"/>
      <c r="K380" s="38" t="str">
        <f t="shared" si="1"/>
        <v/>
      </c>
      <c r="L380" s="38" t="str">
        <f>IF(A380="","",IFERROR(VLOOKUP(VLOOKUP(A380,BOOKINGS!$A:$Q,7,FALSE),SETUP_RATES!$A:$H,8,FALSE),0))</f>
        <v/>
      </c>
      <c r="M380" s="38" t="str">
        <f t="shared" si="2"/>
        <v/>
      </c>
      <c r="N380" s="33" t="str">
        <f t="shared" si="3"/>
        <v/>
      </c>
    </row>
    <row r="381" ht="15.75" customHeight="1">
      <c r="B381" s="39"/>
      <c r="C381" s="39"/>
      <c r="E381" s="38"/>
      <c r="F381" s="38"/>
      <c r="G381" s="38"/>
      <c r="H381" s="38"/>
      <c r="I381" s="38"/>
      <c r="J381" s="38"/>
      <c r="K381" s="38" t="str">
        <f t="shared" si="1"/>
        <v/>
      </c>
      <c r="L381" s="38" t="str">
        <f>IF(A381="","",IFERROR(VLOOKUP(VLOOKUP(A381,BOOKINGS!$A:$Q,7,FALSE),SETUP_RATES!$A:$H,8,FALSE),0))</f>
        <v/>
      </c>
      <c r="M381" s="38" t="str">
        <f t="shared" si="2"/>
        <v/>
      </c>
      <c r="N381" s="33" t="str">
        <f t="shared" si="3"/>
        <v/>
      </c>
    </row>
    <row r="382" ht="15.75" customHeight="1">
      <c r="B382" s="39"/>
      <c r="C382" s="39"/>
      <c r="E382" s="38"/>
      <c r="F382" s="38"/>
      <c r="G382" s="38"/>
      <c r="H382" s="38"/>
      <c r="I382" s="38"/>
      <c r="J382" s="38"/>
      <c r="K382" s="38" t="str">
        <f t="shared" si="1"/>
        <v/>
      </c>
      <c r="L382" s="38" t="str">
        <f>IF(A382="","",IFERROR(VLOOKUP(VLOOKUP(A382,BOOKINGS!$A:$Q,7,FALSE),SETUP_RATES!$A:$H,8,FALSE),0))</f>
        <v/>
      </c>
      <c r="M382" s="38" t="str">
        <f t="shared" si="2"/>
        <v/>
      </c>
      <c r="N382" s="33" t="str">
        <f t="shared" si="3"/>
        <v/>
      </c>
    </row>
    <row r="383" ht="15.75" customHeight="1">
      <c r="B383" s="39"/>
      <c r="C383" s="39"/>
      <c r="E383" s="38"/>
      <c r="F383" s="38"/>
      <c r="G383" s="38"/>
      <c r="H383" s="38"/>
      <c r="I383" s="38"/>
      <c r="J383" s="38"/>
      <c r="K383" s="38" t="str">
        <f t="shared" si="1"/>
        <v/>
      </c>
      <c r="L383" s="38" t="str">
        <f>IF(A383="","",IFERROR(VLOOKUP(VLOOKUP(A383,BOOKINGS!$A:$Q,7,FALSE),SETUP_RATES!$A:$H,8,FALSE),0))</f>
        <v/>
      </c>
      <c r="M383" s="38" t="str">
        <f t="shared" si="2"/>
        <v/>
      </c>
      <c r="N383" s="33" t="str">
        <f t="shared" si="3"/>
        <v/>
      </c>
    </row>
    <row r="384" ht="15.75" customHeight="1">
      <c r="B384" s="39"/>
      <c r="C384" s="39"/>
      <c r="E384" s="38"/>
      <c r="F384" s="38"/>
      <c r="G384" s="38"/>
      <c r="H384" s="38"/>
      <c r="I384" s="38"/>
      <c r="J384" s="38"/>
      <c r="K384" s="38" t="str">
        <f t="shared" si="1"/>
        <v/>
      </c>
      <c r="L384" s="38" t="str">
        <f>IF(A384="","",IFERROR(VLOOKUP(VLOOKUP(A384,BOOKINGS!$A:$Q,7,FALSE),SETUP_RATES!$A:$H,8,FALSE),0))</f>
        <v/>
      </c>
      <c r="M384" s="38" t="str">
        <f t="shared" si="2"/>
        <v/>
      </c>
      <c r="N384" s="33" t="str">
        <f t="shared" si="3"/>
        <v/>
      </c>
    </row>
    <row r="385" ht="15.75" customHeight="1">
      <c r="B385" s="39"/>
      <c r="C385" s="39"/>
      <c r="E385" s="38"/>
      <c r="F385" s="38"/>
      <c r="G385" s="38"/>
      <c r="H385" s="38"/>
      <c r="I385" s="38"/>
      <c r="J385" s="38"/>
      <c r="K385" s="38" t="str">
        <f t="shared" si="1"/>
        <v/>
      </c>
      <c r="L385" s="38" t="str">
        <f>IF(A385="","",IFERROR(VLOOKUP(VLOOKUP(A385,BOOKINGS!$A:$Q,7,FALSE),SETUP_RATES!$A:$H,8,FALSE),0))</f>
        <v/>
      </c>
      <c r="M385" s="38" t="str">
        <f t="shared" si="2"/>
        <v/>
      </c>
      <c r="N385" s="33" t="str">
        <f t="shared" si="3"/>
        <v/>
      </c>
    </row>
    <row r="386" ht="15.75" customHeight="1">
      <c r="B386" s="39"/>
      <c r="C386" s="39"/>
      <c r="E386" s="38"/>
      <c r="F386" s="38"/>
      <c r="G386" s="38"/>
      <c r="H386" s="38"/>
      <c r="I386" s="38"/>
      <c r="J386" s="38"/>
      <c r="K386" s="38" t="str">
        <f t="shared" si="1"/>
        <v/>
      </c>
      <c r="L386" s="38" t="str">
        <f>IF(A386="","",IFERROR(VLOOKUP(VLOOKUP(A386,BOOKINGS!$A:$Q,7,FALSE),SETUP_RATES!$A:$H,8,FALSE),0))</f>
        <v/>
      </c>
      <c r="M386" s="38" t="str">
        <f t="shared" si="2"/>
        <v/>
      </c>
      <c r="N386" s="33" t="str">
        <f t="shared" si="3"/>
        <v/>
      </c>
    </row>
    <row r="387" ht="15.75" customHeight="1">
      <c r="B387" s="39"/>
      <c r="C387" s="39"/>
      <c r="E387" s="38"/>
      <c r="F387" s="38"/>
      <c r="G387" s="38"/>
      <c r="H387" s="38"/>
      <c r="I387" s="38"/>
      <c r="J387" s="38"/>
      <c r="K387" s="38" t="str">
        <f t="shared" si="1"/>
        <v/>
      </c>
      <c r="L387" s="38" t="str">
        <f>IF(A387="","",IFERROR(VLOOKUP(VLOOKUP(A387,BOOKINGS!$A:$Q,7,FALSE),SETUP_RATES!$A:$H,8,FALSE),0))</f>
        <v/>
      </c>
      <c r="M387" s="38" t="str">
        <f t="shared" si="2"/>
        <v/>
      </c>
      <c r="N387" s="33" t="str">
        <f t="shared" si="3"/>
        <v/>
      </c>
    </row>
    <row r="388" ht="15.75" customHeight="1">
      <c r="B388" s="39"/>
      <c r="C388" s="39"/>
      <c r="E388" s="38"/>
      <c r="F388" s="38"/>
      <c r="G388" s="38"/>
      <c r="H388" s="38"/>
      <c r="I388" s="38"/>
      <c r="J388" s="38"/>
      <c r="K388" s="38" t="str">
        <f t="shared" si="1"/>
        <v/>
      </c>
      <c r="L388" s="38" t="str">
        <f>IF(A388="","",IFERROR(VLOOKUP(VLOOKUP(A388,BOOKINGS!$A:$Q,7,FALSE),SETUP_RATES!$A:$H,8,FALSE),0))</f>
        <v/>
      </c>
      <c r="M388" s="38" t="str">
        <f t="shared" si="2"/>
        <v/>
      </c>
      <c r="N388" s="33" t="str">
        <f t="shared" si="3"/>
        <v/>
      </c>
    </row>
    <row r="389" ht="15.75" customHeight="1">
      <c r="B389" s="39"/>
      <c r="C389" s="39"/>
      <c r="E389" s="38"/>
      <c r="F389" s="38"/>
      <c r="G389" s="38"/>
      <c r="H389" s="38"/>
      <c r="I389" s="38"/>
      <c r="J389" s="38"/>
      <c r="K389" s="38" t="str">
        <f t="shared" si="1"/>
        <v/>
      </c>
      <c r="L389" s="38" t="str">
        <f>IF(A389="","",IFERROR(VLOOKUP(VLOOKUP(A389,BOOKINGS!$A:$Q,7,FALSE),SETUP_RATES!$A:$H,8,FALSE),0))</f>
        <v/>
      </c>
      <c r="M389" s="38" t="str">
        <f t="shared" si="2"/>
        <v/>
      </c>
      <c r="N389" s="33" t="str">
        <f t="shared" si="3"/>
        <v/>
      </c>
    </row>
    <row r="390" ht="15.75" customHeight="1">
      <c r="B390" s="39"/>
      <c r="C390" s="39"/>
      <c r="E390" s="38"/>
      <c r="F390" s="38"/>
      <c r="G390" s="38"/>
      <c r="H390" s="38"/>
      <c r="I390" s="38"/>
      <c r="J390" s="38"/>
      <c r="K390" s="38" t="str">
        <f t="shared" si="1"/>
        <v/>
      </c>
      <c r="L390" s="38" t="str">
        <f>IF(A390="","",IFERROR(VLOOKUP(VLOOKUP(A390,BOOKINGS!$A:$Q,7,FALSE),SETUP_RATES!$A:$H,8,FALSE),0))</f>
        <v/>
      </c>
      <c r="M390" s="38" t="str">
        <f t="shared" si="2"/>
        <v/>
      </c>
      <c r="N390" s="33" t="str">
        <f t="shared" si="3"/>
        <v/>
      </c>
    </row>
    <row r="391" ht="15.75" customHeight="1">
      <c r="B391" s="39"/>
      <c r="C391" s="39"/>
      <c r="E391" s="38"/>
      <c r="F391" s="38"/>
      <c r="G391" s="38"/>
      <c r="H391" s="38"/>
      <c r="I391" s="38"/>
      <c r="J391" s="38"/>
      <c r="K391" s="38" t="str">
        <f t="shared" si="1"/>
        <v/>
      </c>
      <c r="L391" s="38" t="str">
        <f>IF(A391="","",IFERROR(VLOOKUP(VLOOKUP(A391,BOOKINGS!$A:$Q,7,FALSE),SETUP_RATES!$A:$H,8,FALSE),0))</f>
        <v/>
      </c>
      <c r="M391" s="38" t="str">
        <f t="shared" si="2"/>
        <v/>
      </c>
      <c r="N391" s="33" t="str">
        <f t="shared" si="3"/>
        <v/>
      </c>
    </row>
    <row r="392" ht="15.75" customHeight="1">
      <c r="B392" s="39"/>
      <c r="C392" s="39"/>
      <c r="E392" s="38"/>
      <c r="F392" s="38"/>
      <c r="G392" s="38"/>
      <c r="H392" s="38"/>
      <c r="I392" s="38"/>
      <c r="J392" s="38"/>
      <c r="K392" s="38" t="str">
        <f t="shared" si="1"/>
        <v/>
      </c>
      <c r="L392" s="38" t="str">
        <f>IF(A392="","",IFERROR(VLOOKUP(VLOOKUP(A392,BOOKINGS!$A:$Q,7,FALSE),SETUP_RATES!$A:$H,8,FALSE),0))</f>
        <v/>
      </c>
      <c r="M392" s="38" t="str">
        <f t="shared" si="2"/>
        <v/>
      </c>
      <c r="N392" s="33" t="str">
        <f t="shared" si="3"/>
        <v/>
      </c>
    </row>
    <row r="393" ht="15.75" customHeight="1">
      <c r="B393" s="39"/>
      <c r="C393" s="39"/>
      <c r="E393" s="38"/>
      <c r="F393" s="38"/>
      <c r="G393" s="38"/>
      <c r="H393" s="38"/>
      <c r="I393" s="38"/>
      <c r="J393" s="38"/>
      <c r="K393" s="38" t="str">
        <f t="shared" si="1"/>
        <v/>
      </c>
      <c r="L393" s="38" t="str">
        <f>IF(A393="","",IFERROR(VLOOKUP(VLOOKUP(A393,BOOKINGS!$A:$Q,7,FALSE),SETUP_RATES!$A:$H,8,FALSE),0))</f>
        <v/>
      </c>
      <c r="M393" s="38" t="str">
        <f t="shared" si="2"/>
        <v/>
      </c>
      <c r="N393" s="33" t="str">
        <f t="shared" si="3"/>
        <v/>
      </c>
    </row>
    <row r="394" ht="15.75" customHeight="1">
      <c r="B394" s="39"/>
      <c r="C394" s="39"/>
      <c r="E394" s="38"/>
      <c r="F394" s="38"/>
      <c r="G394" s="38"/>
      <c r="H394" s="38"/>
      <c r="I394" s="38"/>
      <c r="J394" s="38"/>
      <c r="K394" s="38" t="str">
        <f t="shared" si="1"/>
        <v/>
      </c>
      <c r="L394" s="38" t="str">
        <f>IF(A394="","",IFERROR(VLOOKUP(VLOOKUP(A394,BOOKINGS!$A:$Q,7,FALSE),SETUP_RATES!$A:$H,8,FALSE),0))</f>
        <v/>
      </c>
      <c r="M394" s="38" t="str">
        <f t="shared" si="2"/>
        <v/>
      </c>
      <c r="N394" s="33" t="str">
        <f t="shared" si="3"/>
        <v/>
      </c>
    </row>
    <row r="395" ht="15.75" customHeight="1">
      <c r="B395" s="39"/>
      <c r="C395" s="39"/>
      <c r="E395" s="38"/>
      <c r="F395" s="38"/>
      <c r="G395" s="38"/>
      <c r="H395" s="38"/>
      <c r="I395" s="38"/>
      <c r="J395" s="38"/>
      <c r="K395" s="38" t="str">
        <f t="shared" si="1"/>
        <v/>
      </c>
      <c r="L395" s="38" t="str">
        <f>IF(A395="","",IFERROR(VLOOKUP(VLOOKUP(A395,BOOKINGS!$A:$Q,7,FALSE),SETUP_RATES!$A:$H,8,FALSE),0))</f>
        <v/>
      </c>
      <c r="M395" s="38" t="str">
        <f t="shared" si="2"/>
        <v/>
      </c>
      <c r="N395" s="33" t="str">
        <f t="shared" si="3"/>
        <v/>
      </c>
    </row>
    <row r="396" ht="15.75" customHeight="1">
      <c r="B396" s="39"/>
      <c r="C396" s="39"/>
      <c r="E396" s="38"/>
      <c r="F396" s="38"/>
      <c r="G396" s="38"/>
      <c r="H396" s="38"/>
      <c r="I396" s="38"/>
      <c r="J396" s="38"/>
      <c r="K396" s="38" t="str">
        <f t="shared" si="1"/>
        <v/>
      </c>
      <c r="L396" s="38" t="str">
        <f>IF(A396="","",IFERROR(VLOOKUP(VLOOKUP(A396,BOOKINGS!$A:$Q,7,FALSE),SETUP_RATES!$A:$H,8,FALSE),0))</f>
        <v/>
      </c>
      <c r="M396" s="38" t="str">
        <f t="shared" si="2"/>
        <v/>
      </c>
      <c r="N396" s="33" t="str">
        <f t="shared" si="3"/>
        <v/>
      </c>
    </row>
    <row r="397" ht="15.75" customHeight="1">
      <c r="B397" s="39"/>
      <c r="C397" s="39"/>
      <c r="E397" s="38"/>
      <c r="F397" s="38"/>
      <c r="G397" s="38"/>
      <c r="H397" s="38"/>
      <c r="I397" s="38"/>
      <c r="J397" s="38"/>
      <c r="K397" s="38" t="str">
        <f t="shared" si="1"/>
        <v/>
      </c>
      <c r="L397" s="38" t="str">
        <f>IF(A397="","",IFERROR(VLOOKUP(VLOOKUP(A397,BOOKINGS!$A:$Q,7,FALSE),SETUP_RATES!$A:$H,8,FALSE),0))</f>
        <v/>
      </c>
      <c r="M397" s="38" t="str">
        <f t="shared" si="2"/>
        <v/>
      </c>
      <c r="N397" s="33" t="str">
        <f t="shared" si="3"/>
        <v/>
      </c>
    </row>
    <row r="398" ht="15.75" customHeight="1">
      <c r="B398" s="39"/>
      <c r="C398" s="39"/>
      <c r="E398" s="38"/>
      <c r="F398" s="38"/>
      <c r="G398" s="38"/>
      <c r="H398" s="38"/>
      <c r="I398" s="38"/>
      <c r="J398" s="38"/>
      <c r="K398" s="38" t="str">
        <f t="shared" si="1"/>
        <v/>
      </c>
      <c r="L398" s="38" t="str">
        <f>IF(A398="","",IFERROR(VLOOKUP(VLOOKUP(A398,BOOKINGS!$A:$Q,7,FALSE),SETUP_RATES!$A:$H,8,FALSE),0))</f>
        <v/>
      </c>
      <c r="M398" s="38" t="str">
        <f t="shared" si="2"/>
        <v/>
      </c>
      <c r="N398" s="33" t="str">
        <f t="shared" si="3"/>
        <v/>
      </c>
    </row>
    <row r="399" ht="15.75" customHeight="1">
      <c r="B399" s="39"/>
      <c r="C399" s="39"/>
      <c r="E399" s="38"/>
      <c r="F399" s="38"/>
      <c r="G399" s="38"/>
      <c r="H399" s="38"/>
      <c r="I399" s="38"/>
      <c r="J399" s="38"/>
      <c r="K399" s="38" t="str">
        <f t="shared" si="1"/>
        <v/>
      </c>
      <c r="L399" s="38" t="str">
        <f>IF(A399="","",IFERROR(VLOOKUP(VLOOKUP(A399,BOOKINGS!$A:$Q,7,FALSE),SETUP_RATES!$A:$H,8,FALSE),0))</f>
        <v/>
      </c>
      <c r="M399" s="38" t="str">
        <f t="shared" si="2"/>
        <v/>
      </c>
      <c r="N399" s="33" t="str">
        <f t="shared" si="3"/>
        <v/>
      </c>
    </row>
    <row r="400" ht="15.75" customHeight="1">
      <c r="B400" s="39"/>
      <c r="C400" s="39"/>
      <c r="E400" s="38"/>
      <c r="F400" s="38"/>
      <c r="G400" s="38"/>
      <c r="H400" s="38"/>
      <c r="I400" s="38"/>
      <c r="J400" s="38"/>
      <c r="K400" s="38" t="str">
        <f t="shared" si="1"/>
        <v/>
      </c>
      <c r="L400" s="38" t="str">
        <f>IF(A400="","",IFERROR(VLOOKUP(VLOOKUP(A400,BOOKINGS!$A:$Q,7,FALSE),SETUP_RATES!$A:$H,8,FALSE),0))</f>
        <v/>
      </c>
      <c r="M400" s="38" t="str">
        <f t="shared" si="2"/>
        <v/>
      </c>
      <c r="N400" s="33" t="str">
        <f t="shared" si="3"/>
        <v/>
      </c>
    </row>
    <row r="401" ht="15.75" customHeight="1">
      <c r="B401" s="39"/>
      <c r="C401" s="39"/>
      <c r="E401" s="38"/>
      <c r="F401" s="38"/>
      <c r="G401" s="38"/>
      <c r="H401" s="38"/>
      <c r="I401" s="38"/>
      <c r="J401" s="38"/>
      <c r="K401" s="38" t="str">
        <f t="shared" si="1"/>
        <v/>
      </c>
      <c r="L401" s="38" t="str">
        <f>IF(A401="","",IFERROR(VLOOKUP(VLOOKUP(A401,BOOKINGS!$A:$Q,7,FALSE),SETUP_RATES!$A:$H,8,FALSE),0))</f>
        <v/>
      </c>
      <c r="M401" s="38" t="str">
        <f t="shared" si="2"/>
        <v/>
      </c>
      <c r="N401" s="33" t="str">
        <f t="shared" si="3"/>
        <v/>
      </c>
    </row>
    <row r="402" ht="15.75" customHeight="1">
      <c r="B402" s="39"/>
      <c r="C402" s="39"/>
      <c r="E402" s="38"/>
      <c r="F402" s="38"/>
      <c r="G402" s="38"/>
      <c r="H402" s="38"/>
      <c r="I402" s="38"/>
      <c r="J402" s="38"/>
      <c r="K402" s="38" t="str">
        <f t="shared" si="1"/>
        <v/>
      </c>
      <c r="L402" s="38" t="str">
        <f>IF(A402="","",IFERROR(VLOOKUP(VLOOKUP(A402,BOOKINGS!$A:$Q,7,FALSE),SETUP_RATES!$A:$H,8,FALSE),0))</f>
        <v/>
      </c>
      <c r="M402" s="38" t="str">
        <f t="shared" si="2"/>
        <v/>
      </c>
      <c r="N402" s="33" t="str">
        <f t="shared" si="3"/>
        <v/>
      </c>
    </row>
    <row r="403" ht="15.75" customHeight="1">
      <c r="B403" s="39"/>
      <c r="C403" s="39"/>
      <c r="E403" s="38"/>
      <c r="F403" s="38"/>
      <c r="G403" s="38"/>
      <c r="H403" s="38"/>
      <c r="I403" s="38"/>
      <c r="J403" s="38"/>
      <c r="K403" s="38" t="str">
        <f t="shared" si="1"/>
        <v/>
      </c>
      <c r="L403" s="38" t="str">
        <f>IF(A403="","",IFERROR(VLOOKUP(VLOOKUP(A403,BOOKINGS!$A:$Q,7,FALSE),SETUP_RATES!$A:$H,8,FALSE),0))</f>
        <v/>
      </c>
      <c r="M403" s="38" t="str">
        <f t="shared" si="2"/>
        <v/>
      </c>
      <c r="N403" s="33" t="str">
        <f t="shared" si="3"/>
        <v/>
      </c>
    </row>
    <row r="404" ht="15.75" customHeight="1">
      <c r="B404" s="39"/>
      <c r="C404" s="39"/>
      <c r="E404" s="38"/>
      <c r="F404" s="38"/>
      <c r="G404" s="38"/>
      <c r="H404" s="38"/>
      <c r="I404" s="38"/>
      <c r="J404" s="38"/>
      <c r="K404" s="38" t="str">
        <f t="shared" si="1"/>
        <v/>
      </c>
      <c r="L404" s="38" t="str">
        <f>IF(A404="","",IFERROR(VLOOKUP(VLOOKUP(A404,BOOKINGS!$A:$Q,7,FALSE),SETUP_RATES!$A:$H,8,FALSE),0))</f>
        <v/>
      </c>
      <c r="M404" s="38" t="str">
        <f t="shared" si="2"/>
        <v/>
      </c>
      <c r="N404" s="33" t="str">
        <f t="shared" si="3"/>
        <v/>
      </c>
    </row>
    <row r="405" ht="15.75" customHeight="1">
      <c r="B405" s="39"/>
      <c r="C405" s="39"/>
      <c r="E405" s="38"/>
      <c r="F405" s="38"/>
      <c r="G405" s="38"/>
      <c r="H405" s="38"/>
      <c r="I405" s="38"/>
      <c r="J405" s="38"/>
      <c r="K405" s="38" t="str">
        <f t="shared" si="1"/>
        <v/>
      </c>
      <c r="L405" s="38" t="str">
        <f>IF(A405="","",IFERROR(VLOOKUP(VLOOKUP(A405,BOOKINGS!$A:$Q,7,FALSE),SETUP_RATES!$A:$H,8,FALSE),0))</f>
        <v/>
      </c>
      <c r="M405" s="38" t="str">
        <f t="shared" si="2"/>
        <v/>
      </c>
      <c r="N405" s="33" t="str">
        <f t="shared" si="3"/>
        <v/>
      </c>
    </row>
    <row r="406" ht="15.75" customHeight="1">
      <c r="B406" s="39"/>
      <c r="C406" s="39"/>
      <c r="E406" s="38"/>
      <c r="F406" s="38"/>
      <c r="G406" s="38"/>
      <c r="H406" s="38"/>
      <c r="I406" s="38"/>
      <c r="J406" s="38"/>
      <c r="K406" s="38" t="str">
        <f t="shared" si="1"/>
        <v/>
      </c>
      <c r="L406" s="38" t="str">
        <f>IF(A406="","",IFERROR(VLOOKUP(VLOOKUP(A406,BOOKINGS!$A:$Q,7,FALSE),SETUP_RATES!$A:$H,8,FALSE),0))</f>
        <v/>
      </c>
      <c r="M406" s="38" t="str">
        <f t="shared" si="2"/>
        <v/>
      </c>
      <c r="N406" s="33" t="str">
        <f t="shared" si="3"/>
        <v/>
      </c>
    </row>
    <row r="407" ht="15.75" customHeight="1">
      <c r="B407" s="39"/>
      <c r="C407" s="39"/>
      <c r="E407" s="38"/>
      <c r="F407" s="38"/>
      <c r="G407" s="38"/>
      <c r="H407" s="38"/>
      <c r="I407" s="38"/>
      <c r="J407" s="38"/>
      <c r="K407" s="38" t="str">
        <f t="shared" si="1"/>
        <v/>
      </c>
      <c r="L407" s="38" t="str">
        <f>IF(A407="","",IFERROR(VLOOKUP(VLOOKUP(A407,BOOKINGS!$A:$Q,7,FALSE),SETUP_RATES!$A:$H,8,FALSE),0))</f>
        <v/>
      </c>
      <c r="M407" s="38" t="str">
        <f t="shared" si="2"/>
        <v/>
      </c>
      <c r="N407" s="33" t="str">
        <f t="shared" si="3"/>
        <v/>
      </c>
    </row>
    <row r="408" ht="15.75" customHeight="1">
      <c r="B408" s="39"/>
      <c r="C408" s="39"/>
      <c r="E408" s="38"/>
      <c r="F408" s="38"/>
      <c r="G408" s="38"/>
      <c r="H408" s="38"/>
      <c r="I408" s="38"/>
      <c r="J408" s="38"/>
      <c r="K408" s="38" t="str">
        <f t="shared" si="1"/>
        <v/>
      </c>
      <c r="L408" s="38" t="str">
        <f>IF(A408="","",IFERROR(VLOOKUP(VLOOKUP(A408,BOOKINGS!$A:$Q,7,FALSE),SETUP_RATES!$A:$H,8,FALSE),0))</f>
        <v/>
      </c>
      <c r="M408" s="38" t="str">
        <f t="shared" si="2"/>
        <v/>
      </c>
      <c r="N408" s="33" t="str">
        <f t="shared" si="3"/>
        <v/>
      </c>
    </row>
    <row r="409" ht="15.75" customHeight="1">
      <c r="B409" s="39"/>
      <c r="C409" s="39"/>
      <c r="E409" s="38"/>
      <c r="F409" s="38"/>
      <c r="G409" s="38"/>
      <c r="H409" s="38"/>
      <c r="I409" s="38"/>
      <c r="J409" s="38"/>
      <c r="K409" s="38" t="str">
        <f t="shared" si="1"/>
        <v/>
      </c>
      <c r="L409" s="38" t="str">
        <f>IF(A409="","",IFERROR(VLOOKUP(VLOOKUP(A409,BOOKINGS!$A:$Q,7,FALSE),SETUP_RATES!$A:$H,8,FALSE),0))</f>
        <v/>
      </c>
      <c r="M409" s="38" t="str">
        <f t="shared" si="2"/>
        <v/>
      </c>
      <c r="N409" s="33" t="str">
        <f t="shared" si="3"/>
        <v/>
      </c>
    </row>
    <row r="410" ht="15.75" customHeight="1">
      <c r="B410" s="39"/>
      <c r="C410" s="39"/>
      <c r="E410" s="38"/>
      <c r="F410" s="38"/>
      <c r="G410" s="38"/>
      <c r="H410" s="38"/>
      <c r="I410" s="38"/>
      <c r="J410" s="38"/>
      <c r="K410" s="38" t="str">
        <f t="shared" si="1"/>
        <v/>
      </c>
      <c r="L410" s="38" t="str">
        <f>IF(A410="","",IFERROR(VLOOKUP(VLOOKUP(A410,BOOKINGS!$A:$Q,7,FALSE),SETUP_RATES!$A:$H,8,FALSE),0))</f>
        <v/>
      </c>
      <c r="M410" s="38" t="str">
        <f t="shared" si="2"/>
        <v/>
      </c>
      <c r="N410" s="33" t="str">
        <f t="shared" si="3"/>
        <v/>
      </c>
    </row>
    <row r="411" ht="15.75" customHeight="1">
      <c r="B411" s="39"/>
      <c r="C411" s="39"/>
      <c r="E411" s="38"/>
      <c r="F411" s="38"/>
      <c r="G411" s="38"/>
      <c r="H411" s="38"/>
      <c r="I411" s="38"/>
      <c r="J411" s="38"/>
      <c r="K411" s="38" t="str">
        <f t="shared" si="1"/>
        <v/>
      </c>
      <c r="L411" s="38" t="str">
        <f>IF(A411="","",IFERROR(VLOOKUP(VLOOKUP(A411,BOOKINGS!$A:$Q,7,FALSE),SETUP_RATES!$A:$H,8,FALSE),0))</f>
        <v/>
      </c>
      <c r="M411" s="38" t="str">
        <f t="shared" si="2"/>
        <v/>
      </c>
      <c r="N411" s="33" t="str">
        <f t="shared" si="3"/>
        <v/>
      </c>
    </row>
    <row r="412" ht="15.75" customHeight="1">
      <c r="B412" s="39"/>
      <c r="C412" s="39"/>
      <c r="E412" s="38"/>
      <c r="F412" s="38"/>
      <c r="G412" s="38"/>
      <c r="H412" s="38"/>
      <c r="I412" s="38"/>
      <c r="J412" s="38"/>
      <c r="K412" s="38" t="str">
        <f t="shared" si="1"/>
        <v/>
      </c>
      <c r="L412" s="38" t="str">
        <f>IF(A412="","",IFERROR(VLOOKUP(VLOOKUP(A412,BOOKINGS!$A:$Q,7,FALSE),SETUP_RATES!$A:$H,8,FALSE),0))</f>
        <v/>
      </c>
      <c r="M412" s="38" t="str">
        <f t="shared" si="2"/>
        <v/>
      </c>
      <c r="N412" s="33" t="str">
        <f t="shared" si="3"/>
        <v/>
      </c>
    </row>
    <row r="413" ht="15.75" customHeight="1">
      <c r="B413" s="39"/>
      <c r="C413" s="39"/>
      <c r="E413" s="38"/>
      <c r="F413" s="38"/>
      <c r="G413" s="38"/>
      <c r="H413" s="38"/>
      <c r="I413" s="38"/>
      <c r="J413" s="38"/>
      <c r="K413" s="38" t="str">
        <f t="shared" si="1"/>
        <v/>
      </c>
      <c r="L413" s="38" t="str">
        <f>IF(A413="","",IFERROR(VLOOKUP(VLOOKUP(A413,BOOKINGS!$A:$Q,7,FALSE),SETUP_RATES!$A:$H,8,FALSE),0))</f>
        <v/>
      </c>
      <c r="M413" s="38" t="str">
        <f t="shared" si="2"/>
        <v/>
      </c>
      <c r="N413" s="33" t="str">
        <f t="shared" si="3"/>
        <v/>
      </c>
    </row>
    <row r="414" ht="15.75" customHeight="1">
      <c r="B414" s="39"/>
      <c r="C414" s="39"/>
      <c r="E414" s="38"/>
      <c r="F414" s="38"/>
      <c r="G414" s="38"/>
      <c r="H414" s="38"/>
      <c r="I414" s="38"/>
      <c r="J414" s="38"/>
      <c r="K414" s="38" t="str">
        <f t="shared" si="1"/>
        <v/>
      </c>
      <c r="L414" s="38" t="str">
        <f>IF(A414="","",IFERROR(VLOOKUP(VLOOKUP(A414,BOOKINGS!$A:$Q,7,FALSE),SETUP_RATES!$A:$H,8,FALSE),0))</f>
        <v/>
      </c>
      <c r="M414" s="38" t="str">
        <f t="shared" si="2"/>
        <v/>
      </c>
      <c r="N414" s="33" t="str">
        <f t="shared" si="3"/>
        <v/>
      </c>
    </row>
    <row r="415" ht="15.75" customHeight="1">
      <c r="B415" s="39"/>
      <c r="C415" s="39"/>
      <c r="E415" s="38"/>
      <c r="F415" s="38"/>
      <c r="G415" s="38"/>
      <c r="H415" s="38"/>
      <c r="I415" s="38"/>
      <c r="J415" s="38"/>
      <c r="K415" s="38" t="str">
        <f t="shared" si="1"/>
        <v/>
      </c>
      <c r="L415" s="38" t="str">
        <f>IF(A415="","",IFERROR(VLOOKUP(VLOOKUP(A415,BOOKINGS!$A:$Q,7,FALSE),SETUP_RATES!$A:$H,8,FALSE),0))</f>
        <v/>
      </c>
      <c r="M415" s="38" t="str">
        <f t="shared" si="2"/>
        <v/>
      </c>
      <c r="N415" s="33" t="str">
        <f t="shared" si="3"/>
        <v/>
      </c>
    </row>
    <row r="416" ht="15.75" customHeight="1">
      <c r="B416" s="39"/>
      <c r="C416" s="39"/>
      <c r="E416" s="38"/>
      <c r="F416" s="38"/>
      <c r="G416" s="38"/>
      <c r="H416" s="38"/>
      <c r="I416" s="38"/>
      <c r="J416" s="38"/>
      <c r="K416" s="38" t="str">
        <f t="shared" si="1"/>
        <v/>
      </c>
      <c r="L416" s="38" t="str">
        <f>IF(A416="","",IFERROR(VLOOKUP(VLOOKUP(A416,BOOKINGS!$A:$Q,7,FALSE),SETUP_RATES!$A:$H,8,FALSE),0))</f>
        <v/>
      </c>
      <c r="M416" s="38" t="str">
        <f t="shared" si="2"/>
        <v/>
      </c>
      <c r="N416" s="33" t="str">
        <f t="shared" si="3"/>
        <v/>
      </c>
    </row>
    <row r="417" ht="15.75" customHeight="1">
      <c r="B417" s="39"/>
      <c r="C417" s="39"/>
      <c r="E417" s="38"/>
      <c r="F417" s="38"/>
      <c r="G417" s="38"/>
      <c r="H417" s="38"/>
      <c r="I417" s="38"/>
      <c r="J417" s="38"/>
      <c r="K417" s="38" t="str">
        <f t="shared" si="1"/>
        <v/>
      </c>
      <c r="L417" s="38" t="str">
        <f>IF(A417="","",IFERROR(VLOOKUP(VLOOKUP(A417,BOOKINGS!$A:$Q,7,FALSE),SETUP_RATES!$A:$H,8,FALSE),0))</f>
        <v/>
      </c>
      <c r="M417" s="38" t="str">
        <f t="shared" si="2"/>
        <v/>
      </c>
      <c r="N417" s="33" t="str">
        <f t="shared" si="3"/>
        <v/>
      </c>
    </row>
    <row r="418" ht="15.75" customHeight="1">
      <c r="B418" s="39"/>
      <c r="C418" s="39"/>
      <c r="E418" s="38"/>
      <c r="F418" s="38"/>
      <c r="G418" s="38"/>
      <c r="H418" s="38"/>
      <c r="I418" s="38"/>
      <c r="J418" s="38"/>
      <c r="K418" s="38" t="str">
        <f t="shared" si="1"/>
        <v/>
      </c>
      <c r="L418" s="38" t="str">
        <f>IF(A418="","",IFERROR(VLOOKUP(VLOOKUP(A418,BOOKINGS!$A:$Q,7,FALSE),SETUP_RATES!$A:$H,8,FALSE),0))</f>
        <v/>
      </c>
      <c r="M418" s="38" t="str">
        <f t="shared" si="2"/>
        <v/>
      </c>
      <c r="N418" s="33" t="str">
        <f t="shared" si="3"/>
        <v/>
      </c>
    </row>
    <row r="419" ht="15.75" customHeight="1">
      <c r="B419" s="39"/>
      <c r="C419" s="39"/>
      <c r="E419" s="38"/>
      <c r="F419" s="38"/>
      <c r="G419" s="38"/>
      <c r="H419" s="38"/>
      <c r="I419" s="38"/>
      <c r="J419" s="38"/>
      <c r="K419" s="38" t="str">
        <f t="shared" si="1"/>
        <v/>
      </c>
      <c r="L419" s="38" t="str">
        <f>IF(A419="","",IFERROR(VLOOKUP(VLOOKUP(A419,BOOKINGS!$A:$Q,7,FALSE),SETUP_RATES!$A:$H,8,FALSE),0))</f>
        <v/>
      </c>
      <c r="M419" s="38" t="str">
        <f t="shared" si="2"/>
        <v/>
      </c>
      <c r="N419" s="33" t="str">
        <f t="shared" si="3"/>
        <v/>
      </c>
    </row>
    <row r="420" ht="15.75" customHeight="1">
      <c r="B420" s="39"/>
      <c r="C420" s="39"/>
      <c r="E420" s="38"/>
      <c r="F420" s="38"/>
      <c r="G420" s="38"/>
      <c r="H420" s="38"/>
      <c r="I420" s="38"/>
      <c r="J420" s="38"/>
      <c r="K420" s="38" t="str">
        <f t="shared" si="1"/>
        <v/>
      </c>
      <c r="L420" s="38" t="str">
        <f>IF(A420="","",IFERROR(VLOOKUP(VLOOKUP(A420,BOOKINGS!$A:$Q,7,FALSE),SETUP_RATES!$A:$H,8,FALSE),0))</f>
        <v/>
      </c>
      <c r="M420" s="38" t="str">
        <f t="shared" si="2"/>
        <v/>
      </c>
      <c r="N420" s="33" t="str">
        <f t="shared" si="3"/>
        <v/>
      </c>
    </row>
    <row r="421" ht="15.75" customHeight="1">
      <c r="B421" s="39"/>
      <c r="C421" s="39"/>
      <c r="E421" s="38"/>
      <c r="F421" s="38"/>
      <c r="G421" s="38"/>
      <c r="H421" s="38"/>
      <c r="I421" s="38"/>
      <c r="J421" s="38"/>
      <c r="K421" s="38" t="str">
        <f t="shared" si="1"/>
        <v/>
      </c>
      <c r="L421" s="38" t="str">
        <f>IF(A421="","",IFERROR(VLOOKUP(VLOOKUP(A421,BOOKINGS!$A:$Q,7,FALSE),SETUP_RATES!$A:$H,8,FALSE),0))</f>
        <v/>
      </c>
      <c r="M421" s="38" t="str">
        <f t="shared" si="2"/>
        <v/>
      </c>
      <c r="N421" s="33" t="str">
        <f t="shared" si="3"/>
        <v/>
      </c>
    </row>
    <row r="422" ht="15.75" customHeight="1">
      <c r="B422" s="39"/>
      <c r="C422" s="39"/>
      <c r="E422" s="38"/>
      <c r="F422" s="38"/>
      <c r="G422" s="38"/>
      <c r="H422" s="38"/>
      <c r="I422" s="38"/>
      <c r="J422" s="38"/>
      <c r="K422" s="38" t="str">
        <f t="shared" si="1"/>
        <v/>
      </c>
      <c r="L422" s="38" t="str">
        <f>IF(A422="","",IFERROR(VLOOKUP(VLOOKUP(A422,BOOKINGS!$A:$Q,7,FALSE),SETUP_RATES!$A:$H,8,FALSE),0))</f>
        <v/>
      </c>
      <c r="M422" s="38" t="str">
        <f t="shared" si="2"/>
        <v/>
      </c>
      <c r="N422" s="33" t="str">
        <f t="shared" si="3"/>
        <v/>
      </c>
    </row>
    <row r="423" ht="15.75" customHeight="1">
      <c r="B423" s="39"/>
      <c r="C423" s="39"/>
      <c r="E423" s="38"/>
      <c r="F423" s="38"/>
      <c r="G423" s="38"/>
      <c r="H423" s="38"/>
      <c r="I423" s="38"/>
      <c r="J423" s="38"/>
      <c r="K423" s="38" t="str">
        <f t="shared" si="1"/>
        <v/>
      </c>
      <c r="L423" s="38" t="str">
        <f>IF(A423="","",IFERROR(VLOOKUP(VLOOKUP(A423,BOOKINGS!$A:$Q,7,FALSE),SETUP_RATES!$A:$H,8,FALSE),0))</f>
        <v/>
      </c>
      <c r="M423" s="38" t="str">
        <f t="shared" si="2"/>
        <v/>
      </c>
      <c r="N423" s="33" t="str">
        <f t="shared" si="3"/>
        <v/>
      </c>
    </row>
    <row r="424" ht="15.75" customHeight="1">
      <c r="B424" s="39"/>
      <c r="C424" s="39"/>
      <c r="E424" s="38"/>
      <c r="F424" s="38"/>
      <c r="G424" s="38"/>
      <c r="H424" s="38"/>
      <c r="I424" s="38"/>
      <c r="J424" s="38"/>
      <c r="K424" s="38" t="str">
        <f t="shared" si="1"/>
        <v/>
      </c>
      <c r="L424" s="38" t="str">
        <f>IF(A424="","",IFERROR(VLOOKUP(VLOOKUP(A424,BOOKINGS!$A:$Q,7,FALSE),SETUP_RATES!$A:$H,8,FALSE),0))</f>
        <v/>
      </c>
      <c r="M424" s="38" t="str">
        <f t="shared" si="2"/>
        <v/>
      </c>
      <c r="N424" s="33" t="str">
        <f t="shared" si="3"/>
        <v/>
      </c>
    </row>
    <row r="425" ht="15.75" customHeight="1">
      <c r="B425" s="39"/>
      <c r="C425" s="39"/>
      <c r="E425" s="38"/>
      <c r="F425" s="38"/>
      <c r="G425" s="38"/>
      <c r="H425" s="38"/>
      <c r="I425" s="38"/>
      <c r="J425" s="38"/>
      <c r="K425" s="38" t="str">
        <f t="shared" si="1"/>
        <v/>
      </c>
      <c r="L425" s="38" t="str">
        <f>IF(A425="","",IFERROR(VLOOKUP(VLOOKUP(A425,BOOKINGS!$A:$Q,7,FALSE),SETUP_RATES!$A:$H,8,FALSE),0))</f>
        <v/>
      </c>
      <c r="M425" s="38" t="str">
        <f t="shared" si="2"/>
        <v/>
      </c>
      <c r="N425" s="33" t="str">
        <f t="shared" si="3"/>
        <v/>
      </c>
    </row>
    <row r="426" ht="15.75" customHeight="1">
      <c r="B426" s="39"/>
      <c r="C426" s="39"/>
      <c r="E426" s="38"/>
      <c r="F426" s="38"/>
      <c r="G426" s="38"/>
      <c r="H426" s="38"/>
      <c r="I426" s="38"/>
      <c r="J426" s="38"/>
      <c r="K426" s="38" t="str">
        <f t="shared" si="1"/>
        <v/>
      </c>
      <c r="L426" s="38" t="str">
        <f>IF(A426="","",IFERROR(VLOOKUP(VLOOKUP(A426,BOOKINGS!$A:$Q,7,FALSE),SETUP_RATES!$A:$H,8,FALSE),0))</f>
        <v/>
      </c>
      <c r="M426" s="38" t="str">
        <f t="shared" si="2"/>
        <v/>
      </c>
      <c r="N426" s="33" t="str">
        <f t="shared" si="3"/>
        <v/>
      </c>
    </row>
    <row r="427" ht="15.75" customHeight="1">
      <c r="B427" s="39"/>
      <c r="C427" s="39"/>
      <c r="E427" s="38"/>
      <c r="F427" s="38"/>
      <c r="G427" s="38"/>
      <c r="H427" s="38"/>
      <c r="I427" s="38"/>
      <c r="J427" s="38"/>
      <c r="K427" s="38" t="str">
        <f t="shared" si="1"/>
        <v/>
      </c>
      <c r="L427" s="38" t="str">
        <f>IF(A427="","",IFERROR(VLOOKUP(VLOOKUP(A427,BOOKINGS!$A:$Q,7,FALSE),SETUP_RATES!$A:$H,8,FALSE),0))</f>
        <v/>
      </c>
      <c r="M427" s="38" t="str">
        <f t="shared" si="2"/>
        <v/>
      </c>
      <c r="N427" s="33" t="str">
        <f t="shared" si="3"/>
        <v/>
      </c>
    </row>
    <row r="428" ht="15.75" customHeight="1">
      <c r="B428" s="39"/>
      <c r="C428" s="39"/>
      <c r="E428" s="38"/>
      <c r="F428" s="38"/>
      <c r="G428" s="38"/>
      <c r="H428" s="38"/>
      <c r="I428" s="38"/>
      <c r="J428" s="38"/>
      <c r="K428" s="38" t="str">
        <f t="shared" si="1"/>
        <v/>
      </c>
      <c r="L428" s="38" t="str">
        <f>IF(A428="","",IFERROR(VLOOKUP(VLOOKUP(A428,BOOKINGS!$A:$Q,7,FALSE),SETUP_RATES!$A:$H,8,FALSE),0))</f>
        <v/>
      </c>
      <c r="M428" s="38" t="str">
        <f t="shared" si="2"/>
        <v/>
      </c>
      <c r="N428" s="33" t="str">
        <f t="shared" si="3"/>
        <v/>
      </c>
    </row>
    <row r="429" ht="15.75" customHeight="1">
      <c r="B429" s="39"/>
      <c r="C429" s="39"/>
      <c r="E429" s="38"/>
      <c r="F429" s="38"/>
      <c r="G429" s="38"/>
      <c r="H429" s="38"/>
      <c r="I429" s="38"/>
      <c r="J429" s="38"/>
      <c r="K429" s="38" t="str">
        <f t="shared" si="1"/>
        <v/>
      </c>
      <c r="L429" s="38" t="str">
        <f>IF(A429="","",IFERROR(VLOOKUP(VLOOKUP(A429,BOOKINGS!$A:$Q,7,FALSE),SETUP_RATES!$A:$H,8,FALSE),0))</f>
        <v/>
      </c>
      <c r="M429" s="38" t="str">
        <f t="shared" si="2"/>
        <v/>
      </c>
      <c r="N429" s="33" t="str">
        <f t="shared" si="3"/>
        <v/>
      </c>
    </row>
    <row r="430" ht="15.75" customHeight="1">
      <c r="B430" s="39"/>
      <c r="C430" s="39"/>
      <c r="E430" s="38"/>
      <c r="F430" s="38"/>
      <c r="G430" s="38"/>
      <c r="H430" s="38"/>
      <c r="I430" s="38"/>
      <c r="J430" s="38"/>
      <c r="K430" s="38" t="str">
        <f t="shared" si="1"/>
        <v/>
      </c>
      <c r="L430" s="38" t="str">
        <f>IF(A430="","",IFERROR(VLOOKUP(VLOOKUP(A430,BOOKINGS!$A:$Q,7,FALSE),SETUP_RATES!$A:$H,8,FALSE),0))</f>
        <v/>
      </c>
      <c r="M430" s="38" t="str">
        <f t="shared" si="2"/>
        <v/>
      </c>
      <c r="N430" s="33" t="str">
        <f t="shared" si="3"/>
        <v/>
      </c>
    </row>
    <row r="431" ht="15.75" customHeight="1">
      <c r="B431" s="39"/>
      <c r="C431" s="39"/>
      <c r="E431" s="38"/>
      <c r="F431" s="38"/>
      <c r="G431" s="38"/>
      <c r="H431" s="38"/>
      <c r="I431" s="38"/>
      <c r="J431" s="38"/>
      <c r="K431" s="38" t="str">
        <f t="shared" si="1"/>
        <v/>
      </c>
      <c r="L431" s="38" t="str">
        <f>IF(A431="","",IFERROR(VLOOKUP(VLOOKUP(A431,BOOKINGS!$A:$Q,7,FALSE),SETUP_RATES!$A:$H,8,FALSE),0))</f>
        <v/>
      </c>
      <c r="M431" s="38" t="str">
        <f t="shared" si="2"/>
        <v/>
      </c>
      <c r="N431" s="33" t="str">
        <f t="shared" si="3"/>
        <v/>
      </c>
    </row>
    <row r="432" ht="15.75" customHeight="1">
      <c r="B432" s="39"/>
      <c r="C432" s="39"/>
      <c r="E432" s="38"/>
      <c r="F432" s="38"/>
      <c r="G432" s="38"/>
      <c r="H432" s="38"/>
      <c r="I432" s="38"/>
      <c r="J432" s="38"/>
      <c r="K432" s="38" t="str">
        <f t="shared" si="1"/>
        <v/>
      </c>
      <c r="L432" s="38" t="str">
        <f>IF(A432="","",IFERROR(VLOOKUP(VLOOKUP(A432,BOOKINGS!$A:$Q,7,FALSE),SETUP_RATES!$A:$H,8,FALSE),0))</f>
        <v/>
      </c>
      <c r="M432" s="38" t="str">
        <f t="shared" si="2"/>
        <v/>
      </c>
      <c r="N432" s="33" t="str">
        <f t="shared" si="3"/>
        <v/>
      </c>
    </row>
    <row r="433" ht="15.75" customHeight="1">
      <c r="B433" s="39"/>
      <c r="C433" s="39"/>
      <c r="E433" s="38"/>
      <c r="F433" s="38"/>
      <c r="G433" s="38"/>
      <c r="H433" s="38"/>
      <c r="I433" s="38"/>
      <c r="J433" s="38"/>
      <c r="K433" s="38" t="str">
        <f t="shared" si="1"/>
        <v/>
      </c>
      <c r="L433" s="38" t="str">
        <f>IF(A433="","",IFERROR(VLOOKUP(VLOOKUP(A433,BOOKINGS!$A:$Q,7,FALSE),SETUP_RATES!$A:$H,8,FALSE),0))</f>
        <v/>
      </c>
      <c r="M433" s="38" t="str">
        <f t="shared" si="2"/>
        <v/>
      </c>
      <c r="N433" s="33" t="str">
        <f t="shared" si="3"/>
        <v/>
      </c>
    </row>
    <row r="434" ht="15.75" customHeight="1">
      <c r="B434" s="39"/>
      <c r="C434" s="39"/>
      <c r="E434" s="38"/>
      <c r="F434" s="38"/>
      <c r="G434" s="38"/>
      <c r="H434" s="38"/>
      <c r="I434" s="38"/>
      <c r="J434" s="38"/>
      <c r="K434" s="38" t="str">
        <f t="shared" si="1"/>
        <v/>
      </c>
      <c r="L434" s="38" t="str">
        <f>IF(A434="","",IFERROR(VLOOKUP(VLOOKUP(A434,BOOKINGS!$A:$Q,7,FALSE),SETUP_RATES!$A:$H,8,FALSE),0))</f>
        <v/>
      </c>
      <c r="M434" s="38" t="str">
        <f t="shared" si="2"/>
        <v/>
      </c>
      <c r="N434" s="33" t="str">
        <f t="shared" si="3"/>
        <v/>
      </c>
    </row>
    <row r="435" ht="15.75" customHeight="1">
      <c r="B435" s="39"/>
      <c r="C435" s="39"/>
      <c r="E435" s="38"/>
      <c r="F435" s="38"/>
      <c r="G435" s="38"/>
      <c r="H435" s="38"/>
      <c r="I435" s="38"/>
      <c r="J435" s="38"/>
      <c r="K435" s="38" t="str">
        <f t="shared" si="1"/>
        <v/>
      </c>
      <c r="L435" s="38" t="str">
        <f>IF(A435="","",IFERROR(VLOOKUP(VLOOKUP(A435,BOOKINGS!$A:$Q,7,FALSE),SETUP_RATES!$A:$H,8,FALSE),0))</f>
        <v/>
      </c>
      <c r="M435" s="38" t="str">
        <f t="shared" si="2"/>
        <v/>
      </c>
      <c r="N435" s="33" t="str">
        <f t="shared" si="3"/>
        <v/>
      </c>
    </row>
    <row r="436" ht="15.75" customHeight="1">
      <c r="B436" s="39"/>
      <c r="C436" s="39"/>
      <c r="E436" s="38"/>
      <c r="F436" s="38"/>
      <c r="G436" s="38"/>
      <c r="H436" s="38"/>
      <c r="I436" s="38"/>
      <c r="J436" s="38"/>
      <c r="K436" s="38" t="str">
        <f t="shared" si="1"/>
        <v/>
      </c>
      <c r="L436" s="38" t="str">
        <f>IF(A436="","",IFERROR(VLOOKUP(VLOOKUP(A436,BOOKINGS!$A:$Q,7,FALSE),SETUP_RATES!$A:$H,8,FALSE),0))</f>
        <v/>
      </c>
      <c r="M436" s="38" t="str">
        <f t="shared" si="2"/>
        <v/>
      </c>
      <c r="N436" s="33" t="str">
        <f t="shared" si="3"/>
        <v/>
      </c>
    </row>
    <row r="437" ht="15.75" customHeight="1">
      <c r="B437" s="39"/>
      <c r="C437" s="39"/>
      <c r="E437" s="38"/>
      <c r="F437" s="38"/>
      <c r="G437" s="38"/>
      <c r="H437" s="38"/>
      <c r="I437" s="38"/>
      <c r="J437" s="38"/>
      <c r="K437" s="38" t="str">
        <f t="shared" si="1"/>
        <v/>
      </c>
      <c r="L437" s="38" t="str">
        <f>IF(A437="","",IFERROR(VLOOKUP(VLOOKUP(A437,BOOKINGS!$A:$Q,7,FALSE),SETUP_RATES!$A:$H,8,FALSE),0))</f>
        <v/>
      </c>
      <c r="M437" s="38" t="str">
        <f t="shared" si="2"/>
        <v/>
      </c>
      <c r="N437" s="33" t="str">
        <f t="shared" si="3"/>
        <v/>
      </c>
    </row>
    <row r="438" ht="15.75" customHeight="1">
      <c r="B438" s="39"/>
      <c r="C438" s="39"/>
      <c r="E438" s="38"/>
      <c r="F438" s="38"/>
      <c r="G438" s="38"/>
      <c r="H438" s="38"/>
      <c r="I438" s="38"/>
      <c r="J438" s="38"/>
      <c r="K438" s="38" t="str">
        <f t="shared" si="1"/>
        <v/>
      </c>
      <c r="L438" s="38" t="str">
        <f>IF(A438="","",IFERROR(VLOOKUP(VLOOKUP(A438,BOOKINGS!$A:$Q,7,FALSE),SETUP_RATES!$A:$H,8,FALSE),0))</f>
        <v/>
      </c>
      <c r="M438" s="38" t="str">
        <f t="shared" si="2"/>
        <v/>
      </c>
      <c r="N438" s="33" t="str">
        <f t="shared" si="3"/>
        <v/>
      </c>
    </row>
    <row r="439" ht="15.75" customHeight="1">
      <c r="B439" s="39"/>
      <c r="C439" s="39"/>
      <c r="E439" s="38"/>
      <c r="F439" s="38"/>
      <c r="G439" s="38"/>
      <c r="H439" s="38"/>
      <c r="I439" s="38"/>
      <c r="J439" s="38"/>
      <c r="K439" s="38" t="str">
        <f t="shared" si="1"/>
        <v/>
      </c>
      <c r="L439" s="38" t="str">
        <f>IF(A439="","",IFERROR(VLOOKUP(VLOOKUP(A439,BOOKINGS!$A:$Q,7,FALSE),SETUP_RATES!$A:$H,8,FALSE),0))</f>
        <v/>
      </c>
      <c r="M439" s="38" t="str">
        <f t="shared" si="2"/>
        <v/>
      </c>
      <c r="N439" s="33" t="str">
        <f t="shared" si="3"/>
        <v/>
      </c>
    </row>
    <row r="440" ht="15.75" customHeight="1">
      <c r="B440" s="39"/>
      <c r="C440" s="39"/>
      <c r="E440" s="38"/>
      <c r="F440" s="38"/>
      <c r="G440" s="38"/>
      <c r="H440" s="38"/>
      <c r="I440" s="38"/>
      <c r="J440" s="38"/>
      <c r="K440" s="38" t="str">
        <f t="shared" si="1"/>
        <v/>
      </c>
      <c r="L440" s="38" t="str">
        <f>IF(A440="","",IFERROR(VLOOKUP(VLOOKUP(A440,BOOKINGS!$A:$Q,7,FALSE),SETUP_RATES!$A:$H,8,FALSE),0))</f>
        <v/>
      </c>
      <c r="M440" s="38" t="str">
        <f t="shared" si="2"/>
        <v/>
      </c>
      <c r="N440" s="33" t="str">
        <f t="shared" si="3"/>
        <v/>
      </c>
    </row>
    <row r="441" ht="15.75" customHeight="1">
      <c r="B441" s="39"/>
      <c r="C441" s="39"/>
      <c r="E441" s="38"/>
      <c r="F441" s="38"/>
      <c r="G441" s="38"/>
      <c r="H441" s="38"/>
      <c r="I441" s="38"/>
      <c r="J441" s="38"/>
      <c r="K441" s="38" t="str">
        <f t="shared" si="1"/>
        <v/>
      </c>
      <c r="L441" s="38" t="str">
        <f>IF(A441="","",IFERROR(VLOOKUP(VLOOKUP(A441,BOOKINGS!$A:$Q,7,FALSE),SETUP_RATES!$A:$H,8,FALSE),0))</f>
        <v/>
      </c>
      <c r="M441" s="38" t="str">
        <f t="shared" si="2"/>
        <v/>
      </c>
      <c r="N441" s="33" t="str">
        <f t="shared" si="3"/>
        <v/>
      </c>
    </row>
    <row r="442" ht="15.75" customHeight="1">
      <c r="B442" s="39"/>
      <c r="C442" s="39"/>
      <c r="E442" s="38"/>
      <c r="F442" s="38"/>
      <c r="G442" s="38"/>
      <c r="H442" s="38"/>
      <c r="I442" s="38"/>
      <c r="J442" s="38"/>
      <c r="K442" s="38" t="str">
        <f t="shared" si="1"/>
        <v/>
      </c>
      <c r="L442" s="38" t="str">
        <f>IF(A442="","",IFERROR(VLOOKUP(VLOOKUP(A442,BOOKINGS!$A:$Q,7,FALSE),SETUP_RATES!$A:$H,8,FALSE),0))</f>
        <v/>
      </c>
      <c r="M442" s="38" t="str">
        <f t="shared" si="2"/>
        <v/>
      </c>
      <c r="N442" s="33" t="str">
        <f t="shared" si="3"/>
        <v/>
      </c>
    </row>
    <row r="443" ht="15.75" customHeight="1">
      <c r="B443" s="39"/>
      <c r="C443" s="39"/>
      <c r="E443" s="38"/>
      <c r="F443" s="38"/>
      <c r="G443" s="38"/>
      <c r="H443" s="38"/>
      <c r="I443" s="38"/>
      <c r="J443" s="38"/>
      <c r="K443" s="38" t="str">
        <f t="shared" si="1"/>
        <v/>
      </c>
      <c r="L443" s="38" t="str">
        <f>IF(A443="","",IFERROR(VLOOKUP(VLOOKUP(A443,BOOKINGS!$A:$Q,7,FALSE),SETUP_RATES!$A:$H,8,FALSE),0))</f>
        <v/>
      </c>
      <c r="M443" s="38" t="str">
        <f t="shared" si="2"/>
        <v/>
      </c>
      <c r="N443" s="33" t="str">
        <f t="shared" si="3"/>
        <v/>
      </c>
    </row>
    <row r="444" ht="15.75" customHeight="1">
      <c r="B444" s="39"/>
      <c r="C444" s="39"/>
      <c r="E444" s="38"/>
      <c r="F444" s="38"/>
      <c r="G444" s="38"/>
      <c r="H444" s="38"/>
      <c r="I444" s="38"/>
      <c r="J444" s="38"/>
      <c r="K444" s="38" t="str">
        <f t="shared" si="1"/>
        <v/>
      </c>
      <c r="L444" s="38" t="str">
        <f>IF(A444="","",IFERROR(VLOOKUP(VLOOKUP(A444,BOOKINGS!$A:$Q,7,FALSE),SETUP_RATES!$A:$H,8,FALSE),0))</f>
        <v/>
      </c>
      <c r="M444" s="38" t="str">
        <f t="shared" si="2"/>
        <v/>
      </c>
      <c r="N444" s="33" t="str">
        <f t="shared" si="3"/>
        <v/>
      </c>
    </row>
    <row r="445" ht="15.75" customHeight="1">
      <c r="B445" s="39"/>
      <c r="C445" s="39"/>
      <c r="E445" s="38"/>
      <c r="F445" s="38"/>
      <c r="G445" s="38"/>
      <c r="H445" s="38"/>
      <c r="I445" s="38"/>
      <c r="J445" s="38"/>
      <c r="K445" s="38" t="str">
        <f t="shared" si="1"/>
        <v/>
      </c>
      <c r="L445" s="38" t="str">
        <f>IF(A445="","",IFERROR(VLOOKUP(VLOOKUP(A445,BOOKINGS!$A:$Q,7,FALSE),SETUP_RATES!$A:$H,8,FALSE),0))</f>
        <v/>
      </c>
      <c r="M445" s="38" t="str">
        <f t="shared" si="2"/>
        <v/>
      </c>
      <c r="N445" s="33" t="str">
        <f t="shared" si="3"/>
        <v/>
      </c>
    </row>
    <row r="446" ht="15.75" customHeight="1">
      <c r="B446" s="39"/>
      <c r="C446" s="39"/>
      <c r="E446" s="38"/>
      <c r="F446" s="38"/>
      <c r="G446" s="38"/>
      <c r="H446" s="38"/>
      <c r="I446" s="38"/>
      <c r="J446" s="38"/>
      <c r="K446" s="38" t="str">
        <f t="shared" si="1"/>
        <v/>
      </c>
      <c r="L446" s="38" t="str">
        <f>IF(A446="","",IFERROR(VLOOKUP(VLOOKUP(A446,BOOKINGS!$A:$Q,7,FALSE),SETUP_RATES!$A:$H,8,FALSE),0))</f>
        <v/>
      </c>
      <c r="M446" s="38" t="str">
        <f t="shared" si="2"/>
        <v/>
      </c>
      <c r="N446" s="33" t="str">
        <f t="shared" si="3"/>
        <v/>
      </c>
    </row>
    <row r="447" ht="15.75" customHeight="1">
      <c r="B447" s="39"/>
      <c r="C447" s="39"/>
      <c r="E447" s="38"/>
      <c r="F447" s="38"/>
      <c r="G447" s="38"/>
      <c r="H447" s="38"/>
      <c r="I447" s="38"/>
      <c r="J447" s="38"/>
      <c r="K447" s="38" t="str">
        <f t="shared" si="1"/>
        <v/>
      </c>
      <c r="L447" s="38" t="str">
        <f>IF(A447="","",IFERROR(VLOOKUP(VLOOKUP(A447,BOOKINGS!$A:$Q,7,FALSE),SETUP_RATES!$A:$H,8,FALSE),0))</f>
        <v/>
      </c>
      <c r="M447" s="38" t="str">
        <f t="shared" si="2"/>
        <v/>
      </c>
      <c r="N447" s="33" t="str">
        <f t="shared" si="3"/>
        <v/>
      </c>
    </row>
    <row r="448" ht="15.75" customHeight="1">
      <c r="B448" s="39"/>
      <c r="C448" s="39"/>
      <c r="E448" s="38"/>
      <c r="F448" s="38"/>
      <c r="G448" s="38"/>
      <c r="H448" s="38"/>
      <c r="I448" s="38"/>
      <c r="J448" s="38"/>
      <c r="K448" s="38" t="str">
        <f t="shared" si="1"/>
        <v/>
      </c>
      <c r="L448" s="38" t="str">
        <f>IF(A448="","",IFERROR(VLOOKUP(VLOOKUP(A448,BOOKINGS!$A:$Q,7,FALSE),SETUP_RATES!$A:$H,8,FALSE),0))</f>
        <v/>
      </c>
      <c r="M448" s="38" t="str">
        <f t="shared" si="2"/>
        <v/>
      </c>
      <c r="N448" s="33" t="str">
        <f t="shared" si="3"/>
        <v/>
      </c>
    </row>
    <row r="449" ht="15.75" customHeight="1">
      <c r="B449" s="39"/>
      <c r="C449" s="39"/>
      <c r="E449" s="38"/>
      <c r="F449" s="38"/>
      <c r="G449" s="38"/>
      <c r="H449" s="38"/>
      <c r="I449" s="38"/>
      <c r="J449" s="38"/>
      <c r="K449" s="38" t="str">
        <f t="shared" si="1"/>
        <v/>
      </c>
      <c r="L449" s="38" t="str">
        <f>IF(A449="","",IFERROR(VLOOKUP(VLOOKUP(A449,BOOKINGS!$A:$Q,7,FALSE),SETUP_RATES!$A:$H,8,FALSE),0))</f>
        <v/>
      </c>
      <c r="M449" s="38" t="str">
        <f t="shared" si="2"/>
        <v/>
      </c>
      <c r="N449" s="33" t="str">
        <f t="shared" si="3"/>
        <v/>
      </c>
    </row>
    <row r="450" ht="15.75" customHeight="1">
      <c r="B450" s="39"/>
      <c r="C450" s="39"/>
      <c r="E450" s="38"/>
      <c r="F450" s="38"/>
      <c r="G450" s="38"/>
      <c r="H450" s="38"/>
      <c r="I450" s="38"/>
      <c r="J450" s="38"/>
      <c r="K450" s="38" t="str">
        <f t="shared" si="1"/>
        <v/>
      </c>
      <c r="L450" s="38" t="str">
        <f>IF(A450="","",IFERROR(VLOOKUP(VLOOKUP(A450,BOOKINGS!$A:$Q,7,FALSE),SETUP_RATES!$A:$H,8,FALSE),0))</f>
        <v/>
      </c>
      <c r="M450" s="38" t="str">
        <f t="shared" si="2"/>
        <v/>
      </c>
      <c r="N450" s="33" t="str">
        <f t="shared" si="3"/>
        <v/>
      </c>
    </row>
    <row r="451" ht="15.75" customHeight="1">
      <c r="B451" s="39"/>
      <c r="C451" s="39"/>
      <c r="E451" s="38"/>
      <c r="F451" s="38"/>
      <c r="G451" s="38"/>
      <c r="H451" s="38"/>
      <c r="I451" s="38"/>
      <c r="J451" s="38"/>
      <c r="K451" s="38" t="str">
        <f t="shared" si="1"/>
        <v/>
      </c>
      <c r="L451" s="38" t="str">
        <f>IF(A451="","",IFERROR(VLOOKUP(VLOOKUP(A451,BOOKINGS!$A:$Q,7,FALSE),SETUP_RATES!$A:$H,8,FALSE),0))</f>
        <v/>
      </c>
      <c r="M451" s="38" t="str">
        <f t="shared" si="2"/>
        <v/>
      </c>
      <c r="N451" s="33" t="str">
        <f t="shared" si="3"/>
        <v/>
      </c>
    </row>
    <row r="452" ht="15.75" customHeight="1">
      <c r="B452" s="39"/>
      <c r="C452" s="39"/>
      <c r="E452" s="38"/>
      <c r="F452" s="38"/>
      <c r="G452" s="38"/>
      <c r="H452" s="38"/>
      <c r="I452" s="38"/>
      <c r="J452" s="38"/>
      <c r="K452" s="38" t="str">
        <f t="shared" si="1"/>
        <v/>
      </c>
      <c r="L452" s="38" t="str">
        <f>IF(A452="","",IFERROR(VLOOKUP(VLOOKUP(A452,BOOKINGS!$A:$Q,7,FALSE),SETUP_RATES!$A:$H,8,FALSE),0))</f>
        <v/>
      </c>
      <c r="M452" s="38" t="str">
        <f t="shared" si="2"/>
        <v/>
      </c>
      <c r="N452" s="33" t="str">
        <f t="shared" si="3"/>
        <v/>
      </c>
    </row>
    <row r="453" ht="15.75" customHeight="1">
      <c r="B453" s="39"/>
      <c r="C453" s="39"/>
      <c r="E453" s="38"/>
      <c r="F453" s="38"/>
      <c r="G453" s="38"/>
      <c r="H453" s="38"/>
      <c r="I453" s="38"/>
      <c r="J453" s="38"/>
      <c r="K453" s="38" t="str">
        <f t="shared" si="1"/>
        <v/>
      </c>
      <c r="L453" s="38" t="str">
        <f>IF(A453="","",IFERROR(VLOOKUP(VLOOKUP(A453,BOOKINGS!$A:$Q,7,FALSE),SETUP_RATES!$A:$H,8,FALSE),0))</f>
        <v/>
      </c>
      <c r="M453" s="38" t="str">
        <f t="shared" si="2"/>
        <v/>
      </c>
      <c r="N453" s="33" t="str">
        <f t="shared" si="3"/>
        <v/>
      </c>
    </row>
    <row r="454" ht="15.75" customHeight="1">
      <c r="B454" s="39"/>
      <c r="C454" s="39"/>
      <c r="E454" s="38"/>
      <c r="F454" s="38"/>
      <c r="G454" s="38"/>
      <c r="H454" s="38"/>
      <c r="I454" s="38"/>
      <c r="J454" s="38"/>
      <c r="K454" s="38" t="str">
        <f t="shared" si="1"/>
        <v/>
      </c>
      <c r="L454" s="38" t="str">
        <f>IF(A454="","",IFERROR(VLOOKUP(VLOOKUP(A454,BOOKINGS!$A:$Q,7,FALSE),SETUP_RATES!$A:$H,8,FALSE),0))</f>
        <v/>
      </c>
      <c r="M454" s="38" t="str">
        <f t="shared" si="2"/>
        <v/>
      </c>
      <c r="N454" s="33" t="str">
        <f t="shared" si="3"/>
        <v/>
      </c>
    </row>
    <row r="455" ht="15.75" customHeight="1">
      <c r="B455" s="39"/>
      <c r="C455" s="39"/>
      <c r="E455" s="38"/>
      <c r="F455" s="38"/>
      <c r="G455" s="38"/>
      <c r="H455" s="38"/>
      <c r="I455" s="38"/>
      <c r="J455" s="38"/>
      <c r="K455" s="38" t="str">
        <f t="shared" si="1"/>
        <v/>
      </c>
      <c r="L455" s="38" t="str">
        <f>IF(A455="","",IFERROR(VLOOKUP(VLOOKUP(A455,BOOKINGS!$A:$Q,7,FALSE),SETUP_RATES!$A:$H,8,FALSE),0))</f>
        <v/>
      </c>
      <c r="M455" s="38" t="str">
        <f t="shared" si="2"/>
        <v/>
      </c>
      <c r="N455" s="33" t="str">
        <f t="shared" si="3"/>
        <v/>
      </c>
    </row>
    <row r="456" ht="15.75" customHeight="1">
      <c r="B456" s="39"/>
      <c r="C456" s="39"/>
      <c r="E456" s="38"/>
      <c r="F456" s="38"/>
      <c r="G456" s="38"/>
      <c r="H456" s="38"/>
      <c r="I456" s="38"/>
      <c r="J456" s="38"/>
      <c r="K456" s="38" t="str">
        <f t="shared" si="1"/>
        <v/>
      </c>
      <c r="L456" s="38" t="str">
        <f>IF(A456="","",IFERROR(VLOOKUP(VLOOKUP(A456,BOOKINGS!$A:$Q,7,FALSE),SETUP_RATES!$A:$H,8,FALSE),0))</f>
        <v/>
      </c>
      <c r="M456" s="38" t="str">
        <f t="shared" si="2"/>
        <v/>
      </c>
      <c r="N456" s="33" t="str">
        <f t="shared" si="3"/>
        <v/>
      </c>
    </row>
    <row r="457" ht="15.75" customHeight="1">
      <c r="B457" s="39"/>
      <c r="C457" s="39"/>
      <c r="E457" s="38"/>
      <c r="F457" s="38"/>
      <c r="G457" s="38"/>
      <c r="H457" s="38"/>
      <c r="I457" s="38"/>
      <c r="J457" s="38"/>
      <c r="K457" s="38" t="str">
        <f t="shared" si="1"/>
        <v/>
      </c>
      <c r="L457" s="38" t="str">
        <f>IF(A457="","",IFERROR(VLOOKUP(VLOOKUP(A457,BOOKINGS!$A:$Q,7,FALSE),SETUP_RATES!$A:$H,8,FALSE),0))</f>
        <v/>
      </c>
      <c r="M457" s="38" t="str">
        <f t="shared" si="2"/>
        <v/>
      </c>
      <c r="N457" s="33" t="str">
        <f t="shared" si="3"/>
        <v/>
      </c>
    </row>
    <row r="458" ht="15.75" customHeight="1">
      <c r="B458" s="39"/>
      <c r="C458" s="39"/>
      <c r="E458" s="38"/>
      <c r="F458" s="38"/>
      <c r="G458" s="38"/>
      <c r="H458" s="38"/>
      <c r="I458" s="38"/>
      <c r="J458" s="38"/>
      <c r="K458" s="38" t="str">
        <f t="shared" si="1"/>
        <v/>
      </c>
      <c r="L458" s="38" t="str">
        <f>IF(A458="","",IFERROR(VLOOKUP(VLOOKUP(A458,BOOKINGS!$A:$Q,7,FALSE),SETUP_RATES!$A:$H,8,FALSE),0))</f>
        <v/>
      </c>
      <c r="M458" s="38" t="str">
        <f t="shared" si="2"/>
        <v/>
      </c>
      <c r="N458" s="33" t="str">
        <f t="shared" si="3"/>
        <v/>
      </c>
    </row>
    <row r="459" ht="15.75" customHeight="1">
      <c r="B459" s="39"/>
      <c r="C459" s="39"/>
      <c r="E459" s="38"/>
      <c r="F459" s="38"/>
      <c r="G459" s="38"/>
      <c r="H459" s="38"/>
      <c r="I459" s="38"/>
      <c r="J459" s="38"/>
      <c r="K459" s="38" t="str">
        <f t="shared" si="1"/>
        <v/>
      </c>
      <c r="L459" s="38" t="str">
        <f>IF(A459="","",IFERROR(VLOOKUP(VLOOKUP(A459,BOOKINGS!$A:$Q,7,FALSE),SETUP_RATES!$A:$H,8,FALSE),0))</f>
        <v/>
      </c>
      <c r="M459" s="38" t="str">
        <f t="shared" si="2"/>
        <v/>
      </c>
      <c r="N459" s="33" t="str">
        <f t="shared" si="3"/>
        <v/>
      </c>
    </row>
    <row r="460" ht="15.75" customHeight="1">
      <c r="B460" s="39"/>
      <c r="C460" s="39"/>
      <c r="E460" s="38"/>
      <c r="F460" s="38"/>
      <c r="G460" s="38"/>
      <c r="H460" s="38"/>
      <c r="I460" s="38"/>
      <c r="J460" s="38"/>
      <c r="K460" s="38" t="str">
        <f t="shared" si="1"/>
        <v/>
      </c>
      <c r="L460" s="38" t="str">
        <f>IF(A460="","",IFERROR(VLOOKUP(VLOOKUP(A460,BOOKINGS!$A:$Q,7,FALSE),SETUP_RATES!$A:$H,8,FALSE),0))</f>
        <v/>
      </c>
      <c r="M460" s="38" t="str">
        <f t="shared" si="2"/>
        <v/>
      </c>
      <c r="N460" s="33" t="str">
        <f t="shared" si="3"/>
        <v/>
      </c>
    </row>
    <row r="461" ht="15.75" customHeight="1">
      <c r="B461" s="39"/>
      <c r="C461" s="39"/>
      <c r="E461" s="38"/>
      <c r="F461" s="38"/>
      <c r="G461" s="38"/>
      <c r="H461" s="38"/>
      <c r="I461" s="38"/>
      <c r="J461" s="38"/>
      <c r="K461" s="38" t="str">
        <f t="shared" si="1"/>
        <v/>
      </c>
      <c r="L461" s="38" t="str">
        <f>IF(A461="","",IFERROR(VLOOKUP(VLOOKUP(A461,BOOKINGS!$A:$Q,7,FALSE),SETUP_RATES!$A:$H,8,FALSE),0))</f>
        <v/>
      </c>
      <c r="M461" s="38" t="str">
        <f t="shared" si="2"/>
        <v/>
      </c>
      <c r="N461" s="33" t="str">
        <f t="shared" si="3"/>
        <v/>
      </c>
    </row>
    <row r="462" ht="15.75" customHeight="1">
      <c r="B462" s="39"/>
      <c r="C462" s="39"/>
      <c r="E462" s="38"/>
      <c r="F462" s="38"/>
      <c r="G462" s="38"/>
      <c r="H462" s="38"/>
      <c r="I462" s="38"/>
      <c r="J462" s="38"/>
      <c r="K462" s="38" t="str">
        <f t="shared" si="1"/>
        <v/>
      </c>
      <c r="L462" s="38" t="str">
        <f>IF(A462="","",IFERROR(VLOOKUP(VLOOKUP(A462,BOOKINGS!$A:$Q,7,FALSE),SETUP_RATES!$A:$H,8,FALSE),0))</f>
        <v/>
      </c>
      <c r="M462" s="38" t="str">
        <f t="shared" si="2"/>
        <v/>
      </c>
      <c r="N462" s="33" t="str">
        <f t="shared" si="3"/>
        <v/>
      </c>
    </row>
    <row r="463" ht="15.75" customHeight="1">
      <c r="B463" s="39"/>
      <c r="C463" s="39"/>
      <c r="E463" s="38"/>
      <c r="F463" s="38"/>
      <c r="G463" s="38"/>
      <c r="H463" s="38"/>
      <c r="I463" s="38"/>
      <c r="J463" s="38"/>
      <c r="K463" s="38" t="str">
        <f t="shared" si="1"/>
        <v/>
      </c>
      <c r="L463" s="38" t="str">
        <f>IF(A463="","",IFERROR(VLOOKUP(VLOOKUP(A463,BOOKINGS!$A:$Q,7,FALSE),SETUP_RATES!$A:$H,8,FALSE),0))</f>
        <v/>
      </c>
      <c r="M463" s="38" t="str">
        <f t="shared" si="2"/>
        <v/>
      </c>
      <c r="N463" s="33" t="str">
        <f t="shared" si="3"/>
        <v/>
      </c>
    </row>
    <row r="464" ht="15.75" customHeight="1">
      <c r="B464" s="39"/>
      <c r="C464" s="39"/>
      <c r="E464" s="38"/>
      <c r="F464" s="38"/>
      <c r="G464" s="38"/>
      <c r="H464" s="38"/>
      <c r="I464" s="38"/>
      <c r="J464" s="38"/>
      <c r="K464" s="38" t="str">
        <f t="shared" si="1"/>
        <v/>
      </c>
      <c r="L464" s="38" t="str">
        <f>IF(A464="","",IFERROR(VLOOKUP(VLOOKUP(A464,BOOKINGS!$A:$Q,7,FALSE),SETUP_RATES!$A:$H,8,FALSE),0))</f>
        <v/>
      </c>
      <c r="M464" s="38" t="str">
        <f t="shared" si="2"/>
        <v/>
      </c>
      <c r="N464" s="33" t="str">
        <f t="shared" si="3"/>
        <v/>
      </c>
    </row>
    <row r="465" ht="15.75" customHeight="1">
      <c r="B465" s="39"/>
      <c r="C465" s="39"/>
      <c r="E465" s="38"/>
      <c r="F465" s="38"/>
      <c r="G465" s="38"/>
      <c r="H465" s="38"/>
      <c r="I465" s="38"/>
      <c r="J465" s="38"/>
      <c r="K465" s="38" t="str">
        <f t="shared" si="1"/>
        <v/>
      </c>
      <c r="L465" s="38" t="str">
        <f>IF(A465="","",IFERROR(VLOOKUP(VLOOKUP(A465,BOOKINGS!$A:$Q,7,FALSE),SETUP_RATES!$A:$H,8,FALSE),0))</f>
        <v/>
      </c>
      <c r="M465" s="38" t="str">
        <f t="shared" si="2"/>
        <v/>
      </c>
      <c r="N465" s="33" t="str">
        <f t="shared" si="3"/>
        <v/>
      </c>
    </row>
    <row r="466" ht="15.75" customHeight="1">
      <c r="B466" s="39"/>
      <c r="C466" s="39"/>
      <c r="E466" s="38"/>
      <c r="F466" s="38"/>
      <c r="G466" s="38"/>
      <c r="H466" s="38"/>
      <c r="I466" s="38"/>
      <c r="J466" s="38"/>
      <c r="K466" s="38" t="str">
        <f t="shared" si="1"/>
        <v/>
      </c>
      <c r="L466" s="38" t="str">
        <f>IF(A466="","",IFERROR(VLOOKUP(VLOOKUP(A466,BOOKINGS!$A:$Q,7,FALSE),SETUP_RATES!$A:$H,8,FALSE),0))</f>
        <v/>
      </c>
      <c r="M466" s="38" t="str">
        <f t="shared" si="2"/>
        <v/>
      </c>
      <c r="N466" s="33" t="str">
        <f t="shared" si="3"/>
        <v/>
      </c>
    </row>
    <row r="467" ht="15.75" customHeight="1">
      <c r="B467" s="39"/>
      <c r="C467" s="39"/>
      <c r="E467" s="38"/>
      <c r="F467" s="38"/>
      <c r="G467" s="38"/>
      <c r="H467" s="38"/>
      <c r="I467" s="38"/>
      <c r="J467" s="38"/>
      <c r="K467" s="38" t="str">
        <f t="shared" si="1"/>
        <v/>
      </c>
      <c r="L467" s="38" t="str">
        <f>IF(A467="","",IFERROR(VLOOKUP(VLOOKUP(A467,BOOKINGS!$A:$Q,7,FALSE),SETUP_RATES!$A:$H,8,FALSE),0))</f>
        <v/>
      </c>
      <c r="M467" s="38" t="str">
        <f t="shared" si="2"/>
        <v/>
      </c>
      <c r="N467" s="33" t="str">
        <f t="shared" si="3"/>
        <v/>
      </c>
    </row>
    <row r="468" ht="15.75" customHeight="1">
      <c r="B468" s="39"/>
      <c r="C468" s="39"/>
      <c r="E468" s="38"/>
      <c r="F468" s="38"/>
      <c r="G468" s="38"/>
      <c r="H468" s="38"/>
      <c r="I468" s="38"/>
      <c r="J468" s="38"/>
      <c r="K468" s="38" t="str">
        <f t="shared" si="1"/>
        <v/>
      </c>
      <c r="L468" s="38" t="str">
        <f>IF(A468="","",IFERROR(VLOOKUP(VLOOKUP(A468,BOOKINGS!$A:$Q,7,FALSE),SETUP_RATES!$A:$H,8,FALSE),0))</f>
        <v/>
      </c>
      <c r="M468" s="38" t="str">
        <f t="shared" si="2"/>
        <v/>
      </c>
      <c r="N468" s="33" t="str">
        <f t="shared" si="3"/>
        <v/>
      </c>
    </row>
    <row r="469" ht="15.75" customHeight="1">
      <c r="B469" s="39"/>
      <c r="C469" s="39"/>
      <c r="E469" s="38"/>
      <c r="F469" s="38"/>
      <c r="G469" s="38"/>
      <c r="H469" s="38"/>
      <c r="I469" s="38"/>
      <c r="J469" s="38"/>
      <c r="K469" s="38" t="str">
        <f t="shared" si="1"/>
        <v/>
      </c>
      <c r="L469" s="38" t="str">
        <f>IF(A469="","",IFERROR(VLOOKUP(VLOOKUP(A469,BOOKINGS!$A:$Q,7,FALSE),SETUP_RATES!$A:$H,8,FALSE),0))</f>
        <v/>
      </c>
      <c r="M469" s="38" t="str">
        <f t="shared" si="2"/>
        <v/>
      </c>
      <c r="N469" s="33" t="str">
        <f t="shared" si="3"/>
        <v/>
      </c>
    </row>
    <row r="470" ht="15.75" customHeight="1">
      <c r="B470" s="39"/>
      <c r="C470" s="39"/>
      <c r="E470" s="38"/>
      <c r="F470" s="38"/>
      <c r="G470" s="38"/>
      <c r="H470" s="38"/>
      <c r="I470" s="38"/>
      <c r="J470" s="38"/>
      <c r="K470" s="38" t="str">
        <f t="shared" si="1"/>
        <v/>
      </c>
      <c r="L470" s="38" t="str">
        <f>IF(A470="","",IFERROR(VLOOKUP(VLOOKUP(A470,BOOKINGS!$A:$Q,7,FALSE),SETUP_RATES!$A:$H,8,FALSE),0))</f>
        <v/>
      </c>
      <c r="M470" s="38" t="str">
        <f t="shared" si="2"/>
        <v/>
      </c>
      <c r="N470" s="33" t="str">
        <f t="shared" si="3"/>
        <v/>
      </c>
    </row>
    <row r="471" ht="15.75" customHeight="1">
      <c r="B471" s="39"/>
      <c r="C471" s="39"/>
      <c r="E471" s="38"/>
      <c r="F471" s="38"/>
      <c r="G471" s="38"/>
      <c r="H471" s="38"/>
      <c r="I471" s="38"/>
      <c r="J471" s="38"/>
      <c r="K471" s="38" t="str">
        <f t="shared" si="1"/>
        <v/>
      </c>
      <c r="L471" s="38" t="str">
        <f>IF(A471="","",IFERROR(VLOOKUP(VLOOKUP(A471,BOOKINGS!$A:$Q,7,FALSE),SETUP_RATES!$A:$H,8,FALSE),0))</f>
        <v/>
      </c>
      <c r="M471" s="38" t="str">
        <f t="shared" si="2"/>
        <v/>
      </c>
      <c r="N471" s="33" t="str">
        <f t="shared" si="3"/>
        <v/>
      </c>
    </row>
    <row r="472" ht="15.75" customHeight="1">
      <c r="B472" s="39"/>
      <c r="C472" s="39"/>
      <c r="E472" s="38"/>
      <c r="F472" s="38"/>
      <c r="G472" s="38"/>
      <c r="H472" s="38"/>
      <c r="I472" s="38"/>
      <c r="J472" s="38"/>
      <c r="K472" s="38" t="str">
        <f t="shared" si="1"/>
        <v/>
      </c>
      <c r="L472" s="38" t="str">
        <f>IF(A472="","",IFERROR(VLOOKUP(VLOOKUP(A472,BOOKINGS!$A:$Q,7,FALSE),SETUP_RATES!$A:$H,8,FALSE),0))</f>
        <v/>
      </c>
      <c r="M472" s="38" t="str">
        <f t="shared" si="2"/>
        <v/>
      </c>
      <c r="N472" s="33" t="str">
        <f t="shared" si="3"/>
        <v/>
      </c>
    </row>
    <row r="473" ht="15.75" customHeight="1">
      <c r="B473" s="39"/>
      <c r="C473" s="39"/>
      <c r="E473" s="38"/>
      <c r="F473" s="38"/>
      <c r="G473" s="38"/>
      <c r="H473" s="38"/>
      <c r="I473" s="38"/>
      <c r="J473" s="38"/>
      <c r="K473" s="38" t="str">
        <f t="shared" si="1"/>
        <v/>
      </c>
      <c r="L473" s="38" t="str">
        <f>IF(A473="","",IFERROR(VLOOKUP(VLOOKUP(A473,BOOKINGS!$A:$Q,7,FALSE),SETUP_RATES!$A:$H,8,FALSE),0))</f>
        <v/>
      </c>
      <c r="M473" s="38" t="str">
        <f t="shared" si="2"/>
        <v/>
      </c>
      <c r="N473" s="33" t="str">
        <f t="shared" si="3"/>
        <v/>
      </c>
    </row>
    <row r="474" ht="15.75" customHeight="1">
      <c r="B474" s="39"/>
      <c r="C474" s="39"/>
      <c r="E474" s="38"/>
      <c r="F474" s="38"/>
      <c r="G474" s="38"/>
      <c r="H474" s="38"/>
      <c r="I474" s="38"/>
      <c r="J474" s="38"/>
      <c r="K474" s="38" t="str">
        <f t="shared" si="1"/>
        <v/>
      </c>
      <c r="L474" s="38" t="str">
        <f>IF(A474="","",IFERROR(VLOOKUP(VLOOKUP(A474,BOOKINGS!$A:$Q,7,FALSE),SETUP_RATES!$A:$H,8,FALSE),0))</f>
        <v/>
      </c>
      <c r="M474" s="38" t="str">
        <f t="shared" si="2"/>
        <v/>
      </c>
      <c r="N474" s="33" t="str">
        <f t="shared" si="3"/>
        <v/>
      </c>
    </row>
    <row r="475" ht="15.75" customHeight="1">
      <c r="B475" s="39"/>
      <c r="C475" s="39"/>
      <c r="E475" s="38"/>
      <c r="F475" s="38"/>
      <c r="G475" s="38"/>
      <c r="H475" s="38"/>
      <c r="I475" s="38"/>
      <c r="J475" s="38"/>
      <c r="K475" s="38" t="str">
        <f t="shared" si="1"/>
        <v/>
      </c>
      <c r="L475" s="38" t="str">
        <f>IF(A475="","",IFERROR(VLOOKUP(VLOOKUP(A475,BOOKINGS!$A:$Q,7,FALSE),SETUP_RATES!$A:$H,8,FALSE),0))</f>
        <v/>
      </c>
      <c r="M475" s="38" t="str">
        <f t="shared" si="2"/>
        <v/>
      </c>
      <c r="N475" s="33" t="str">
        <f t="shared" si="3"/>
        <v/>
      </c>
    </row>
    <row r="476" ht="15.75" customHeight="1">
      <c r="B476" s="39"/>
      <c r="C476" s="39"/>
      <c r="E476" s="38"/>
      <c r="F476" s="38"/>
      <c r="G476" s="38"/>
      <c r="H476" s="38"/>
      <c r="I476" s="38"/>
      <c r="J476" s="38"/>
      <c r="K476" s="38" t="str">
        <f t="shared" si="1"/>
        <v/>
      </c>
      <c r="L476" s="38" t="str">
        <f>IF(A476="","",IFERROR(VLOOKUP(VLOOKUP(A476,BOOKINGS!$A:$Q,7,FALSE),SETUP_RATES!$A:$H,8,FALSE),0))</f>
        <v/>
      </c>
      <c r="M476" s="38" t="str">
        <f t="shared" si="2"/>
        <v/>
      </c>
      <c r="N476" s="33" t="str">
        <f t="shared" si="3"/>
        <v/>
      </c>
    </row>
    <row r="477" ht="15.75" customHeight="1">
      <c r="B477" s="39"/>
      <c r="C477" s="39"/>
      <c r="E477" s="38"/>
      <c r="F477" s="38"/>
      <c r="G477" s="38"/>
      <c r="H477" s="38"/>
      <c r="I477" s="38"/>
      <c r="J477" s="38"/>
      <c r="K477" s="38" t="str">
        <f t="shared" si="1"/>
        <v/>
      </c>
      <c r="L477" s="38" t="str">
        <f>IF(A477="","",IFERROR(VLOOKUP(VLOOKUP(A477,BOOKINGS!$A:$Q,7,FALSE),SETUP_RATES!$A:$H,8,FALSE),0))</f>
        <v/>
      </c>
      <c r="M477" s="38" t="str">
        <f t="shared" si="2"/>
        <v/>
      </c>
      <c r="N477" s="33" t="str">
        <f t="shared" si="3"/>
        <v/>
      </c>
    </row>
    <row r="478" ht="15.75" customHeight="1">
      <c r="B478" s="39"/>
      <c r="C478" s="39"/>
      <c r="E478" s="38"/>
      <c r="F478" s="38"/>
      <c r="G478" s="38"/>
      <c r="H478" s="38"/>
      <c r="I478" s="38"/>
      <c r="J478" s="38"/>
      <c r="K478" s="38" t="str">
        <f t="shared" si="1"/>
        <v/>
      </c>
      <c r="L478" s="38" t="str">
        <f>IF(A478="","",IFERROR(VLOOKUP(VLOOKUP(A478,BOOKINGS!$A:$Q,7,FALSE),SETUP_RATES!$A:$H,8,FALSE),0))</f>
        <v/>
      </c>
      <c r="M478" s="38" t="str">
        <f t="shared" si="2"/>
        <v/>
      </c>
      <c r="N478" s="33" t="str">
        <f t="shared" si="3"/>
        <v/>
      </c>
    </row>
    <row r="479" ht="15.75" customHeight="1">
      <c r="B479" s="39"/>
      <c r="C479" s="39"/>
      <c r="E479" s="38"/>
      <c r="F479" s="38"/>
      <c r="G479" s="38"/>
      <c r="H479" s="38"/>
      <c r="I479" s="38"/>
      <c r="J479" s="38"/>
      <c r="K479" s="38" t="str">
        <f t="shared" si="1"/>
        <v/>
      </c>
      <c r="L479" s="38" t="str">
        <f>IF(A479="","",IFERROR(VLOOKUP(VLOOKUP(A479,BOOKINGS!$A:$Q,7,FALSE),SETUP_RATES!$A:$H,8,FALSE),0))</f>
        <v/>
      </c>
      <c r="M479" s="38" t="str">
        <f t="shared" si="2"/>
        <v/>
      </c>
      <c r="N479" s="33" t="str">
        <f t="shared" si="3"/>
        <v/>
      </c>
    </row>
    <row r="480" ht="15.75" customHeight="1">
      <c r="B480" s="39"/>
      <c r="C480" s="39"/>
      <c r="E480" s="38"/>
      <c r="F480" s="38"/>
      <c r="G480" s="38"/>
      <c r="H480" s="38"/>
      <c r="I480" s="38"/>
      <c r="J480" s="38"/>
      <c r="K480" s="38" t="str">
        <f t="shared" si="1"/>
        <v/>
      </c>
      <c r="L480" s="38" t="str">
        <f>IF(A480="","",IFERROR(VLOOKUP(VLOOKUP(A480,BOOKINGS!$A:$Q,7,FALSE),SETUP_RATES!$A:$H,8,FALSE),0))</f>
        <v/>
      </c>
      <c r="M480" s="38" t="str">
        <f t="shared" si="2"/>
        <v/>
      </c>
      <c r="N480" s="33" t="str">
        <f t="shared" si="3"/>
        <v/>
      </c>
    </row>
    <row r="481" ht="15.75" customHeight="1">
      <c r="B481" s="39"/>
      <c r="C481" s="39"/>
      <c r="E481" s="38"/>
      <c r="F481" s="38"/>
      <c r="G481" s="38"/>
      <c r="H481" s="38"/>
      <c r="I481" s="38"/>
      <c r="J481" s="38"/>
      <c r="K481" s="38" t="str">
        <f t="shared" si="1"/>
        <v/>
      </c>
      <c r="L481" s="38" t="str">
        <f>IF(A481="","",IFERROR(VLOOKUP(VLOOKUP(A481,BOOKINGS!$A:$Q,7,FALSE),SETUP_RATES!$A:$H,8,FALSE),0))</f>
        <v/>
      </c>
      <c r="M481" s="38" t="str">
        <f t="shared" si="2"/>
        <v/>
      </c>
      <c r="N481" s="33" t="str">
        <f t="shared" si="3"/>
        <v/>
      </c>
    </row>
    <row r="482" ht="15.75" customHeight="1">
      <c r="B482" s="39"/>
      <c r="C482" s="39"/>
      <c r="E482" s="38"/>
      <c r="F482" s="38"/>
      <c r="G482" s="38"/>
      <c r="H482" s="38"/>
      <c r="I482" s="38"/>
      <c r="J482" s="38"/>
      <c r="K482" s="38" t="str">
        <f t="shared" si="1"/>
        <v/>
      </c>
      <c r="L482" s="38" t="str">
        <f>IF(A482="","",IFERROR(VLOOKUP(VLOOKUP(A482,BOOKINGS!$A:$Q,7,FALSE),SETUP_RATES!$A:$H,8,FALSE),0))</f>
        <v/>
      </c>
      <c r="M482" s="38" t="str">
        <f t="shared" si="2"/>
        <v/>
      </c>
      <c r="N482" s="33" t="str">
        <f t="shared" si="3"/>
        <v/>
      </c>
    </row>
    <row r="483" ht="15.75" customHeight="1">
      <c r="B483" s="39"/>
      <c r="C483" s="39"/>
      <c r="E483" s="38"/>
      <c r="F483" s="38"/>
      <c r="G483" s="38"/>
      <c r="H483" s="38"/>
      <c r="I483" s="38"/>
      <c r="J483" s="38"/>
      <c r="K483" s="38" t="str">
        <f t="shared" si="1"/>
        <v/>
      </c>
      <c r="L483" s="38" t="str">
        <f>IF(A483="","",IFERROR(VLOOKUP(VLOOKUP(A483,BOOKINGS!$A:$Q,7,FALSE),SETUP_RATES!$A:$H,8,FALSE),0))</f>
        <v/>
      </c>
      <c r="M483" s="38" t="str">
        <f t="shared" si="2"/>
        <v/>
      </c>
      <c r="N483" s="33" t="str">
        <f t="shared" si="3"/>
        <v/>
      </c>
    </row>
    <row r="484" ht="15.75" customHeight="1">
      <c r="B484" s="39"/>
      <c r="C484" s="39"/>
      <c r="E484" s="38"/>
      <c r="F484" s="38"/>
      <c r="G484" s="38"/>
      <c r="H484" s="38"/>
      <c r="I484" s="38"/>
      <c r="J484" s="38"/>
      <c r="K484" s="38" t="str">
        <f t="shared" si="1"/>
        <v/>
      </c>
      <c r="L484" s="38" t="str">
        <f>IF(A484="","",IFERROR(VLOOKUP(VLOOKUP(A484,BOOKINGS!$A:$Q,7,FALSE),SETUP_RATES!$A:$H,8,FALSE),0))</f>
        <v/>
      </c>
      <c r="M484" s="38" t="str">
        <f t="shared" si="2"/>
        <v/>
      </c>
      <c r="N484" s="33" t="str">
        <f t="shared" si="3"/>
        <v/>
      </c>
    </row>
    <row r="485" ht="15.75" customHeight="1">
      <c r="B485" s="39"/>
      <c r="C485" s="39"/>
      <c r="E485" s="38"/>
      <c r="F485" s="38"/>
      <c r="G485" s="38"/>
      <c r="H485" s="38"/>
      <c r="I485" s="38"/>
      <c r="J485" s="38"/>
      <c r="K485" s="38" t="str">
        <f t="shared" si="1"/>
        <v/>
      </c>
      <c r="L485" s="38" t="str">
        <f>IF(A485="","",IFERROR(VLOOKUP(VLOOKUP(A485,BOOKINGS!$A:$Q,7,FALSE),SETUP_RATES!$A:$H,8,FALSE),0))</f>
        <v/>
      </c>
      <c r="M485" s="38" t="str">
        <f t="shared" si="2"/>
        <v/>
      </c>
      <c r="N485" s="33" t="str">
        <f t="shared" si="3"/>
        <v/>
      </c>
    </row>
    <row r="486" ht="15.75" customHeight="1">
      <c r="B486" s="39"/>
      <c r="C486" s="39"/>
      <c r="E486" s="38"/>
      <c r="F486" s="38"/>
      <c r="G486" s="38"/>
      <c r="H486" s="38"/>
      <c r="I486" s="38"/>
      <c r="J486" s="38"/>
      <c r="K486" s="38" t="str">
        <f t="shared" si="1"/>
        <v/>
      </c>
      <c r="L486" s="38" t="str">
        <f>IF(A486="","",IFERROR(VLOOKUP(VLOOKUP(A486,BOOKINGS!$A:$Q,7,FALSE),SETUP_RATES!$A:$H,8,FALSE),0))</f>
        <v/>
      </c>
      <c r="M486" s="38" t="str">
        <f t="shared" si="2"/>
        <v/>
      </c>
      <c r="N486" s="33" t="str">
        <f t="shared" si="3"/>
        <v/>
      </c>
    </row>
    <row r="487" ht="15.75" customHeight="1">
      <c r="B487" s="39"/>
      <c r="C487" s="39"/>
      <c r="E487" s="38"/>
      <c r="F487" s="38"/>
      <c r="G487" s="38"/>
      <c r="H487" s="38"/>
      <c r="I487" s="38"/>
      <c r="J487" s="38"/>
      <c r="K487" s="38" t="str">
        <f t="shared" si="1"/>
        <v/>
      </c>
      <c r="L487" s="38" t="str">
        <f>IF(A487="","",IFERROR(VLOOKUP(VLOOKUP(A487,BOOKINGS!$A:$Q,7,FALSE),SETUP_RATES!$A:$H,8,FALSE),0))</f>
        <v/>
      </c>
      <c r="M487" s="38" t="str">
        <f t="shared" si="2"/>
        <v/>
      </c>
      <c r="N487" s="33" t="str">
        <f t="shared" si="3"/>
        <v/>
      </c>
    </row>
    <row r="488" ht="15.75" customHeight="1">
      <c r="B488" s="39"/>
      <c r="C488" s="39"/>
      <c r="E488" s="38"/>
      <c r="F488" s="38"/>
      <c r="G488" s="38"/>
      <c r="H488" s="38"/>
      <c r="I488" s="38"/>
      <c r="J488" s="38"/>
      <c r="K488" s="38" t="str">
        <f t="shared" si="1"/>
        <v/>
      </c>
      <c r="L488" s="38" t="str">
        <f>IF(A488="","",IFERROR(VLOOKUP(VLOOKUP(A488,BOOKINGS!$A:$Q,7,FALSE),SETUP_RATES!$A:$H,8,FALSE),0))</f>
        <v/>
      </c>
      <c r="M488" s="38" t="str">
        <f t="shared" si="2"/>
        <v/>
      </c>
      <c r="N488" s="33" t="str">
        <f t="shared" si="3"/>
        <v/>
      </c>
    </row>
    <row r="489" ht="15.75" customHeight="1">
      <c r="B489" s="39"/>
      <c r="C489" s="39"/>
      <c r="E489" s="38"/>
      <c r="F489" s="38"/>
      <c r="G489" s="38"/>
      <c r="H489" s="38"/>
      <c r="I489" s="38"/>
      <c r="J489" s="38"/>
      <c r="K489" s="38" t="str">
        <f t="shared" si="1"/>
        <v/>
      </c>
      <c r="L489" s="38" t="str">
        <f>IF(A489="","",IFERROR(VLOOKUP(VLOOKUP(A489,BOOKINGS!$A:$Q,7,FALSE),SETUP_RATES!$A:$H,8,FALSE),0))</f>
        <v/>
      </c>
      <c r="M489" s="38" t="str">
        <f t="shared" si="2"/>
        <v/>
      </c>
      <c r="N489" s="33" t="str">
        <f t="shared" si="3"/>
        <v/>
      </c>
    </row>
    <row r="490" ht="15.75" customHeight="1">
      <c r="B490" s="39"/>
      <c r="C490" s="39"/>
      <c r="E490" s="38"/>
      <c r="F490" s="38"/>
      <c r="G490" s="38"/>
      <c r="H490" s="38"/>
      <c r="I490" s="38"/>
      <c r="J490" s="38"/>
      <c r="K490" s="38" t="str">
        <f t="shared" si="1"/>
        <v/>
      </c>
      <c r="L490" s="38" t="str">
        <f>IF(A490="","",IFERROR(VLOOKUP(VLOOKUP(A490,BOOKINGS!$A:$Q,7,FALSE),SETUP_RATES!$A:$H,8,FALSE),0))</f>
        <v/>
      </c>
      <c r="M490" s="38" t="str">
        <f t="shared" si="2"/>
        <v/>
      </c>
      <c r="N490" s="33" t="str">
        <f t="shared" si="3"/>
        <v/>
      </c>
    </row>
    <row r="491" ht="15.75" customHeight="1">
      <c r="B491" s="39"/>
      <c r="C491" s="39"/>
      <c r="E491" s="38"/>
      <c r="F491" s="38"/>
      <c r="G491" s="38"/>
      <c r="H491" s="38"/>
      <c r="I491" s="38"/>
      <c r="J491" s="38"/>
      <c r="K491" s="38" t="str">
        <f t="shared" si="1"/>
        <v/>
      </c>
      <c r="L491" s="38" t="str">
        <f>IF(A491="","",IFERROR(VLOOKUP(VLOOKUP(A491,BOOKINGS!$A:$Q,7,FALSE),SETUP_RATES!$A:$H,8,FALSE),0))</f>
        <v/>
      </c>
      <c r="M491" s="38" t="str">
        <f t="shared" si="2"/>
        <v/>
      </c>
      <c r="N491" s="33" t="str">
        <f t="shared" si="3"/>
        <v/>
      </c>
    </row>
    <row r="492" ht="15.75" customHeight="1">
      <c r="B492" s="39"/>
      <c r="C492" s="39"/>
      <c r="E492" s="38"/>
      <c r="F492" s="38"/>
      <c r="G492" s="38"/>
      <c r="H492" s="38"/>
      <c r="I492" s="38"/>
      <c r="J492" s="38"/>
      <c r="K492" s="38" t="str">
        <f t="shared" si="1"/>
        <v/>
      </c>
      <c r="L492" s="38" t="str">
        <f>IF(A492="","",IFERROR(VLOOKUP(VLOOKUP(A492,BOOKINGS!$A:$Q,7,FALSE),SETUP_RATES!$A:$H,8,FALSE),0))</f>
        <v/>
      </c>
      <c r="M492" s="38" t="str">
        <f t="shared" si="2"/>
        <v/>
      </c>
      <c r="N492" s="33" t="str">
        <f t="shared" si="3"/>
        <v/>
      </c>
    </row>
    <row r="493" ht="15.75" customHeight="1">
      <c r="B493" s="39"/>
      <c r="C493" s="39"/>
      <c r="E493" s="38"/>
      <c r="F493" s="38"/>
      <c r="G493" s="38"/>
      <c r="H493" s="38"/>
      <c r="I493" s="38"/>
      <c r="J493" s="38"/>
      <c r="K493" s="38" t="str">
        <f t="shared" si="1"/>
        <v/>
      </c>
      <c r="L493" s="38" t="str">
        <f>IF(A493="","",IFERROR(VLOOKUP(VLOOKUP(A493,BOOKINGS!$A:$Q,7,FALSE),SETUP_RATES!$A:$H,8,FALSE),0))</f>
        <v/>
      </c>
      <c r="M493" s="38" t="str">
        <f t="shared" si="2"/>
        <v/>
      </c>
      <c r="N493" s="33" t="str">
        <f t="shared" si="3"/>
        <v/>
      </c>
    </row>
    <row r="494" ht="15.75" customHeight="1">
      <c r="B494" s="39"/>
      <c r="C494" s="39"/>
      <c r="E494" s="38"/>
      <c r="F494" s="38"/>
      <c r="G494" s="38"/>
      <c r="H494" s="38"/>
      <c r="I494" s="38"/>
      <c r="J494" s="38"/>
      <c r="K494" s="38" t="str">
        <f t="shared" si="1"/>
        <v/>
      </c>
      <c r="L494" s="38" t="str">
        <f>IF(A494="","",IFERROR(VLOOKUP(VLOOKUP(A494,BOOKINGS!$A:$Q,7,FALSE),SETUP_RATES!$A:$H,8,FALSE),0))</f>
        <v/>
      </c>
      <c r="M494" s="38" t="str">
        <f t="shared" si="2"/>
        <v/>
      </c>
      <c r="N494" s="33" t="str">
        <f t="shared" si="3"/>
        <v/>
      </c>
    </row>
    <row r="495" ht="15.75" customHeight="1">
      <c r="B495" s="39"/>
      <c r="C495" s="39"/>
      <c r="E495" s="38"/>
      <c r="F495" s="38"/>
      <c r="G495" s="38"/>
      <c r="H495" s="38"/>
      <c r="I495" s="38"/>
      <c r="J495" s="38"/>
      <c r="K495" s="38" t="str">
        <f t="shared" si="1"/>
        <v/>
      </c>
      <c r="L495" s="38" t="str">
        <f>IF(A495="","",IFERROR(VLOOKUP(VLOOKUP(A495,BOOKINGS!$A:$Q,7,FALSE),SETUP_RATES!$A:$H,8,FALSE),0))</f>
        <v/>
      </c>
      <c r="M495" s="38" t="str">
        <f t="shared" si="2"/>
        <v/>
      </c>
      <c r="N495" s="33" t="str">
        <f t="shared" si="3"/>
        <v/>
      </c>
    </row>
    <row r="496" ht="15.75" customHeight="1">
      <c r="B496" s="39"/>
      <c r="C496" s="39"/>
      <c r="E496" s="38"/>
      <c r="F496" s="38"/>
      <c r="G496" s="38"/>
      <c r="H496" s="38"/>
      <c r="I496" s="38"/>
      <c r="J496" s="38"/>
      <c r="K496" s="38" t="str">
        <f t="shared" si="1"/>
        <v/>
      </c>
      <c r="L496" s="38" t="str">
        <f>IF(A496="","",IFERROR(VLOOKUP(VLOOKUP(A496,BOOKINGS!$A:$Q,7,FALSE),SETUP_RATES!$A:$H,8,FALSE),0))</f>
        <v/>
      </c>
      <c r="M496" s="38" t="str">
        <f t="shared" si="2"/>
        <v/>
      </c>
      <c r="N496" s="33" t="str">
        <f t="shared" si="3"/>
        <v/>
      </c>
    </row>
    <row r="497" ht="15.75" customHeight="1">
      <c r="B497" s="39"/>
      <c r="C497" s="39"/>
      <c r="E497" s="38"/>
      <c r="F497" s="38"/>
      <c r="G497" s="38"/>
      <c r="H497" s="38"/>
      <c r="I497" s="38"/>
      <c r="J497" s="38"/>
      <c r="K497" s="38" t="str">
        <f t="shared" si="1"/>
        <v/>
      </c>
      <c r="L497" s="38" t="str">
        <f>IF(A497="","",IFERROR(VLOOKUP(VLOOKUP(A497,BOOKINGS!$A:$Q,7,FALSE),SETUP_RATES!$A:$H,8,FALSE),0))</f>
        <v/>
      </c>
      <c r="M497" s="38" t="str">
        <f t="shared" si="2"/>
        <v/>
      </c>
      <c r="N497" s="33" t="str">
        <f t="shared" si="3"/>
        <v/>
      </c>
    </row>
    <row r="498" ht="15.75" customHeight="1">
      <c r="B498" s="39"/>
      <c r="C498" s="39"/>
      <c r="E498" s="38"/>
      <c r="F498" s="38"/>
      <c r="G498" s="38"/>
      <c r="H498" s="38"/>
      <c r="I498" s="38"/>
      <c r="J498" s="38"/>
      <c r="K498" s="38" t="str">
        <f t="shared" si="1"/>
        <v/>
      </c>
      <c r="L498" s="38" t="str">
        <f>IF(A498="","",IFERROR(VLOOKUP(VLOOKUP(A498,BOOKINGS!$A:$Q,7,FALSE),SETUP_RATES!$A:$H,8,FALSE),0))</f>
        <v/>
      </c>
      <c r="M498" s="38" t="str">
        <f t="shared" si="2"/>
        <v/>
      </c>
      <c r="N498" s="33" t="str">
        <f t="shared" si="3"/>
        <v/>
      </c>
    </row>
    <row r="499" ht="15.75" customHeight="1">
      <c r="B499" s="39"/>
      <c r="C499" s="39"/>
      <c r="E499" s="38"/>
      <c r="F499" s="38"/>
      <c r="G499" s="38"/>
      <c r="H499" s="38"/>
      <c r="I499" s="38"/>
      <c r="J499" s="38"/>
      <c r="K499" s="38" t="str">
        <f t="shared" si="1"/>
        <v/>
      </c>
      <c r="L499" s="38" t="str">
        <f>IF(A499="","",IFERROR(VLOOKUP(VLOOKUP(A499,BOOKINGS!$A:$Q,7,FALSE),SETUP_RATES!$A:$H,8,FALSE),0))</f>
        <v/>
      </c>
      <c r="M499" s="38" t="str">
        <f t="shared" si="2"/>
        <v/>
      </c>
      <c r="N499" s="33" t="str">
        <f t="shared" si="3"/>
        <v/>
      </c>
    </row>
    <row r="500" ht="15.75" customHeight="1">
      <c r="B500" s="39"/>
      <c r="C500" s="39"/>
      <c r="E500" s="38"/>
      <c r="F500" s="38"/>
      <c r="G500" s="38"/>
      <c r="H500" s="38"/>
      <c r="I500" s="38"/>
      <c r="J500" s="38"/>
      <c r="K500" s="38" t="str">
        <f t="shared" si="1"/>
        <v/>
      </c>
      <c r="L500" s="38" t="str">
        <f>IF(A500="","",IFERROR(VLOOKUP(VLOOKUP(A500,BOOKINGS!$A:$Q,7,FALSE),SETUP_RATES!$A:$H,8,FALSE),0))</f>
        <v/>
      </c>
      <c r="M500" s="38" t="str">
        <f t="shared" si="2"/>
        <v/>
      </c>
      <c r="N500" s="33" t="str">
        <f t="shared" si="3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14"/>
    <col customWidth="1" min="3" max="3" width="12.57"/>
    <col customWidth="1" min="4" max="4" width="13.57"/>
    <col customWidth="1" min="5" max="5" width="8.29"/>
    <col customWidth="1" min="6" max="6" width="9.86"/>
    <col customWidth="1" min="7" max="7" width="3.57"/>
    <col customWidth="1" min="8" max="8" width="19.57"/>
    <col customWidth="1" min="9" max="9" width="10.43"/>
    <col customWidth="1" min="10" max="10" width="9.29"/>
    <col customWidth="1" min="11" max="11" width="19.43"/>
    <col customWidth="1" min="12" max="12" width="20.0"/>
    <col customWidth="1" hidden="1" min="13" max="17" width="8.71"/>
    <col customWidth="1" min="18" max="26" width="8.71"/>
  </cols>
  <sheetData>
    <row r="1" ht="16.5" customHeight="1">
      <c r="A1" s="29" t="s">
        <v>125</v>
      </c>
      <c r="B1" s="29" t="s">
        <v>158</v>
      </c>
      <c r="C1" s="29" t="s">
        <v>159</v>
      </c>
      <c r="D1" s="29" t="s">
        <v>160</v>
      </c>
      <c r="E1" s="29" t="s">
        <v>161</v>
      </c>
      <c r="F1" s="29" t="s">
        <v>147</v>
      </c>
      <c r="G1" s="29" t="s">
        <v>148</v>
      </c>
      <c r="H1" s="29" t="s">
        <v>162</v>
      </c>
      <c r="I1" s="29" t="s">
        <v>163</v>
      </c>
      <c r="J1" s="3" t="s">
        <v>164</v>
      </c>
      <c r="K1" s="3" t="s">
        <v>165</v>
      </c>
      <c r="L1" s="3" t="s">
        <v>166</v>
      </c>
      <c r="M1" s="3"/>
      <c r="N1" s="3"/>
      <c r="O1" s="3"/>
      <c r="P1" s="3"/>
      <c r="Q1" s="3"/>
    </row>
    <row r="2" ht="16.5" customHeight="1">
      <c r="A2" s="31" t="str">
        <f>IF(BOOKINGS!A2="","",BOOKINGS!A2)</f>
        <v/>
      </c>
      <c r="B2" s="37" t="str">
        <f>IF(A2="","",MAX(VLOOKUP(A2,BOOKINGS!$A:$Q,6,FALSE)*VLOOKUP(VLOOKUP(A2,BOOKINGS!$A:$Q,7,FALSE),SETUP_RATES!$A:$H,3,FALSE),VLOOKUP(VLOOKUP(A2,BOOKINGS!$A:$Q,7,FALSE),SETUP_RATES!$A:$H,2,FALSE)))</f>
        <v/>
      </c>
      <c r="C2" s="37" t="str">
        <f>IF(A2="","",VLOOKUP(A2,BOOKINGS!$A:$Q,10,FALSE)*VLOOKUP(VLOOKUP(A2,BOOKINGS!$A:$Q,7,FALSE),SETUP_RATES!$A:$H,6,FALSE))</f>
        <v/>
      </c>
      <c r="D2" s="37" t="str">
        <f>IF(A2="","",MAX(0,VLOOKUP(A2,TRIP_ACTUALS!$A:$O,8,FALSE)-SETUP_RATES!$K$2)*SETUP_RATES!$K$3)</f>
        <v/>
      </c>
      <c r="E2" s="37" t="str">
        <f>IF(A2="","",VLOOKUP(A2,TRIP_ACTUALS!$A:$O,9,FALSE)*VLOOKUP(VLOOKUP(A2,BOOKINGS!$A:$Q,7,FALSE),SETUP_RATES!$A:$H,5,FALSE))</f>
        <v/>
      </c>
      <c r="F2" s="37" t="str">
        <f>IF(A2="","",IFERROR(VLOOKUP(A2,TRIP_ACTUALS!$A:$O,5,FALSE),0))</f>
        <v/>
      </c>
      <c r="G2" s="37" t="str">
        <f>IF(A2="","",IFERROR(VLOOKUP(A2,TRIP_ACTUALS!$A:$O,6,FALSE),0)+IFERROR(VLOOKUP(A2,TRIP_ACTUALS!$A:$O,7,FALSE),0))</f>
        <v/>
      </c>
      <c r="H2" s="37" t="str">
        <f>IF(A2="","",IFERROR(VLOOKUP(VLOOKUP(A2,BOOKINGS!$A:$Q,7,FALSE),SETUP_RATES!$A:$H,8,FALSE),0))</f>
        <v/>
      </c>
      <c r="I2" s="37" t="str">
        <f t="shared" ref="I2:I500" si="1">IF(A2="","",SUM(B2:H2))</f>
        <v/>
      </c>
      <c r="J2" s="38" t="str">
        <f>IF(A2="","",IFERROR(VLOOKUP(A2,BOOKINGS!$A:$Q,13,FALSE),0))</f>
        <v/>
      </c>
      <c r="K2" s="38" t="str">
        <f t="shared" ref="K2:K500" si="2">IF(A2="","",J2-I2)</f>
        <v/>
      </c>
      <c r="L2" s="38" t="str">
        <f t="shared" ref="L2:L500" si="3">IFERROR(I2/J2,"")</f>
        <v/>
      </c>
    </row>
    <row r="3" ht="16.5" customHeight="1">
      <c r="A3" s="33" t="str">
        <f>IF(BOOKINGS!A3="","",BOOKINGS!A3)</f>
        <v/>
      </c>
      <c r="B3" s="38" t="str">
        <f>IF(A3="","",MAX(VLOOKUP(A3,BOOKINGS!$A:$Q,6,FALSE)*VLOOKUP(VLOOKUP(A3,BOOKINGS!$A:$Q,7,FALSE),SETUP_RATES!$A:$H,3,FALSE),VLOOKUP(VLOOKUP(A3,BOOKINGS!$A:$Q,7,FALSE),SETUP_RATES!$A:$H,2,FALSE)))</f>
        <v/>
      </c>
      <c r="C3" s="38" t="str">
        <f>IF(A3="","",VLOOKUP(A3,BOOKINGS!$A:$Q,10,FALSE)*VLOOKUP(VLOOKUP(A3,BOOKINGS!$A:$Q,7,FALSE),SETUP_RATES!$A:$H,6,FALSE))</f>
        <v/>
      </c>
      <c r="D3" s="38" t="str">
        <f>IF(A3="","",MAX(0,VLOOKUP(A3,TRIP_ACTUALS!$A:$O,8,FALSE)-SETUP_RATES!$K$2)*SETUP_RATES!$K$3)</f>
        <v/>
      </c>
      <c r="E3" s="38" t="str">
        <f>IF(A3="","",VLOOKUP(A3,TRIP_ACTUALS!$A:$O,9,FALSE)*VLOOKUP(VLOOKUP(A3,BOOKINGS!$A:$Q,7,FALSE),SETUP_RATES!$A:$H,5,FALSE))</f>
        <v/>
      </c>
      <c r="F3" s="38" t="str">
        <f>IF(A3="","",IFERROR(VLOOKUP(A3,TRIP_ACTUALS!$A:$O,5,FALSE),0))</f>
        <v/>
      </c>
      <c r="G3" s="38" t="str">
        <f>IF(A3="","",IFERROR(VLOOKUP(A3,TRIP_ACTUALS!$A:$O,6,FALSE),0)+IFERROR(VLOOKUP(A3,TRIP_ACTUALS!$A:$O,7,FALSE),0))</f>
        <v/>
      </c>
      <c r="H3" s="38" t="str">
        <f>IF(A3="","",IFERROR(VLOOKUP(VLOOKUP(A3,BOOKINGS!$A:$Q,7,FALSE),SETUP_RATES!$A:$H,8,FALSE),0))</f>
        <v/>
      </c>
      <c r="I3" s="38" t="str">
        <f t="shared" si="1"/>
        <v/>
      </c>
      <c r="J3" s="38" t="str">
        <f>IF(A3="","",IFERROR(VLOOKUP(A3,BOOKINGS!$A:$Q,13,FALSE),0))</f>
        <v/>
      </c>
      <c r="K3" s="38" t="str">
        <f t="shared" si="2"/>
        <v/>
      </c>
      <c r="L3" s="38" t="str">
        <f t="shared" si="3"/>
        <v/>
      </c>
    </row>
    <row r="4" ht="16.5" customHeight="1">
      <c r="A4" s="33" t="str">
        <f>IF(BOOKINGS!A4="","",BOOKINGS!A4)</f>
        <v/>
      </c>
      <c r="B4" s="38" t="str">
        <f>IF(A4="","",MAX(VLOOKUP(A4,BOOKINGS!$A:$Q,6,FALSE)*VLOOKUP(VLOOKUP(A4,BOOKINGS!$A:$Q,7,FALSE),SETUP_RATES!$A:$H,3,FALSE),VLOOKUP(VLOOKUP(A4,BOOKINGS!$A:$Q,7,FALSE),SETUP_RATES!$A:$H,2,FALSE)))</f>
        <v/>
      </c>
      <c r="C4" s="38" t="str">
        <f>IF(A4="","",VLOOKUP(A4,BOOKINGS!$A:$Q,10,FALSE)*VLOOKUP(VLOOKUP(A4,BOOKINGS!$A:$Q,7,FALSE),SETUP_RATES!$A:$H,6,FALSE))</f>
        <v/>
      </c>
      <c r="D4" s="38" t="str">
        <f>IF(A4="","",MAX(0,VLOOKUP(A4,TRIP_ACTUALS!$A:$O,8,FALSE)-SETUP_RATES!$K$2)*SETUP_RATES!$K$3)</f>
        <v/>
      </c>
      <c r="E4" s="38" t="str">
        <f>IF(A4="","",VLOOKUP(A4,TRIP_ACTUALS!$A:$O,9,FALSE)*VLOOKUP(VLOOKUP(A4,BOOKINGS!$A:$Q,7,FALSE),SETUP_RATES!$A:$H,5,FALSE))</f>
        <v/>
      </c>
      <c r="F4" s="38" t="str">
        <f>IF(A4="","",IFERROR(VLOOKUP(A4,TRIP_ACTUALS!$A:$O,5,FALSE),0))</f>
        <v/>
      </c>
      <c r="G4" s="38" t="str">
        <f>IF(A4="","",IFERROR(VLOOKUP(A4,TRIP_ACTUALS!$A:$O,6,FALSE),0)+IFERROR(VLOOKUP(A4,TRIP_ACTUALS!$A:$O,7,FALSE),0))</f>
        <v/>
      </c>
      <c r="H4" s="38" t="str">
        <f>IF(A4="","",IFERROR(VLOOKUP(VLOOKUP(A4,BOOKINGS!$A:$Q,7,FALSE),SETUP_RATES!$A:$H,8,FALSE),0))</f>
        <v/>
      </c>
      <c r="I4" s="38" t="str">
        <f t="shared" si="1"/>
        <v/>
      </c>
      <c r="J4" s="38" t="str">
        <f>IF(A4="","",IFERROR(VLOOKUP(A4,BOOKINGS!$A:$Q,13,FALSE),0))</f>
        <v/>
      </c>
      <c r="K4" s="38" t="str">
        <f t="shared" si="2"/>
        <v/>
      </c>
      <c r="L4" s="38" t="str">
        <f t="shared" si="3"/>
        <v/>
      </c>
    </row>
    <row r="5" ht="16.5" customHeight="1">
      <c r="A5" s="33" t="str">
        <f>IF(BOOKINGS!A5="","",BOOKINGS!A5)</f>
        <v/>
      </c>
      <c r="B5" s="38" t="str">
        <f>IF(A5="","",MAX(VLOOKUP(A5,BOOKINGS!$A:$Q,6,FALSE)*VLOOKUP(VLOOKUP(A5,BOOKINGS!$A:$Q,7,FALSE),SETUP_RATES!$A:$H,3,FALSE),VLOOKUP(VLOOKUP(A5,BOOKINGS!$A:$Q,7,FALSE),SETUP_RATES!$A:$H,2,FALSE)))</f>
        <v/>
      </c>
      <c r="C5" s="38" t="str">
        <f>IF(A5="","",VLOOKUP(A5,BOOKINGS!$A:$Q,10,FALSE)*VLOOKUP(VLOOKUP(A5,BOOKINGS!$A:$Q,7,FALSE),SETUP_RATES!$A:$H,6,FALSE))</f>
        <v/>
      </c>
      <c r="D5" s="38" t="str">
        <f>IF(A5="","",MAX(0,VLOOKUP(A5,TRIP_ACTUALS!$A:$O,8,FALSE)-SETUP_RATES!$K$2)*SETUP_RATES!$K$3)</f>
        <v/>
      </c>
      <c r="E5" s="38" t="str">
        <f>IF(A5="","",VLOOKUP(A5,TRIP_ACTUALS!$A:$O,9,FALSE)*VLOOKUP(VLOOKUP(A5,BOOKINGS!$A:$Q,7,FALSE),SETUP_RATES!$A:$H,5,FALSE))</f>
        <v/>
      </c>
      <c r="F5" s="38" t="str">
        <f>IF(A5="","",IFERROR(VLOOKUP(A5,TRIP_ACTUALS!$A:$O,5,FALSE),0))</f>
        <v/>
      </c>
      <c r="G5" s="38" t="str">
        <f>IF(A5="","",IFERROR(VLOOKUP(A5,TRIP_ACTUALS!$A:$O,6,FALSE),0)+IFERROR(VLOOKUP(A5,TRIP_ACTUALS!$A:$O,7,FALSE),0))</f>
        <v/>
      </c>
      <c r="H5" s="38" t="str">
        <f>IF(A5="","",IFERROR(VLOOKUP(VLOOKUP(A5,BOOKINGS!$A:$Q,7,FALSE),SETUP_RATES!$A:$H,8,FALSE),0))</f>
        <v/>
      </c>
      <c r="I5" s="38" t="str">
        <f t="shared" si="1"/>
        <v/>
      </c>
      <c r="J5" s="38" t="str">
        <f>IF(A5="","",IFERROR(VLOOKUP(A5,BOOKINGS!$A:$Q,13,FALSE),0))</f>
        <v/>
      </c>
      <c r="K5" s="38" t="str">
        <f t="shared" si="2"/>
        <v/>
      </c>
      <c r="L5" s="38" t="str">
        <f t="shared" si="3"/>
        <v/>
      </c>
    </row>
    <row r="6" ht="16.5" customHeight="1">
      <c r="A6" s="33" t="str">
        <f>IF(BOOKINGS!A6="","",BOOKINGS!A6)</f>
        <v/>
      </c>
      <c r="B6" s="38" t="str">
        <f>IF(A6="","",MAX(VLOOKUP(A6,BOOKINGS!$A:$Q,6,FALSE)*VLOOKUP(VLOOKUP(A6,BOOKINGS!$A:$Q,7,FALSE),SETUP_RATES!$A:$H,3,FALSE),VLOOKUP(VLOOKUP(A6,BOOKINGS!$A:$Q,7,FALSE),SETUP_RATES!$A:$H,2,FALSE)))</f>
        <v/>
      </c>
      <c r="C6" s="38" t="str">
        <f>IF(A6="","",VLOOKUP(A6,BOOKINGS!$A:$Q,10,FALSE)*VLOOKUP(VLOOKUP(A6,BOOKINGS!$A:$Q,7,FALSE),SETUP_RATES!$A:$H,6,FALSE))</f>
        <v/>
      </c>
      <c r="D6" s="38" t="str">
        <f>IF(A6="","",MAX(0,VLOOKUP(A6,TRIP_ACTUALS!$A:$O,8,FALSE)-SETUP_RATES!$K$2)*SETUP_RATES!$K$3)</f>
        <v/>
      </c>
      <c r="E6" s="38" t="str">
        <f>IF(A6="","",VLOOKUP(A6,TRIP_ACTUALS!$A:$O,9,FALSE)*VLOOKUP(VLOOKUP(A6,BOOKINGS!$A:$Q,7,FALSE),SETUP_RATES!$A:$H,5,FALSE))</f>
        <v/>
      </c>
      <c r="F6" s="38" t="str">
        <f>IF(A6="","",IFERROR(VLOOKUP(A6,TRIP_ACTUALS!$A:$O,5,FALSE),0))</f>
        <v/>
      </c>
      <c r="G6" s="38" t="str">
        <f>IF(A6="","",IFERROR(VLOOKUP(A6,TRIP_ACTUALS!$A:$O,6,FALSE),0)+IFERROR(VLOOKUP(A6,TRIP_ACTUALS!$A:$O,7,FALSE),0))</f>
        <v/>
      </c>
      <c r="H6" s="38" t="str">
        <f>IF(A6="","",IFERROR(VLOOKUP(VLOOKUP(A6,BOOKINGS!$A:$Q,7,FALSE),SETUP_RATES!$A:$H,8,FALSE),0))</f>
        <v/>
      </c>
      <c r="I6" s="38" t="str">
        <f t="shared" si="1"/>
        <v/>
      </c>
      <c r="J6" s="38" t="str">
        <f>IF(A6="","",IFERROR(VLOOKUP(A6,BOOKINGS!$A:$Q,13,FALSE),0))</f>
        <v/>
      </c>
      <c r="K6" s="38" t="str">
        <f t="shared" si="2"/>
        <v/>
      </c>
      <c r="L6" s="38" t="str">
        <f t="shared" si="3"/>
        <v/>
      </c>
    </row>
    <row r="7" ht="16.5" customHeight="1">
      <c r="A7" s="33" t="str">
        <f>IF(BOOKINGS!A7="","",BOOKINGS!A7)</f>
        <v/>
      </c>
      <c r="B7" s="38" t="str">
        <f>IF(A7="","",MAX(VLOOKUP(A7,BOOKINGS!$A:$Q,6,FALSE)*VLOOKUP(VLOOKUP(A7,BOOKINGS!$A:$Q,7,FALSE),SETUP_RATES!$A:$H,3,FALSE),VLOOKUP(VLOOKUP(A7,BOOKINGS!$A:$Q,7,FALSE),SETUP_RATES!$A:$H,2,FALSE)))</f>
        <v/>
      </c>
      <c r="C7" s="38" t="str">
        <f>IF(A7="","",VLOOKUP(A7,BOOKINGS!$A:$Q,10,FALSE)*VLOOKUP(VLOOKUP(A7,BOOKINGS!$A:$Q,7,FALSE),SETUP_RATES!$A:$H,6,FALSE))</f>
        <v/>
      </c>
      <c r="D7" s="38" t="str">
        <f>IF(A7="","",MAX(0,VLOOKUP(A7,TRIP_ACTUALS!$A:$O,8,FALSE)-SETUP_RATES!$K$2)*SETUP_RATES!$K$3)</f>
        <v/>
      </c>
      <c r="E7" s="38" t="str">
        <f>IF(A7="","",VLOOKUP(A7,TRIP_ACTUALS!$A:$O,9,FALSE)*VLOOKUP(VLOOKUP(A7,BOOKINGS!$A:$Q,7,FALSE),SETUP_RATES!$A:$H,5,FALSE))</f>
        <v/>
      </c>
      <c r="F7" s="38" t="str">
        <f>IF(A7="","",IFERROR(VLOOKUP(A7,TRIP_ACTUALS!$A:$O,5,FALSE),0))</f>
        <v/>
      </c>
      <c r="G7" s="38" t="str">
        <f>IF(A7="","",IFERROR(VLOOKUP(A7,TRIP_ACTUALS!$A:$O,6,FALSE),0)+IFERROR(VLOOKUP(A7,TRIP_ACTUALS!$A:$O,7,FALSE),0))</f>
        <v/>
      </c>
      <c r="H7" s="38" t="str">
        <f>IF(A7="","",IFERROR(VLOOKUP(VLOOKUP(A7,BOOKINGS!$A:$Q,7,FALSE),SETUP_RATES!$A:$H,8,FALSE),0))</f>
        <v/>
      </c>
      <c r="I7" s="38" t="str">
        <f t="shared" si="1"/>
        <v/>
      </c>
      <c r="J7" s="38" t="str">
        <f>IF(A7="","",IFERROR(VLOOKUP(A7,BOOKINGS!$A:$Q,13,FALSE),0))</f>
        <v/>
      </c>
      <c r="K7" s="38" t="str">
        <f t="shared" si="2"/>
        <v/>
      </c>
      <c r="L7" s="38" t="str">
        <f t="shared" si="3"/>
        <v/>
      </c>
    </row>
    <row r="8" ht="16.5" customHeight="1">
      <c r="A8" s="33" t="str">
        <f>IF(BOOKINGS!A8="","",BOOKINGS!A8)</f>
        <v/>
      </c>
      <c r="B8" s="38" t="str">
        <f>IF(A8="","",MAX(VLOOKUP(A8,BOOKINGS!$A:$Q,6,FALSE)*VLOOKUP(VLOOKUP(A8,BOOKINGS!$A:$Q,7,FALSE),SETUP_RATES!$A:$H,3,FALSE),VLOOKUP(VLOOKUP(A8,BOOKINGS!$A:$Q,7,FALSE),SETUP_RATES!$A:$H,2,FALSE)))</f>
        <v/>
      </c>
      <c r="C8" s="38" t="str">
        <f>IF(A8="","",VLOOKUP(A8,BOOKINGS!$A:$Q,10,FALSE)*VLOOKUP(VLOOKUP(A8,BOOKINGS!$A:$Q,7,FALSE),SETUP_RATES!$A:$H,6,FALSE))</f>
        <v/>
      </c>
      <c r="D8" s="38" t="str">
        <f>IF(A8="","",MAX(0,VLOOKUP(A8,TRIP_ACTUALS!$A:$O,8,FALSE)-SETUP_RATES!$K$2)*SETUP_RATES!$K$3)</f>
        <v/>
      </c>
      <c r="E8" s="38" t="str">
        <f>IF(A8="","",VLOOKUP(A8,TRIP_ACTUALS!$A:$O,9,FALSE)*VLOOKUP(VLOOKUP(A8,BOOKINGS!$A:$Q,7,FALSE),SETUP_RATES!$A:$H,5,FALSE))</f>
        <v/>
      </c>
      <c r="F8" s="38" t="str">
        <f>IF(A8="","",IFERROR(VLOOKUP(A8,TRIP_ACTUALS!$A:$O,5,FALSE),0))</f>
        <v/>
      </c>
      <c r="G8" s="38" t="str">
        <f>IF(A8="","",IFERROR(VLOOKUP(A8,TRIP_ACTUALS!$A:$O,6,FALSE),0)+IFERROR(VLOOKUP(A8,TRIP_ACTUALS!$A:$O,7,FALSE),0))</f>
        <v/>
      </c>
      <c r="H8" s="38" t="str">
        <f>IF(A8="","",IFERROR(VLOOKUP(VLOOKUP(A8,BOOKINGS!$A:$Q,7,FALSE),SETUP_RATES!$A:$H,8,FALSE),0))</f>
        <v/>
      </c>
      <c r="I8" s="38" t="str">
        <f t="shared" si="1"/>
        <v/>
      </c>
      <c r="J8" s="38" t="str">
        <f>IF(A8="","",IFERROR(VLOOKUP(A8,BOOKINGS!$A:$Q,13,FALSE),0))</f>
        <v/>
      </c>
      <c r="K8" s="38" t="str">
        <f t="shared" si="2"/>
        <v/>
      </c>
      <c r="L8" s="38" t="str">
        <f t="shared" si="3"/>
        <v/>
      </c>
    </row>
    <row r="9" ht="16.5" customHeight="1">
      <c r="A9" s="33" t="str">
        <f>IF(BOOKINGS!A9="","",BOOKINGS!A9)</f>
        <v/>
      </c>
      <c r="B9" s="38" t="str">
        <f>IF(A9="","",MAX(VLOOKUP(A9,BOOKINGS!$A:$Q,6,FALSE)*VLOOKUP(VLOOKUP(A9,BOOKINGS!$A:$Q,7,FALSE),SETUP_RATES!$A:$H,3,FALSE),VLOOKUP(VLOOKUP(A9,BOOKINGS!$A:$Q,7,FALSE),SETUP_RATES!$A:$H,2,FALSE)))</f>
        <v/>
      </c>
      <c r="C9" s="38" t="str">
        <f>IF(A9="","",VLOOKUP(A9,BOOKINGS!$A:$Q,10,FALSE)*VLOOKUP(VLOOKUP(A9,BOOKINGS!$A:$Q,7,FALSE),SETUP_RATES!$A:$H,6,FALSE))</f>
        <v/>
      </c>
      <c r="D9" s="38" t="str">
        <f>IF(A9="","",MAX(0,VLOOKUP(A9,TRIP_ACTUALS!$A:$O,8,FALSE)-SETUP_RATES!$K$2)*SETUP_RATES!$K$3)</f>
        <v/>
      </c>
      <c r="E9" s="38" t="str">
        <f>IF(A9="","",VLOOKUP(A9,TRIP_ACTUALS!$A:$O,9,FALSE)*VLOOKUP(VLOOKUP(A9,BOOKINGS!$A:$Q,7,FALSE),SETUP_RATES!$A:$H,5,FALSE))</f>
        <v/>
      </c>
      <c r="F9" s="38" t="str">
        <f>IF(A9="","",IFERROR(VLOOKUP(A9,TRIP_ACTUALS!$A:$O,5,FALSE),0))</f>
        <v/>
      </c>
      <c r="G9" s="38" t="str">
        <f>IF(A9="","",IFERROR(VLOOKUP(A9,TRIP_ACTUALS!$A:$O,6,FALSE),0)+IFERROR(VLOOKUP(A9,TRIP_ACTUALS!$A:$O,7,FALSE),0))</f>
        <v/>
      </c>
      <c r="H9" s="38" t="str">
        <f>IF(A9="","",IFERROR(VLOOKUP(VLOOKUP(A9,BOOKINGS!$A:$Q,7,FALSE),SETUP_RATES!$A:$H,8,FALSE),0))</f>
        <v/>
      </c>
      <c r="I9" s="38" t="str">
        <f t="shared" si="1"/>
        <v/>
      </c>
      <c r="J9" s="38" t="str">
        <f>IF(A9="","",IFERROR(VLOOKUP(A9,BOOKINGS!$A:$Q,13,FALSE),0))</f>
        <v/>
      </c>
      <c r="K9" s="38" t="str">
        <f t="shared" si="2"/>
        <v/>
      </c>
      <c r="L9" s="38" t="str">
        <f t="shared" si="3"/>
        <v/>
      </c>
    </row>
    <row r="10" ht="16.5" customHeight="1">
      <c r="A10" s="33" t="str">
        <f>IF(BOOKINGS!A10="","",BOOKINGS!A10)</f>
        <v/>
      </c>
      <c r="B10" s="38" t="str">
        <f>IF(A10="","",MAX(VLOOKUP(A10,BOOKINGS!$A:$Q,6,FALSE)*VLOOKUP(VLOOKUP(A10,BOOKINGS!$A:$Q,7,FALSE),SETUP_RATES!$A:$H,3,FALSE),VLOOKUP(VLOOKUP(A10,BOOKINGS!$A:$Q,7,FALSE),SETUP_RATES!$A:$H,2,FALSE)))</f>
        <v/>
      </c>
      <c r="C10" s="38" t="str">
        <f>IF(A10="","",VLOOKUP(A10,BOOKINGS!$A:$Q,10,FALSE)*VLOOKUP(VLOOKUP(A10,BOOKINGS!$A:$Q,7,FALSE),SETUP_RATES!$A:$H,6,FALSE))</f>
        <v/>
      </c>
      <c r="D10" s="38" t="str">
        <f>IF(A10="","",MAX(0,VLOOKUP(A10,TRIP_ACTUALS!$A:$O,8,FALSE)-SETUP_RATES!$K$2)*SETUP_RATES!$K$3)</f>
        <v/>
      </c>
      <c r="E10" s="38" t="str">
        <f>IF(A10="","",VLOOKUP(A10,TRIP_ACTUALS!$A:$O,9,FALSE)*VLOOKUP(VLOOKUP(A10,BOOKINGS!$A:$Q,7,FALSE),SETUP_RATES!$A:$H,5,FALSE))</f>
        <v/>
      </c>
      <c r="F10" s="38" t="str">
        <f>IF(A10="","",IFERROR(VLOOKUP(A10,TRIP_ACTUALS!$A:$O,5,FALSE),0))</f>
        <v/>
      </c>
      <c r="G10" s="38" t="str">
        <f>IF(A10="","",IFERROR(VLOOKUP(A10,TRIP_ACTUALS!$A:$O,6,FALSE),0)+IFERROR(VLOOKUP(A10,TRIP_ACTUALS!$A:$O,7,FALSE),0))</f>
        <v/>
      </c>
      <c r="H10" s="38" t="str">
        <f>IF(A10="","",IFERROR(VLOOKUP(VLOOKUP(A10,BOOKINGS!$A:$Q,7,FALSE),SETUP_RATES!$A:$H,8,FALSE),0))</f>
        <v/>
      </c>
      <c r="I10" s="38" t="str">
        <f t="shared" si="1"/>
        <v/>
      </c>
      <c r="J10" s="38" t="str">
        <f>IF(A10="","",IFERROR(VLOOKUP(A10,BOOKINGS!$A:$Q,13,FALSE),0))</f>
        <v/>
      </c>
      <c r="K10" s="38" t="str">
        <f t="shared" si="2"/>
        <v/>
      </c>
      <c r="L10" s="38" t="str">
        <f t="shared" si="3"/>
        <v/>
      </c>
    </row>
    <row r="11">
      <c r="A11" s="33" t="str">
        <f>IF(BOOKINGS!A11="","",BOOKINGS!A11)</f>
        <v/>
      </c>
      <c r="B11" s="38" t="str">
        <f>IF(A11="","",MAX(VLOOKUP(A11,BOOKINGS!$A:$Q,6,FALSE)*VLOOKUP(VLOOKUP(A11,BOOKINGS!$A:$Q,7,FALSE),SETUP_RATES!$A:$H,3,FALSE),VLOOKUP(VLOOKUP(A11,BOOKINGS!$A:$Q,7,FALSE),SETUP_RATES!$A:$H,2,FALSE)))</f>
        <v/>
      </c>
      <c r="C11" s="38" t="str">
        <f>IF(A11="","",VLOOKUP(A11,BOOKINGS!$A:$Q,10,FALSE)*VLOOKUP(VLOOKUP(A11,BOOKINGS!$A:$Q,7,FALSE),SETUP_RATES!$A:$H,6,FALSE))</f>
        <v/>
      </c>
      <c r="D11" s="38" t="str">
        <f>IF(A11="","",MAX(0,VLOOKUP(A11,TRIP_ACTUALS!$A:$O,8,FALSE)-SETUP_RATES!$K$2)*SETUP_RATES!$K$3)</f>
        <v/>
      </c>
      <c r="E11" s="38" t="str">
        <f>IF(A11="","",VLOOKUP(A11,TRIP_ACTUALS!$A:$O,9,FALSE)*VLOOKUP(VLOOKUP(A11,BOOKINGS!$A:$Q,7,FALSE),SETUP_RATES!$A:$H,5,FALSE))</f>
        <v/>
      </c>
      <c r="F11" s="38" t="str">
        <f>IF(A11="","",IFERROR(VLOOKUP(A11,TRIP_ACTUALS!$A:$O,5,FALSE),0))</f>
        <v/>
      </c>
      <c r="G11" s="38" t="str">
        <f>IF(A11="","",IFERROR(VLOOKUP(A11,TRIP_ACTUALS!$A:$O,6,FALSE),0)+IFERROR(VLOOKUP(A11,TRIP_ACTUALS!$A:$O,7,FALSE),0))</f>
        <v/>
      </c>
      <c r="H11" s="38" t="str">
        <f>IF(A11="","",IFERROR(VLOOKUP(VLOOKUP(A11,BOOKINGS!$A:$Q,7,FALSE),SETUP_RATES!$A:$H,8,FALSE),0))</f>
        <v/>
      </c>
      <c r="I11" s="38" t="str">
        <f t="shared" si="1"/>
        <v/>
      </c>
      <c r="J11" s="38" t="str">
        <f>IF(A11="","",IFERROR(VLOOKUP(A11,BOOKINGS!$A:$Q,13,FALSE),0))</f>
        <v/>
      </c>
      <c r="K11" s="38" t="str">
        <f t="shared" si="2"/>
        <v/>
      </c>
      <c r="L11" s="38" t="str">
        <f t="shared" si="3"/>
        <v/>
      </c>
    </row>
    <row r="12">
      <c r="A12" s="33" t="str">
        <f>IF(BOOKINGS!A12="","",BOOKINGS!A12)</f>
        <v/>
      </c>
      <c r="B12" s="38" t="str">
        <f>IF(A12="","",MAX(VLOOKUP(A12,BOOKINGS!$A:$Q,6,FALSE)*VLOOKUP(VLOOKUP(A12,BOOKINGS!$A:$Q,7,FALSE),SETUP_RATES!$A:$H,3,FALSE),VLOOKUP(VLOOKUP(A12,BOOKINGS!$A:$Q,7,FALSE),SETUP_RATES!$A:$H,2,FALSE)))</f>
        <v/>
      </c>
      <c r="C12" s="38" t="str">
        <f>IF(A12="","",VLOOKUP(A12,BOOKINGS!$A:$Q,10,FALSE)*VLOOKUP(VLOOKUP(A12,BOOKINGS!$A:$Q,7,FALSE),SETUP_RATES!$A:$H,6,FALSE))</f>
        <v/>
      </c>
      <c r="D12" s="38" t="str">
        <f>IF(A12="","",MAX(0,VLOOKUP(A12,TRIP_ACTUALS!$A:$O,8,FALSE)-SETUP_RATES!$K$2)*SETUP_RATES!$K$3)</f>
        <v/>
      </c>
      <c r="E12" s="38" t="str">
        <f>IF(A12="","",VLOOKUP(A12,TRIP_ACTUALS!$A:$O,9,FALSE)*VLOOKUP(VLOOKUP(A12,BOOKINGS!$A:$Q,7,FALSE),SETUP_RATES!$A:$H,5,FALSE))</f>
        <v/>
      </c>
      <c r="F12" s="38" t="str">
        <f>IF(A12="","",IFERROR(VLOOKUP(A12,TRIP_ACTUALS!$A:$O,5,FALSE),0))</f>
        <v/>
      </c>
      <c r="G12" s="38" t="str">
        <f>IF(A12="","",IFERROR(VLOOKUP(A12,TRIP_ACTUALS!$A:$O,6,FALSE),0)+IFERROR(VLOOKUP(A12,TRIP_ACTUALS!$A:$O,7,FALSE),0))</f>
        <v/>
      </c>
      <c r="H12" s="38" t="str">
        <f>IF(A12="","",IFERROR(VLOOKUP(VLOOKUP(A12,BOOKINGS!$A:$Q,7,FALSE),SETUP_RATES!$A:$H,8,FALSE),0))</f>
        <v/>
      </c>
      <c r="I12" s="38" t="str">
        <f t="shared" si="1"/>
        <v/>
      </c>
      <c r="J12" s="38" t="str">
        <f>IF(A12="","",IFERROR(VLOOKUP(A12,BOOKINGS!$A:$Q,13,FALSE),0))</f>
        <v/>
      </c>
      <c r="K12" s="38" t="str">
        <f t="shared" si="2"/>
        <v/>
      </c>
      <c r="L12" s="38" t="str">
        <f t="shared" si="3"/>
        <v/>
      </c>
    </row>
    <row r="13">
      <c r="A13" s="33" t="str">
        <f>IF(BOOKINGS!A13="","",BOOKINGS!A13)</f>
        <v/>
      </c>
      <c r="B13" s="38" t="str">
        <f>IF(A13="","",MAX(VLOOKUP(A13,BOOKINGS!$A:$Q,6,FALSE)*VLOOKUP(VLOOKUP(A13,BOOKINGS!$A:$Q,7,FALSE),SETUP_RATES!$A:$H,3,FALSE),VLOOKUP(VLOOKUP(A13,BOOKINGS!$A:$Q,7,FALSE),SETUP_RATES!$A:$H,2,FALSE)))</f>
        <v/>
      </c>
      <c r="C13" s="38" t="str">
        <f>IF(A13="","",VLOOKUP(A13,BOOKINGS!$A:$Q,10,FALSE)*VLOOKUP(VLOOKUP(A13,BOOKINGS!$A:$Q,7,FALSE),SETUP_RATES!$A:$H,6,FALSE))</f>
        <v/>
      </c>
      <c r="D13" s="38" t="str">
        <f>IF(A13="","",MAX(0,VLOOKUP(A13,TRIP_ACTUALS!$A:$O,8,FALSE)-SETUP_RATES!$K$2)*SETUP_RATES!$K$3)</f>
        <v/>
      </c>
      <c r="E13" s="38" t="str">
        <f>IF(A13="","",VLOOKUP(A13,TRIP_ACTUALS!$A:$O,9,FALSE)*VLOOKUP(VLOOKUP(A13,BOOKINGS!$A:$Q,7,FALSE),SETUP_RATES!$A:$H,5,FALSE))</f>
        <v/>
      </c>
      <c r="F13" s="38" t="str">
        <f>IF(A13="","",IFERROR(VLOOKUP(A13,TRIP_ACTUALS!$A:$O,5,FALSE),0))</f>
        <v/>
      </c>
      <c r="G13" s="38" t="str">
        <f>IF(A13="","",IFERROR(VLOOKUP(A13,TRIP_ACTUALS!$A:$O,6,FALSE),0)+IFERROR(VLOOKUP(A13,TRIP_ACTUALS!$A:$O,7,FALSE),0))</f>
        <v/>
      </c>
      <c r="H13" s="38" t="str">
        <f>IF(A13="","",IFERROR(VLOOKUP(VLOOKUP(A13,BOOKINGS!$A:$Q,7,FALSE),SETUP_RATES!$A:$H,8,FALSE),0))</f>
        <v/>
      </c>
      <c r="I13" s="38" t="str">
        <f t="shared" si="1"/>
        <v/>
      </c>
      <c r="J13" s="38" t="str">
        <f>IF(A13="","",IFERROR(VLOOKUP(A13,BOOKINGS!$A:$Q,13,FALSE),0))</f>
        <v/>
      </c>
      <c r="K13" s="38" t="str">
        <f t="shared" si="2"/>
        <v/>
      </c>
      <c r="L13" s="38" t="str">
        <f t="shared" si="3"/>
        <v/>
      </c>
    </row>
    <row r="14">
      <c r="A14" s="33" t="str">
        <f>IF(BOOKINGS!A14="","",BOOKINGS!A14)</f>
        <v/>
      </c>
      <c r="B14" s="38" t="str">
        <f>IF(A14="","",MAX(VLOOKUP(A14,BOOKINGS!$A:$Q,6,FALSE)*VLOOKUP(VLOOKUP(A14,BOOKINGS!$A:$Q,7,FALSE),SETUP_RATES!$A:$H,3,FALSE),VLOOKUP(VLOOKUP(A14,BOOKINGS!$A:$Q,7,FALSE),SETUP_RATES!$A:$H,2,FALSE)))</f>
        <v/>
      </c>
      <c r="C14" s="38" t="str">
        <f>IF(A14="","",VLOOKUP(A14,BOOKINGS!$A:$Q,10,FALSE)*VLOOKUP(VLOOKUP(A14,BOOKINGS!$A:$Q,7,FALSE),SETUP_RATES!$A:$H,6,FALSE))</f>
        <v/>
      </c>
      <c r="D14" s="38" t="str">
        <f>IF(A14="","",MAX(0,VLOOKUP(A14,TRIP_ACTUALS!$A:$O,8,FALSE)-SETUP_RATES!$K$2)*SETUP_RATES!$K$3)</f>
        <v/>
      </c>
      <c r="E14" s="38" t="str">
        <f>IF(A14="","",VLOOKUP(A14,TRIP_ACTUALS!$A:$O,9,FALSE)*VLOOKUP(VLOOKUP(A14,BOOKINGS!$A:$Q,7,FALSE),SETUP_RATES!$A:$H,5,FALSE))</f>
        <v/>
      </c>
      <c r="F14" s="38" t="str">
        <f>IF(A14="","",IFERROR(VLOOKUP(A14,TRIP_ACTUALS!$A:$O,5,FALSE),0))</f>
        <v/>
      </c>
      <c r="G14" s="38" t="str">
        <f>IF(A14="","",IFERROR(VLOOKUP(A14,TRIP_ACTUALS!$A:$O,6,FALSE),0)+IFERROR(VLOOKUP(A14,TRIP_ACTUALS!$A:$O,7,FALSE),0))</f>
        <v/>
      </c>
      <c r="H14" s="38" t="str">
        <f>IF(A14="","",IFERROR(VLOOKUP(VLOOKUP(A14,BOOKINGS!$A:$Q,7,FALSE),SETUP_RATES!$A:$H,8,FALSE),0))</f>
        <v/>
      </c>
      <c r="I14" s="38" t="str">
        <f t="shared" si="1"/>
        <v/>
      </c>
      <c r="J14" s="38" t="str">
        <f>IF(A14="","",IFERROR(VLOOKUP(A14,BOOKINGS!$A:$Q,13,FALSE),0))</f>
        <v/>
      </c>
      <c r="K14" s="38" t="str">
        <f t="shared" si="2"/>
        <v/>
      </c>
      <c r="L14" s="38" t="str">
        <f t="shared" si="3"/>
        <v/>
      </c>
    </row>
    <row r="15">
      <c r="A15" s="33" t="str">
        <f>IF(BOOKINGS!A15="","",BOOKINGS!A15)</f>
        <v/>
      </c>
      <c r="B15" s="38" t="str">
        <f>IF(A15="","",MAX(VLOOKUP(A15,BOOKINGS!$A:$Q,6,FALSE)*VLOOKUP(VLOOKUP(A15,BOOKINGS!$A:$Q,7,FALSE),SETUP_RATES!$A:$H,3,FALSE),VLOOKUP(VLOOKUP(A15,BOOKINGS!$A:$Q,7,FALSE),SETUP_RATES!$A:$H,2,FALSE)))</f>
        <v/>
      </c>
      <c r="C15" s="38" t="str">
        <f>IF(A15="","",VLOOKUP(A15,BOOKINGS!$A:$Q,10,FALSE)*VLOOKUP(VLOOKUP(A15,BOOKINGS!$A:$Q,7,FALSE),SETUP_RATES!$A:$H,6,FALSE))</f>
        <v/>
      </c>
      <c r="D15" s="38" t="str">
        <f>IF(A15="","",MAX(0,VLOOKUP(A15,TRIP_ACTUALS!$A:$O,8,FALSE)-SETUP_RATES!$K$2)*SETUP_RATES!$K$3)</f>
        <v/>
      </c>
      <c r="E15" s="38" t="str">
        <f>IF(A15="","",VLOOKUP(A15,TRIP_ACTUALS!$A:$O,9,FALSE)*VLOOKUP(VLOOKUP(A15,BOOKINGS!$A:$Q,7,FALSE),SETUP_RATES!$A:$H,5,FALSE))</f>
        <v/>
      </c>
      <c r="F15" s="38" t="str">
        <f>IF(A15="","",IFERROR(VLOOKUP(A15,TRIP_ACTUALS!$A:$O,5,FALSE),0))</f>
        <v/>
      </c>
      <c r="G15" s="38" t="str">
        <f>IF(A15="","",IFERROR(VLOOKUP(A15,TRIP_ACTUALS!$A:$O,6,FALSE),0)+IFERROR(VLOOKUP(A15,TRIP_ACTUALS!$A:$O,7,FALSE),0))</f>
        <v/>
      </c>
      <c r="H15" s="38" t="str">
        <f>IF(A15="","",IFERROR(VLOOKUP(VLOOKUP(A15,BOOKINGS!$A:$Q,7,FALSE),SETUP_RATES!$A:$H,8,FALSE),0))</f>
        <v/>
      </c>
      <c r="I15" s="38" t="str">
        <f t="shared" si="1"/>
        <v/>
      </c>
      <c r="J15" s="38" t="str">
        <f>IF(A15="","",IFERROR(VLOOKUP(A15,BOOKINGS!$A:$Q,13,FALSE),0))</f>
        <v/>
      </c>
      <c r="K15" s="38" t="str">
        <f t="shared" si="2"/>
        <v/>
      </c>
      <c r="L15" s="38" t="str">
        <f t="shared" si="3"/>
        <v/>
      </c>
    </row>
    <row r="16">
      <c r="A16" s="33" t="str">
        <f>IF(BOOKINGS!A16="","",BOOKINGS!A16)</f>
        <v/>
      </c>
      <c r="B16" s="38" t="str">
        <f>IF(A16="","",MAX(VLOOKUP(A16,BOOKINGS!$A:$Q,6,FALSE)*VLOOKUP(VLOOKUP(A16,BOOKINGS!$A:$Q,7,FALSE),SETUP_RATES!$A:$H,3,FALSE),VLOOKUP(VLOOKUP(A16,BOOKINGS!$A:$Q,7,FALSE),SETUP_RATES!$A:$H,2,FALSE)))</f>
        <v/>
      </c>
      <c r="C16" s="38" t="str">
        <f>IF(A16="","",VLOOKUP(A16,BOOKINGS!$A:$Q,10,FALSE)*VLOOKUP(VLOOKUP(A16,BOOKINGS!$A:$Q,7,FALSE),SETUP_RATES!$A:$H,6,FALSE))</f>
        <v/>
      </c>
      <c r="D16" s="38" t="str">
        <f>IF(A16="","",MAX(0,VLOOKUP(A16,TRIP_ACTUALS!$A:$O,8,FALSE)-SETUP_RATES!$K$2)*SETUP_RATES!$K$3)</f>
        <v/>
      </c>
      <c r="E16" s="38" t="str">
        <f>IF(A16="","",VLOOKUP(A16,TRIP_ACTUALS!$A:$O,9,FALSE)*VLOOKUP(VLOOKUP(A16,BOOKINGS!$A:$Q,7,FALSE),SETUP_RATES!$A:$H,5,FALSE))</f>
        <v/>
      </c>
      <c r="F16" s="38" t="str">
        <f>IF(A16="","",IFERROR(VLOOKUP(A16,TRIP_ACTUALS!$A:$O,5,FALSE),0))</f>
        <v/>
      </c>
      <c r="G16" s="38" t="str">
        <f>IF(A16="","",IFERROR(VLOOKUP(A16,TRIP_ACTUALS!$A:$O,6,FALSE),0)+IFERROR(VLOOKUP(A16,TRIP_ACTUALS!$A:$O,7,FALSE),0))</f>
        <v/>
      </c>
      <c r="H16" s="38" t="str">
        <f>IF(A16="","",IFERROR(VLOOKUP(VLOOKUP(A16,BOOKINGS!$A:$Q,7,FALSE),SETUP_RATES!$A:$H,8,FALSE),0))</f>
        <v/>
      </c>
      <c r="I16" s="38" t="str">
        <f t="shared" si="1"/>
        <v/>
      </c>
      <c r="J16" s="38" t="str">
        <f>IF(A16="","",IFERROR(VLOOKUP(A16,BOOKINGS!$A:$Q,13,FALSE),0))</f>
        <v/>
      </c>
      <c r="K16" s="38" t="str">
        <f t="shared" si="2"/>
        <v/>
      </c>
      <c r="L16" s="38" t="str">
        <f t="shared" si="3"/>
        <v/>
      </c>
    </row>
    <row r="17">
      <c r="A17" s="33" t="str">
        <f>IF(BOOKINGS!A17="","",BOOKINGS!A17)</f>
        <v/>
      </c>
      <c r="B17" s="38" t="str">
        <f>IF(A17="","",MAX(VLOOKUP(A17,BOOKINGS!$A:$Q,6,FALSE)*VLOOKUP(VLOOKUP(A17,BOOKINGS!$A:$Q,7,FALSE),SETUP_RATES!$A:$H,3,FALSE),VLOOKUP(VLOOKUP(A17,BOOKINGS!$A:$Q,7,FALSE),SETUP_RATES!$A:$H,2,FALSE)))</f>
        <v/>
      </c>
      <c r="C17" s="38" t="str">
        <f>IF(A17="","",VLOOKUP(A17,BOOKINGS!$A:$Q,10,FALSE)*VLOOKUP(VLOOKUP(A17,BOOKINGS!$A:$Q,7,FALSE),SETUP_RATES!$A:$H,6,FALSE))</f>
        <v/>
      </c>
      <c r="D17" s="38" t="str">
        <f>IF(A17="","",MAX(0,VLOOKUP(A17,TRIP_ACTUALS!$A:$O,8,FALSE)-SETUP_RATES!$K$2)*SETUP_RATES!$K$3)</f>
        <v/>
      </c>
      <c r="E17" s="38" t="str">
        <f>IF(A17="","",VLOOKUP(A17,TRIP_ACTUALS!$A:$O,9,FALSE)*VLOOKUP(VLOOKUP(A17,BOOKINGS!$A:$Q,7,FALSE),SETUP_RATES!$A:$H,5,FALSE))</f>
        <v/>
      </c>
      <c r="F17" s="38" t="str">
        <f>IF(A17="","",IFERROR(VLOOKUP(A17,TRIP_ACTUALS!$A:$O,5,FALSE),0))</f>
        <v/>
      </c>
      <c r="G17" s="38" t="str">
        <f>IF(A17="","",IFERROR(VLOOKUP(A17,TRIP_ACTUALS!$A:$O,6,FALSE),0)+IFERROR(VLOOKUP(A17,TRIP_ACTUALS!$A:$O,7,FALSE),0))</f>
        <v/>
      </c>
      <c r="H17" s="38" t="str">
        <f>IF(A17="","",IFERROR(VLOOKUP(VLOOKUP(A17,BOOKINGS!$A:$Q,7,FALSE),SETUP_RATES!$A:$H,8,FALSE),0))</f>
        <v/>
      </c>
      <c r="I17" s="38" t="str">
        <f t="shared" si="1"/>
        <v/>
      </c>
      <c r="J17" s="38" t="str">
        <f>IF(A17="","",IFERROR(VLOOKUP(A17,BOOKINGS!$A:$Q,13,FALSE),0))</f>
        <v/>
      </c>
      <c r="K17" s="38" t="str">
        <f t="shared" si="2"/>
        <v/>
      </c>
      <c r="L17" s="38" t="str">
        <f t="shared" si="3"/>
        <v/>
      </c>
    </row>
    <row r="18">
      <c r="A18" s="33" t="str">
        <f>IF(BOOKINGS!A18="","",BOOKINGS!A18)</f>
        <v/>
      </c>
      <c r="B18" s="38" t="str">
        <f>IF(A18="","",MAX(VLOOKUP(A18,BOOKINGS!$A:$Q,6,FALSE)*VLOOKUP(VLOOKUP(A18,BOOKINGS!$A:$Q,7,FALSE),SETUP_RATES!$A:$H,3,FALSE),VLOOKUP(VLOOKUP(A18,BOOKINGS!$A:$Q,7,FALSE),SETUP_RATES!$A:$H,2,FALSE)))</f>
        <v/>
      </c>
      <c r="C18" s="38" t="str">
        <f>IF(A18="","",VLOOKUP(A18,BOOKINGS!$A:$Q,10,FALSE)*VLOOKUP(VLOOKUP(A18,BOOKINGS!$A:$Q,7,FALSE),SETUP_RATES!$A:$H,6,FALSE))</f>
        <v/>
      </c>
      <c r="D18" s="38" t="str">
        <f>IF(A18="","",MAX(0,VLOOKUP(A18,TRIP_ACTUALS!$A:$O,8,FALSE)-SETUP_RATES!$K$2)*SETUP_RATES!$K$3)</f>
        <v/>
      </c>
      <c r="E18" s="38" t="str">
        <f>IF(A18="","",VLOOKUP(A18,TRIP_ACTUALS!$A:$O,9,FALSE)*VLOOKUP(VLOOKUP(A18,BOOKINGS!$A:$Q,7,FALSE),SETUP_RATES!$A:$H,5,FALSE))</f>
        <v/>
      </c>
      <c r="F18" s="38" t="str">
        <f>IF(A18="","",IFERROR(VLOOKUP(A18,TRIP_ACTUALS!$A:$O,5,FALSE),0))</f>
        <v/>
      </c>
      <c r="G18" s="38" t="str">
        <f>IF(A18="","",IFERROR(VLOOKUP(A18,TRIP_ACTUALS!$A:$O,6,FALSE),0)+IFERROR(VLOOKUP(A18,TRIP_ACTUALS!$A:$O,7,FALSE),0))</f>
        <v/>
      </c>
      <c r="H18" s="38" t="str">
        <f>IF(A18="","",IFERROR(VLOOKUP(VLOOKUP(A18,BOOKINGS!$A:$Q,7,FALSE),SETUP_RATES!$A:$H,8,FALSE),0))</f>
        <v/>
      </c>
      <c r="I18" s="38" t="str">
        <f t="shared" si="1"/>
        <v/>
      </c>
      <c r="J18" s="38" t="str">
        <f>IF(A18="","",IFERROR(VLOOKUP(A18,BOOKINGS!$A:$Q,13,FALSE),0))</f>
        <v/>
      </c>
      <c r="K18" s="38" t="str">
        <f t="shared" si="2"/>
        <v/>
      </c>
      <c r="L18" s="38" t="str">
        <f t="shared" si="3"/>
        <v/>
      </c>
    </row>
    <row r="19">
      <c r="A19" s="33" t="str">
        <f>IF(BOOKINGS!A19="","",BOOKINGS!A19)</f>
        <v/>
      </c>
      <c r="B19" s="38" t="str">
        <f>IF(A19="","",MAX(VLOOKUP(A19,BOOKINGS!$A:$Q,6,FALSE)*VLOOKUP(VLOOKUP(A19,BOOKINGS!$A:$Q,7,FALSE),SETUP_RATES!$A:$H,3,FALSE),VLOOKUP(VLOOKUP(A19,BOOKINGS!$A:$Q,7,FALSE),SETUP_RATES!$A:$H,2,FALSE)))</f>
        <v/>
      </c>
      <c r="C19" s="38" t="str">
        <f>IF(A19="","",VLOOKUP(A19,BOOKINGS!$A:$Q,10,FALSE)*VLOOKUP(VLOOKUP(A19,BOOKINGS!$A:$Q,7,FALSE),SETUP_RATES!$A:$H,6,FALSE))</f>
        <v/>
      </c>
      <c r="D19" s="38" t="str">
        <f>IF(A19="","",MAX(0,VLOOKUP(A19,TRIP_ACTUALS!$A:$O,8,FALSE)-SETUP_RATES!$K$2)*SETUP_RATES!$K$3)</f>
        <v/>
      </c>
      <c r="E19" s="38" t="str">
        <f>IF(A19="","",VLOOKUP(A19,TRIP_ACTUALS!$A:$O,9,FALSE)*VLOOKUP(VLOOKUP(A19,BOOKINGS!$A:$Q,7,FALSE),SETUP_RATES!$A:$H,5,FALSE))</f>
        <v/>
      </c>
      <c r="F19" s="38" t="str">
        <f>IF(A19="","",IFERROR(VLOOKUP(A19,TRIP_ACTUALS!$A:$O,5,FALSE),0))</f>
        <v/>
      </c>
      <c r="G19" s="38" t="str">
        <f>IF(A19="","",IFERROR(VLOOKUP(A19,TRIP_ACTUALS!$A:$O,6,FALSE),0)+IFERROR(VLOOKUP(A19,TRIP_ACTUALS!$A:$O,7,FALSE),0))</f>
        <v/>
      </c>
      <c r="H19" s="38" t="str">
        <f>IF(A19="","",IFERROR(VLOOKUP(VLOOKUP(A19,BOOKINGS!$A:$Q,7,FALSE),SETUP_RATES!$A:$H,8,FALSE),0))</f>
        <v/>
      </c>
      <c r="I19" s="38" t="str">
        <f t="shared" si="1"/>
        <v/>
      </c>
      <c r="J19" s="38" t="str">
        <f>IF(A19="","",IFERROR(VLOOKUP(A19,BOOKINGS!$A:$Q,13,FALSE),0))</f>
        <v/>
      </c>
      <c r="K19" s="38" t="str">
        <f t="shared" si="2"/>
        <v/>
      </c>
      <c r="L19" s="38" t="str">
        <f t="shared" si="3"/>
        <v/>
      </c>
    </row>
    <row r="20">
      <c r="A20" s="33" t="str">
        <f>IF(BOOKINGS!A20="","",BOOKINGS!A20)</f>
        <v/>
      </c>
      <c r="B20" s="38" t="str">
        <f>IF(A20="","",MAX(VLOOKUP(A20,BOOKINGS!$A:$Q,6,FALSE)*VLOOKUP(VLOOKUP(A20,BOOKINGS!$A:$Q,7,FALSE),SETUP_RATES!$A:$H,3,FALSE),VLOOKUP(VLOOKUP(A20,BOOKINGS!$A:$Q,7,FALSE),SETUP_RATES!$A:$H,2,FALSE)))</f>
        <v/>
      </c>
      <c r="C20" s="38" t="str">
        <f>IF(A20="","",VLOOKUP(A20,BOOKINGS!$A:$Q,10,FALSE)*VLOOKUP(VLOOKUP(A20,BOOKINGS!$A:$Q,7,FALSE),SETUP_RATES!$A:$H,6,FALSE))</f>
        <v/>
      </c>
      <c r="D20" s="38" t="str">
        <f>IF(A20="","",MAX(0,VLOOKUP(A20,TRIP_ACTUALS!$A:$O,8,FALSE)-SETUP_RATES!$K$2)*SETUP_RATES!$K$3)</f>
        <v/>
      </c>
      <c r="E20" s="38" t="str">
        <f>IF(A20="","",VLOOKUP(A20,TRIP_ACTUALS!$A:$O,9,FALSE)*VLOOKUP(VLOOKUP(A20,BOOKINGS!$A:$Q,7,FALSE),SETUP_RATES!$A:$H,5,FALSE))</f>
        <v/>
      </c>
      <c r="F20" s="38" t="str">
        <f>IF(A20="","",IFERROR(VLOOKUP(A20,TRIP_ACTUALS!$A:$O,5,FALSE),0))</f>
        <v/>
      </c>
      <c r="G20" s="38" t="str">
        <f>IF(A20="","",IFERROR(VLOOKUP(A20,TRIP_ACTUALS!$A:$O,6,FALSE),0)+IFERROR(VLOOKUP(A20,TRIP_ACTUALS!$A:$O,7,FALSE),0))</f>
        <v/>
      </c>
      <c r="H20" s="38" t="str">
        <f>IF(A20="","",IFERROR(VLOOKUP(VLOOKUP(A20,BOOKINGS!$A:$Q,7,FALSE),SETUP_RATES!$A:$H,8,FALSE),0))</f>
        <v/>
      </c>
      <c r="I20" s="38" t="str">
        <f t="shared" si="1"/>
        <v/>
      </c>
      <c r="J20" s="38" t="str">
        <f>IF(A20="","",IFERROR(VLOOKUP(A20,BOOKINGS!$A:$Q,13,FALSE),0))</f>
        <v/>
      </c>
      <c r="K20" s="38" t="str">
        <f t="shared" si="2"/>
        <v/>
      </c>
      <c r="L20" s="38" t="str">
        <f t="shared" si="3"/>
        <v/>
      </c>
    </row>
    <row r="21" ht="15.75" customHeight="1">
      <c r="A21" s="33" t="str">
        <f>IF(BOOKINGS!A21="","",BOOKINGS!A21)</f>
        <v/>
      </c>
      <c r="B21" s="38" t="str">
        <f>IF(A21="","",MAX(VLOOKUP(A21,BOOKINGS!$A:$Q,6,FALSE)*VLOOKUP(VLOOKUP(A21,BOOKINGS!$A:$Q,7,FALSE),SETUP_RATES!$A:$H,3,FALSE),VLOOKUP(VLOOKUP(A21,BOOKINGS!$A:$Q,7,FALSE),SETUP_RATES!$A:$H,2,FALSE)))</f>
        <v/>
      </c>
      <c r="C21" s="38" t="str">
        <f>IF(A21="","",VLOOKUP(A21,BOOKINGS!$A:$Q,10,FALSE)*VLOOKUP(VLOOKUP(A21,BOOKINGS!$A:$Q,7,FALSE),SETUP_RATES!$A:$H,6,FALSE))</f>
        <v/>
      </c>
      <c r="D21" s="38" t="str">
        <f>IF(A21="","",MAX(0,VLOOKUP(A21,TRIP_ACTUALS!$A:$O,8,FALSE)-SETUP_RATES!$K$2)*SETUP_RATES!$K$3)</f>
        <v/>
      </c>
      <c r="E21" s="38" t="str">
        <f>IF(A21="","",VLOOKUP(A21,TRIP_ACTUALS!$A:$O,9,FALSE)*VLOOKUP(VLOOKUP(A21,BOOKINGS!$A:$Q,7,FALSE),SETUP_RATES!$A:$H,5,FALSE))</f>
        <v/>
      </c>
      <c r="F21" s="38" t="str">
        <f>IF(A21="","",IFERROR(VLOOKUP(A21,TRIP_ACTUALS!$A:$O,5,FALSE),0))</f>
        <v/>
      </c>
      <c r="G21" s="38" t="str">
        <f>IF(A21="","",IFERROR(VLOOKUP(A21,TRIP_ACTUALS!$A:$O,6,FALSE),0)+IFERROR(VLOOKUP(A21,TRIP_ACTUALS!$A:$O,7,FALSE),0))</f>
        <v/>
      </c>
      <c r="H21" s="38" t="str">
        <f>IF(A21="","",IFERROR(VLOOKUP(VLOOKUP(A21,BOOKINGS!$A:$Q,7,FALSE),SETUP_RATES!$A:$H,8,FALSE),0))</f>
        <v/>
      </c>
      <c r="I21" s="38" t="str">
        <f t="shared" si="1"/>
        <v/>
      </c>
      <c r="J21" s="38" t="str">
        <f>IF(A21="","",IFERROR(VLOOKUP(A21,BOOKINGS!$A:$Q,13,FALSE),0))</f>
        <v/>
      </c>
      <c r="K21" s="38" t="str">
        <f t="shared" si="2"/>
        <v/>
      </c>
      <c r="L21" s="38" t="str">
        <f t="shared" si="3"/>
        <v/>
      </c>
    </row>
    <row r="22" ht="15.75" customHeight="1">
      <c r="A22" s="33" t="str">
        <f>IF(BOOKINGS!A22="","",BOOKINGS!A22)</f>
        <v/>
      </c>
      <c r="B22" s="38" t="str">
        <f>IF(A22="","",MAX(VLOOKUP(A22,BOOKINGS!$A:$Q,6,FALSE)*VLOOKUP(VLOOKUP(A22,BOOKINGS!$A:$Q,7,FALSE),SETUP_RATES!$A:$H,3,FALSE),VLOOKUP(VLOOKUP(A22,BOOKINGS!$A:$Q,7,FALSE),SETUP_RATES!$A:$H,2,FALSE)))</f>
        <v/>
      </c>
      <c r="C22" s="38" t="str">
        <f>IF(A22="","",VLOOKUP(A22,BOOKINGS!$A:$Q,10,FALSE)*VLOOKUP(VLOOKUP(A22,BOOKINGS!$A:$Q,7,FALSE),SETUP_RATES!$A:$H,6,FALSE))</f>
        <v/>
      </c>
      <c r="D22" s="38" t="str">
        <f>IF(A22="","",MAX(0,VLOOKUP(A22,TRIP_ACTUALS!$A:$O,8,FALSE)-SETUP_RATES!$K$2)*SETUP_RATES!$K$3)</f>
        <v/>
      </c>
      <c r="E22" s="38" t="str">
        <f>IF(A22="","",VLOOKUP(A22,TRIP_ACTUALS!$A:$O,9,FALSE)*VLOOKUP(VLOOKUP(A22,BOOKINGS!$A:$Q,7,FALSE),SETUP_RATES!$A:$H,5,FALSE))</f>
        <v/>
      </c>
      <c r="F22" s="38" t="str">
        <f>IF(A22="","",IFERROR(VLOOKUP(A22,TRIP_ACTUALS!$A:$O,5,FALSE),0))</f>
        <v/>
      </c>
      <c r="G22" s="38" t="str">
        <f>IF(A22="","",IFERROR(VLOOKUP(A22,TRIP_ACTUALS!$A:$O,6,FALSE),0)+IFERROR(VLOOKUP(A22,TRIP_ACTUALS!$A:$O,7,FALSE),0))</f>
        <v/>
      </c>
      <c r="H22" s="38" t="str">
        <f>IF(A22="","",IFERROR(VLOOKUP(VLOOKUP(A22,BOOKINGS!$A:$Q,7,FALSE),SETUP_RATES!$A:$H,8,FALSE),0))</f>
        <v/>
      </c>
      <c r="I22" s="38" t="str">
        <f t="shared" si="1"/>
        <v/>
      </c>
      <c r="J22" s="38" t="str">
        <f>IF(A22="","",IFERROR(VLOOKUP(A22,BOOKINGS!$A:$Q,13,FALSE),0))</f>
        <v/>
      </c>
      <c r="K22" s="38" t="str">
        <f t="shared" si="2"/>
        <v/>
      </c>
      <c r="L22" s="38" t="str">
        <f t="shared" si="3"/>
        <v/>
      </c>
    </row>
    <row r="23" ht="15.75" customHeight="1">
      <c r="A23" s="33" t="str">
        <f>IF(BOOKINGS!A23="","",BOOKINGS!A23)</f>
        <v/>
      </c>
      <c r="B23" s="38" t="str">
        <f>IF(A23="","",MAX(VLOOKUP(A23,BOOKINGS!$A:$Q,6,FALSE)*VLOOKUP(VLOOKUP(A23,BOOKINGS!$A:$Q,7,FALSE),SETUP_RATES!$A:$H,3,FALSE),VLOOKUP(VLOOKUP(A23,BOOKINGS!$A:$Q,7,FALSE),SETUP_RATES!$A:$H,2,FALSE)))</f>
        <v/>
      </c>
      <c r="C23" s="38" t="str">
        <f>IF(A23="","",VLOOKUP(A23,BOOKINGS!$A:$Q,10,FALSE)*VLOOKUP(VLOOKUP(A23,BOOKINGS!$A:$Q,7,FALSE),SETUP_RATES!$A:$H,6,FALSE))</f>
        <v/>
      </c>
      <c r="D23" s="38" t="str">
        <f>IF(A23="","",MAX(0,VLOOKUP(A23,TRIP_ACTUALS!$A:$O,8,FALSE)-SETUP_RATES!$K$2)*SETUP_RATES!$K$3)</f>
        <v/>
      </c>
      <c r="E23" s="38" t="str">
        <f>IF(A23="","",VLOOKUP(A23,TRIP_ACTUALS!$A:$O,9,FALSE)*VLOOKUP(VLOOKUP(A23,BOOKINGS!$A:$Q,7,FALSE),SETUP_RATES!$A:$H,5,FALSE))</f>
        <v/>
      </c>
      <c r="F23" s="38" t="str">
        <f>IF(A23="","",IFERROR(VLOOKUP(A23,TRIP_ACTUALS!$A:$O,5,FALSE),0))</f>
        <v/>
      </c>
      <c r="G23" s="38" t="str">
        <f>IF(A23="","",IFERROR(VLOOKUP(A23,TRIP_ACTUALS!$A:$O,6,FALSE),0)+IFERROR(VLOOKUP(A23,TRIP_ACTUALS!$A:$O,7,FALSE),0))</f>
        <v/>
      </c>
      <c r="H23" s="38" t="str">
        <f>IF(A23="","",IFERROR(VLOOKUP(VLOOKUP(A23,BOOKINGS!$A:$Q,7,FALSE),SETUP_RATES!$A:$H,8,FALSE),0))</f>
        <v/>
      </c>
      <c r="I23" s="38" t="str">
        <f t="shared" si="1"/>
        <v/>
      </c>
      <c r="J23" s="38" t="str">
        <f>IF(A23="","",IFERROR(VLOOKUP(A23,BOOKINGS!$A:$Q,13,FALSE),0))</f>
        <v/>
      </c>
      <c r="K23" s="38" t="str">
        <f t="shared" si="2"/>
        <v/>
      </c>
      <c r="L23" s="38" t="str">
        <f t="shared" si="3"/>
        <v/>
      </c>
    </row>
    <row r="24" ht="15.75" customHeight="1">
      <c r="A24" s="33" t="str">
        <f>IF(BOOKINGS!A24="","",BOOKINGS!A24)</f>
        <v/>
      </c>
      <c r="B24" s="38" t="str">
        <f>IF(A24="","",MAX(VLOOKUP(A24,BOOKINGS!$A:$Q,6,FALSE)*VLOOKUP(VLOOKUP(A24,BOOKINGS!$A:$Q,7,FALSE),SETUP_RATES!$A:$H,3,FALSE),VLOOKUP(VLOOKUP(A24,BOOKINGS!$A:$Q,7,FALSE),SETUP_RATES!$A:$H,2,FALSE)))</f>
        <v/>
      </c>
      <c r="C24" s="38" t="str">
        <f>IF(A24="","",VLOOKUP(A24,BOOKINGS!$A:$Q,10,FALSE)*VLOOKUP(VLOOKUP(A24,BOOKINGS!$A:$Q,7,FALSE),SETUP_RATES!$A:$H,6,FALSE))</f>
        <v/>
      </c>
      <c r="D24" s="38" t="str">
        <f>IF(A24="","",MAX(0,VLOOKUP(A24,TRIP_ACTUALS!$A:$O,8,FALSE)-SETUP_RATES!$K$2)*SETUP_RATES!$K$3)</f>
        <v/>
      </c>
      <c r="E24" s="38" t="str">
        <f>IF(A24="","",VLOOKUP(A24,TRIP_ACTUALS!$A:$O,9,FALSE)*VLOOKUP(VLOOKUP(A24,BOOKINGS!$A:$Q,7,FALSE),SETUP_RATES!$A:$H,5,FALSE))</f>
        <v/>
      </c>
      <c r="F24" s="38" t="str">
        <f>IF(A24="","",IFERROR(VLOOKUP(A24,TRIP_ACTUALS!$A:$O,5,FALSE),0))</f>
        <v/>
      </c>
      <c r="G24" s="38" t="str">
        <f>IF(A24="","",IFERROR(VLOOKUP(A24,TRIP_ACTUALS!$A:$O,6,FALSE),0)+IFERROR(VLOOKUP(A24,TRIP_ACTUALS!$A:$O,7,FALSE),0))</f>
        <v/>
      </c>
      <c r="H24" s="38" t="str">
        <f>IF(A24="","",IFERROR(VLOOKUP(VLOOKUP(A24,BOOKINGS!$A:$Q,7,FALSE),SETUP_RATES!$A:$H,8,FALSE),0))</f>
        <v/>
      </c>
      <c r="I24" s="38" t="str">
        <f t="shared" si="1"/>
        <v/>
      </c>
      <c r="J24" s="38" t="str">
        <f>IF(A24="","",IFERROR(VLOOKUP(A24,BOOKINGS!$A:$Q,13,FALSE),0))</f>
        <v/>
      </c>
      <c r="K24" s="38" t="str">
        <f t="shared" si="2"/>
        <v/>
      </c>
      <c r="L24" s="38" t="str">
        <f t="shared" si="3"/>
        <v/>
      </c>
    </row>
    <row r="25" ht="15.75" customHeight="1">
      <c r="A25" s="33" t="str">
        <f>IF(BOOKINGS!A25="","",BOOKINGS!A25)</f>
        <v/>
      </c>
      <c r="B25" s="38" t="str">
        <f>IF(A25="","",MAX(VLOOKUP(A25,BOOKINGS!$A:$Q,6,FALSE)*VLOOKUP(VLOOKUP(A25,BOOKINGS!$A:$Q,7,FALSE),SETUP_RATES!$A:$H,3,FALSE),VLOOKUP(VLOOKUP(A25,BOOKINGS!$A:$Q,7,FALSE),SETUP_RATES!$A:$H,2,FALSE)))</f>
        <v/>
      </c>
      <c r="C25" s="38" t="str">
        <f>IF(A25="","",VLOOKUP(A25,BOOKINGS!$A:$Q,10,FALSE)*VLOOKUP(VLOOKUP(A25,BOOKINGS!$A:$Q,7,FALSE),SETUP_RATES!$A:$H,6,FALSE))</f>
        <v/>
      </c>
      <c r="D25" s="38" t="str">
        <f>IF(A25="","",MAX(0,VLOOKUP(A25,TRIP_ACTUALS!$A:$O,8,FALSE)-SETUP_RATES!$K$2)*SETUP_RATES!$K$3)</f>
        <v/>
      </c>
      <c r="E25" s="38" t="str">
        <f>IF(A25="","",VLOOKUP(A25,TRIP_ACTUALS!$A:$O,9,FALSE)*VLOOKUP(VLOOKUP(A25,BOOKINGS!$A:$Q,7,FALSE),SETUP_RATES!$A:$H,5,FALSE))</f>
        <v/>
      </c>
      <c r="F25" s="38" t="str">
        <f>IF(A25="","",IFERROR(VLOOKUP(A25,TRIP_ACTUALS!$A:$O,5,FALSE),0))</f>
        <v/>
      </c>
      <c r="G25" s="38" t="str">
        <f>IF(A25="","",IFERROR(VLOOKUP(A25,TRIP_ACTUALS!$A:$O,6,FALSE),0)+IFERROR(VLOOKUP(A25,TRIP_ACTUALS!$A:$O,7,FALSE),0))</f>
        <v/>
      </c>
      <c r="H25" s="38" t="str">
        <f>IF(A25="","",IFERROR(VLOOKUP(VLOOKUP(A25,BOOKINGS!$A:$Q,7,FALSE),SETUP_RATES!$A:$H,8,FALSE),0))</f>
        <v/>
      </c>
      <c r="I25" s="38" t="str">
        <f t="shared" si="1"/>
        <v/>
      </c>
      <c r="J25" s="38" t="str">
        <f>IF(A25="","",IFERROR(VLOOKUP(A25,BOOKINGS!$A:$Q,13,FALSE),0))</f>
        <v/>
      </c>
      <c r="K25" s="38" t="str">
        <f t="shared" si="2"/>
        <v/>
      </c>
      <c r="L25" s="38" t="str">
        <f t="shared" si="3"/>
        <v/>
      </c>
    </row>
    <row r="26" ht="15.75" customHeight="1">
      <c r="A26" s="33" t="str">
        <f>IF(BOOKINGS!A26="","",BOOKINGS!A26)</f>
        <v/>
      </c>
      <c r="B26" s="38" t="str">
        <f>IF(A26="","",MAX(VLOOKUP(A26,BOOKINGS!$A:$Q,6,FALSE)*VLOOKUP(VLOOKUP(A26,BOOKINGS!$A:$Q,7,FALSE),SETUP_RATES!$A:$H,3,FALSE),VLOOKUP(VLOOKUP(A26,BOOKINGS!$A:$Q,7,FALSE),SETUP_RATES!$A:$H,2,FALSE)))</f>
        <v/>
      </c>
      <c r="C26" s="38" t="str">
        <f>IF(A26="","",VLOOKUP(A26,BOOKINGS!$A:$Q,10,FALSE)*VLOOKUP(VLOOKUP(A26,BOOKINGS!$A:$Q,7,FALSE),SETUP_RATES!$A:$H,6,FALSE))</f>
        <v/>
      </c>
      <c r="D26" s="38" t="str">
        <f>IF(A26="","",MAX(0,VLOOKUP(A26,TRIP_ACTUALS!$A:$O,8,FALSE)-SETUP_RATES!$K$2)*SETUP_RATES!$K$3)</f>
        <v/>
      </c>
      <c r="E26" s="38" t="str">
        <f>IF(A26="","",VLOOKUP(A26,TRIP_ACTUALS!$A:$O,9,FALSE)*VLOOKUP(VLOOKUP(A26,BOOKINGS!$A:$Q,7,FALSE),SETUP_RATES!$A:$H,5,FALSE))</f>
        <v/>
      </c>
      <c r="F26" s="38" t="str">
        <f>IF(A26="","",IFERROR(VLOOKUP(A26,TRIP_ACTUALS!$A:$O,5,FALSE),0))</f>
        <v/>
      </c>
      <c r="G26" s="38" t="str">
        <f>IF(A26="","",IFERROR(VLOOKUP(A26,TRIP_ACTUALS!$A:$O,6,FALSE),0)+IFERROR(VLOOKUP(A26,TRIP_ACTUALS!$A:$O,7,FALSE),0))</f>
        <v/>
      </c>
      <c r="H26" s="38" t="str">
        <f>IF(A26="","",IFERROR(VLOOKUP(VLOOKUP(A26,BOOKINGS!$A:$Q,7,FALSE),SETUP_RATES!$A:$H,8,FALSE),0))</f>
        <v/>
      </c>
      <c r="I26" s="38" t="str">
        <f t="shared" si="1"/>
        <v/>
      </c>
      <c r="J26" s="38" t="str">
        <f>IF(A26="","",IFERROR(VLOOKUP(A26,BOOKINGS!$A:$Q,13,FALSE),0))</f>
        <v/>
      </c>
      <c r="K26" s="38" t="str">
        <f t="shared" si="2"/>
        <v/>
      </c>
      <c r="L26" s="38" t="str">
        <f t="shared" si="3"/>
        <v/>
      </c>
    </row>
    <row r="27" ht="15.75" customHeight="1">
      <c r="A27" s="33" t="str">
        <f>IF(BOOKINGS!A27="","",BOOKINGS!A27)</f>
        <v/>
      </c>
      <c r="B27" s="38" t="str">
        <f>IF(A27="","",MAX(VLOOKUP(A27,BOOKINGS!$A:$Q,6,FALSE)*VLOOKUP(VLOOKUP(A27,BOOKINGS!$A:$Q,7,FALSE),SETUP_RATES!$A:$H,3,FALSE),VLOOKUP(VLOOKUP(A27,BOOKINGS!$A:$Q,7,FALSE),SETUP_RATES!$A:$H,2,FALSE)))</f>
        <v/>
      </c>
      <c r="C27" s="38" t="str">
        <f>IF(A27="","",VLOOKUP(A27,BOOKINGS!$A:$Q,10,FALSE)*VLOOKUP(VLOOKUP(A27,BOOKINGS!$A:$Q,7,FALSE),SETUP_RATES!$A:$H,6,FALSE))</f>
        <v/>
      </c>
      <c r="D27" s="38" t="str">
        <f>IF(A27="","",MAX(0,VLOOKUP(A27,TRIP_ACTUALS!$A:$O,8,FALSE)-SETUP_RATES!$K$2)*SETUP_RATES!$K$3)</f>
        <v/>
      </c>
      <c r="E27" s="38" t="str">
        <f>IF(A27="","",VLOOKUP(A27,TRIP_ACTUALS!$A:$O,9,FALSE)*VLOOKUP(VLOOKUP(A27,BOOKINGS!$A:$Q,7,FALSE),SETUP_RATES!$A:$H,5,FALSE))</f>
        <v/>
      </c>
      <c r="F27" s="38" t="str">
        <f>IF(A27="","",IFERROR(VLOOKUP(A27,TRIP_ACTUALS!$A:$O,5,FALSE),0))</f>
        <v/>
      </c>
      <c r="G27" s="38" t="str">
        <f>IF(A27="","",IFERROR(VLOOKUP(A27,TRIP_ACTUALS!$A:$O,6,FALSE),0)+IFERROR(VLOOKUP(A27,TRIP_ACTUALS!$A:$O,7,FALSE),0))</f>
        <v/>
      </c>
      <c r="H27" s="38" t="str">
        <f>IF(A27="","",IFERROR(VLOOKUP(VLOOKUP(A27,BOOKINGS!$A:$Q,7,FALSE),SETUP_RATES!$A:$H,8,FALSE),0))</f>
        <v/>
      </c>
      <c r="I27" s="38" t="str">
        <f t="shared" si="1"/>
        <v/>
      </c>
      <c r="J27" s="38" t="str">
        <f>IF(A27="","",IFERROR(VLOOKUP(A27,BOOKINGS!$A:$Q,13,FALSE),0))</f>
        <v/>
      </c>
      <c r="K27" s="38" t="str">
        <f t="shared" si="2"/>
        <v/>
      </c>
      <c r="L27" s="38" t="str">
        <f t="shared" si="3"/>
        <v/>
      </c>
    </row>
    <row r="28" ht="15.75" customHeight="1">
      <c r="A28" s="33" t="str">
        <f>IF(BOOKINGS!A28="","",BOOKINGS!A28)</f>
        <v/>
      </c>
      <c r="B28" s="38" t="str">
        <f>IF(A28="","",MAX(VLOOKUP(A28,BOOKINGS!$A:$Q,6,FALSE)*VLOOKUP(VLOOKUP(A28,BOOKINGS!$A:$Q,7,FALSE),SETUP_RATES!$A:$H,3,FALSE),VLOOKUP(VLOOKUP(A28,BOOKINGS!$A:$Q,7,FALSE),SETUP_RATES!$A:$H,2,FALSE)))</f>
        <v/>
      </c>
      <c r="C28" s="38" t="str">
        <f>IF(A28="","",VLOOKUP(A28,BOOKINGS!$A:$Q,10,FALSE)*VLOOKUP(VLOOKUP(A28,BOOKINGS!$A:$Q,7,FALSE),SETUP_RATES!$A:$H,6,FALSE))</f>
        <v/>
      </c>
      <c r="D28" s="38" t="str">
        <f>IF(A28="","",MAX(0,VLOOKUP(A28,TRIP_ACTUALS!$A:$O,8,FALSE)-SETUP_RATES!$K$2)*SETUP_RATES!$K$3)</f>
        <v/>
      </c>
      <c r="E28" s="38" t="str">
        <f>IF(A28="","",VLOOKUP(A28,TRIP_ACTUALS!$A:$O,9,FALSE)*VLOOKUP(VLOOKUP(A28,BOOKINGS!$A:$Q,7,FALSE),SETUP_RATES!$A:$H,5,FALSE))</f>
        <v/>
      </c>
      <c r="F28" s="38" t="str">
        <f>IF(A28="","",IFERROR(VLOOKUP(A28,TRIP_ACTUALS!$A:$O,5,FALSE),0))</f>
        <v/>
      </c>
      <c r="G28" s="38" t="str">
        <f>IF(A28="","",IFERROR(VLOOKUP(A28,TRIP_ACTUALS!$A:$O,6,FALSE),0)+IFERROR(VLOOKUP(A28,TRIP_ACTUALS!$A:$O,7,FALSE),0))</f>
        <v/>
      </c>
      <c r="H28" s="38" t="str">
        <f>IF(A28="","",IFERROR(VLOOKUP(VLOOKUP(A28,BOOKINGS!$A:$Q,7,FALSE),SETUP_RATES!$A:$H,8,FALSE),0))</f>
        <v/>
      </c>
      <c r="I28" s="38" t="str">
        <f t="shared" si="1"/>
        <v/>
      </c>
      <c r="J28" s="38" t="str">
        <f>IF(A28="","",IFERROR(VLOOKUP(A28,BOOKINGS!$A:$Q,13,FALSE),0))</f>
        <v/>
      </c>
      <c r="K28" s="38" t="str">
        <f t="shared" si="2"/>
        <v/>
      </c>
      <c r="L28" s="38" t="str">
        <f t="shared" si="3"/>
        <v/>
      </c>
    </row>
    <row r="29" ht="15.75" customHeight="1">
      <c r="A29" s="33" t="str">
        <f>IF(BOOKINGS!A29="","",BOOKINGS!A29)</f>
        <v/>
      </c>
      <c r="B29" s="38" t="str">
        <f>IF(A29="","",MAX(VLOOKUP(A29,BOOKINGS!$A:$Q,6,FALSE)*VLOOKUP(VLOOKUP(A29,BOOKINGS!$A:$Q,7,FALSE),SETUP_RATES!$A:$H,3,FALSE),VLOOKUP(VLOOKUP(A29,BOOKINGS!$A:$Q,7,FALSE),SETUP_RATES!$A:$H,2,FALSE)))</f>
        <v/>
      </c>
      <c r="C29" s="38" t="str">
        <f>IF(A29="","",VLOOKUP(A29,BOOKINGS!$A:$Q,10,FALSE)*VLOOKUP(VLOOKUP(A29,BOOKINGS!$A:$Q,7,FALSE),SETUP_RATES!$A:$H,6,FALSE))</f>
        <v/>
      </c>
      <c r="D29" s="38" t="str">
        <f>IF(A29="","",MAX(0,VLOOKUP(A29,TRIP_ACTUALS!$A:$O,8,FALSE)-SETUP_RATES!$K$2)*SETUP_RATES!$K$3)</f>
        <v/>
      </c>
      <c r="E29" s="38" t="str">
        <f>IF(A29="","",VLOOKUP(A29,TRIP_ACTUALS!$A:$O,9,FALSE)*VLOOKUP(VLOOKUP(A29,BOOKINGS!$A:$Q,7,FALSE),SETUP_RATES!$A:$H,5,FALSE))</f>
        <v/>
      </c>
      <c r="F29" s="38" t="str">
        <f>IF(A29="","",IFERROR(VLOOKUP(A29,TRIP_ACTUALS!$A:$O,5,FALSE),0))</f>
        <v/>
      </c>
      <c r="G29" s="38" t="str">
        <f>IF(A29="","",IFERROR(VLOOKUP(A29,TRIP_ACTUALS!$A:$O,6,FALSE),0)+IFERROR(VLOOKUP(A29,TRIP_ACTUALS!$A:$O,7,FALSE),0))</f>
        <v/>
      </c>
      <c r="H29" s="38" t="str">
        <f>IF(A29="","",IFERROR(VLOOKUP(VLOOKUP(A29,BOOKINGS!$A:$Q,7,FALSE),SETUP_RATES!$A:$H,8,FALSE),0))</f>
        <v/>
      </c>
      <c r="I29" s="38" t="str">
        <f t="shared" si="1"/>
        <v/>
      </c>
      <c r="J29" s="38" t="str">
        <f>IF(A29="","",IFERROR(VLOOKUP(A29,BOOKINGS!$A:$Q,13,FALSE),0))</f>
        <v/>
      </c>
      <c r="K29" s="38" t="str">
        <f t="shared" si="2"/>
        <v/>
      </c>
      <c r="L29" s="38" t="str">
        <f t="shared" si="3"/>
        <v/>
      </c>
    </row>
    <row r="30" ht="15.75" customHeight="1">
      <c r="A30" s="33" t="str">
        <f>IF(BOOKINGS!A30="","",BOOKINGS!A30)</f>
        <v/>
      </c>
      <c r="B30" s="38" t="str">
        <f>IF(A30="","",MAX(VLOOKUP(A30,BOOKINGS!$A:$Q,6,FALSE)*VLOOKUP(VLOOKUP(A30,BOOKINGS!$A:$Q,7,FALSE),SETUP_RATES!$A:$H,3,FALSE),VLOOKUP(VLOOKUP(A30,BOOKINGS!$A:$Q,7,FALSE),SETUP_RATES!$A:$H,2,FALSE)))</f>
        <v/>
      </c>
      <c r="C30" s="38" t="str">
        <f>IF(A30="","",VLOOKUP(A30,BOOKINGS!$A:$Q,10,FALSE)*VLOOKUP(VLOOKUP(A30,BOOKINGS!$A:$Q,7,FALSE),SETUP_RATES!$A:$H,6,FALSE))</f>
        <v/>
      </c>
      <c r="D30" s="38" t="str">
        <f>IF(A30="","",MAX(0,VLOOKUP(A30,TRIP_ACTUALS!$A:$O,8,FALSE)-SETUP_RATES!$K$2)*SETUP_RATES!$K$3)</f>
        <v/>
      </c>
      <c r="E30" s="38" t="str">
        <f>IF(A30="","",VLOOKUP(A30,TRIP_ACTUALS!$A:$O,9,FALSE)*VLOOKUP(VLOOKUP(A30,BOOKINGS!$A:$Q,7,FALSE),SETUP_RATES!$A:$H,5,FALSE))</f>
        <v/>
      </c>
      <c r="F30" s="38" t="str">
        <f>IF(A30="","",IFERROR(VLOOKUP(A30,TRIP_ACTUALS!$A:$O,5,FALSE),0))</f>
        <v/>
      </c>
      <c r="G30" s="38" t="str">
        <f>IF(A30="","",IFERROR(VLOOKUP(A30,TRIP_ACTUALS!$A:$O,6,FALSE),0)+IFERROR(VLOOKUP(A30,TRIP_ACTUALS!$A:$O,7,FALSE),0))</f>
        <v/>
      </c>
      <c r="H30" s="38" t="str">
        <f>IF(A30="","",IFERROR(VLOOKUP(VLOOKUP(A30,BOOKINGS!$A:$Q,7,FALSE),SETUP_RATES!$A:$H,8,FALSE),0))</f>
        <v/>
      </c>
      <c r="I30" s="38" t="str">
        <f t="shared" si="1"/>
        <v/>
      </c>
      <c r="J30" s="38" t="str">
        <f>IF(A30="","",IFERROR(VLOOKUP(A30,BOOKINGS!$A:$Q,13,FALSE),0))</f>
        <v/>
      </c>
      <c r="K30" s="38" t="str">
        <f t="shared" si="2"/>
        <v/>
      </c>
      <c r="L30" s="38" t="str">
        <f t="shared" si="3"/>
        <v/>
      </c>
    </row>
    <row r="31" ht="15.75" customHeight="1">
      <c r="A31" s="33" t="str">
        <f>IF(BOOKINGS!A31="","",BOOKINGS!A31)</f>
        <v/>
      </c>
      <c r="B31" s="38" t="str">
        <f>IF(A31="","",MAX(VLOOKUP(A31,BOOKINGS!$A:$Q,6,FALSE)*VLOOKUP(VLOOKUP(A31,BOOKINGS!$A:$Q,7,FALSE),SETUP_RATES!$A:$H,3,FALSE),VLOOKUP(VLOOKUP(A31,BOOKINGS!$A:$Q,7,FALSE),SETUP_RATES!$A:$H,2,FALSE)))</f>
        <v/>
      </c>
      <c r="C31" s="38" t="str">
        <f>IF(A31="","",VLOOKUP(A31,BOOKINGS!$A:$Q,10,FALSE)*VLOOKUP(VLOOKUP(A31,BOOKINGS!$A:$Q,7,FALSE),SETUP_RATES!$A:$H,6,FALSE))</f>
        <v/>
      </c>
      <c r="D31" s="38" t="str">
        <f>IF(A31="","",MAX(0,VLOOKUP(A31,TRIP_ACTUALS!$A:$O,8,FALSE)-SETUP_RATES!$K$2)*SETUP_RATES!$K$3)</f>
        <v/>
      </c>
      <c r="E31" s="38" t="str">
        <f>IF(A31="","",VLOOKUP(A31,TRIP_ACTUALS!$A:$O,9,FALSE)*VLOOKUP(VLOOKUP(A31,BOOKINGS!$A:$Q,7,FALSE),SETUP_RATES!$A:$H,5,FALSE))</f>
        <v/>
      </c>
      <c r="F31" s="38" t="str">
        <f>IF(A31="","",IFERROR(VLOOKUP(A31,TRIP_ACTUALS!$A:$O,5,FALSE),0))</f>
        <v/>
      </c>
      <c r="G31" s="38" t="str">
        <f>IF(A31="","",IFERROR(VLOOKUP(A31,TRIP_ACTUALS!$A:$O,6,FALSE),0)+IFERROR(VLOOKUP(A31,TRIP_ACTUALS!$A:$O,7,FALSE),0))</f>
        <v/>
      </c>
      <c r="H31" s="38" t="str">
        <f>IF(A31="","",IFERROR(VLOOKUP(VLOOKUP(A31,BOOKINGS!$A:$Q,7,FALSE),SETUP_RATES!$A:$H,8,FALSE),0))</f>
        <v/>
      </c>
      <c r="I31" s="38" t="str">
        <f t="shared" si="1"/>
        <v/>
      </c>
      <c r="J31" s="38" t="str">
        <f>IF(A31="","",IFERROR(VLOOKUP(A31,BOOKINGS!$A:$Q,13,FALSE),0))</f>
        <v/>
      </c>
      <c r="K31" s="38" t="str">
        <f t="shared" si="2"/>
        <v/>
      </c>
      <c r="L31" s="38" t="str">
        <f t="shared" si="3"/>
        <v/>
      </c>
    </row>
    <row r="32" ht="15.75" customHeight="1">
      <c r="A32" s="33" t="str">
        <f>IF(BOOKINGS!A32="","",BOOKINGS!A32)</f>
        <v/>
      </c>
      <c r="B32" s="38" t="str">
        <f>IF(A32="","",MAX(VLOOKUP(A32,BOOKINGS!$A:$Q,6,FALSE)*VLOOKUP(VLOOKUP(A32,BOOKINGS!$A:$Q,7,FALSE),SETUP_RATES!$A:$H,3,FALSE),VLOOKUP(VLOOKUP(A32,BOOKINGS!$A:$Q,7,FALSE),SETUP_RATES!$A:$H,2,FALSE)))</f>
        <v/>
      </c>
      <c r="C32" s="38" t="str">
        <f>IF(A32="","",VLOOKUP(A32,BOOKINGS!$A:$Q,10,FALSE)*VLOOKUP(VLOOKUP(A32,BOOKINGS!$A:$Q,7,FALSE),SETUP_RATES!$A:$H,6,FALSE))</f>
        <v/>
      </c>
      <c r="D32" s="38" t="str">
        <f>IF(A32="","",MAX(0,VLOOKUP(A32,TRIP_ACTUALS!$A:$O,8,FALSE)-SETUP_RATES!$K$2)*SETUP_RATES!$K$3)</f>
        <v/>
      </c>
      <c r="E32" s="38" t="str">
        <f>IF(A32="","",VLOOKUP(A32,TRIP_ACTUALS!$A:$O,9,FALSE)*VLOOKUP(VLOOKUP(A32,BOOKINGS!$A:$Q,7,FALSE),SETUP_RATES!$A:$H,5,FALSE))</f>
        <v/>
      </c>
      <c r="F32" s="38" t="str">
        <f>IF(A32="","",IFERROR(VLOOKUP(A32,TRIP_ACTUALS!$A:$O,5,FALSE),0))</f>
        <v/>
      </c>
      <c r="G32" s="38" t="str">
        <f>IF(A32="","",IFERROR(VLOOKUP(A32,TRIP_ACTUALS!$A:$O,6,FALSE),0)+IFERROR(VLOOKUP(A32,TRIP_ACTUALS!$A:$O,7,FALSE),0))</f>
        <v/>
      </c>
      <c r="H32" s="38" t="str">
        <f>IF(A32="","",IFERROR(VLOOKUP(VLOOKUP(A32,BOOKINGS!$A:$Q,7,FALSE),SETUP_RATES!$A:$H,8,FALSE),0))</f>
        <v/>
      </c>
      <c r="I32" s="38" t="str">
        <f t="shared" si="1"/>
        <v/>
      </c>
      <c r="J32" s="38" t="str">
        <f>IF(A32="","",IFERROR(VLOOKUP(A32,BOOKINGS!$A:$Q,13,FALSE),0))</f>
        <v/>
      </c>
      <c r="K32" s="38" t="str">
        <f t="shared" si="2"/>
        <v/>
      </c>
      <c r="L32" s="38" t="str">
        <f t="shared" si="3"/>
        <v/>
      </c>
    </row>
    <row r="33" ht="15.75" customHeight="1">
      <c r="A33" s="33" t="str">
        <f>IF(BOOKINGS!A33="","",BOOKINGS!A33)</f>
        <v/>
      </c>
      <c r="B33" s="38" t="str">
        <f>IF(A33="","",MAX(VLOOKUP(A33,BOOKINGS!$A:$Q,6,FALSE)*VLOOKUP(VLOOKUP(A33,BOOKINGS!$A:$Q,7,FALSE),SETUP_RATES!$A:$H,3,FALSE),VLOOKUP(VLOOKUP(A33,BOOKINGS!$A:$Q,7,FALSE),SETUP_RATES!$A:$H,2,FALSE)))</f>
        <v/>
      </c>
      <c r="C33" s="38" t="str">
        <f>IF(A33="","",VLOOKUP(A33,BOOKINGS!$A:$Q,10,FALSE)*VLOOKUP(VLOOKUP(A33,BOOKINGS!$A:$Q,7,FALSE),SETUP_RATES!$A:$H,6,FALSE))</f>
        <v/>
      </c>
      <c r="D33" s="38" t="str">
        <f>IF(A33="","",MAX(0,VLOOKUP(A33,TRIP_ACTUALS!$A:$O,8,FALSE)-SETUP_RATES!$K$2)*SETUP_RATES!$K$3)</f>
        <v/>
      </c>
      <c r="E33" s="38" t="str">
        <f>IF(A33="","",VLOOKUP(A33,TRIP_ACTUALS!$A:$O,9,FALSE)*VLOOKUP(VLOOKUP(A33,BOOKINGS!$A:$Q,7,FALSE),SETUP_RATES!$A:$H,5,FALSE))</f>
        <v/>
      </c>
      <c r="F33" s="38" t="str">
        <f>IF(A33="","",IFERROR(VLOOKUP(A33,TRIP_ACTUALS!$A:$O,5,FALSE),0))</f>
        <v/>
      </c>
      <c r="G33" s="38" t="str">
        <f>IF(A33="","",IFERROR(VLOOKUP(A33,TRIP_ACTUALS!$A:$O,6,FALSE),0)+IFERROR(VLOOKUP(A33,TRIP_ACTUALS!$A:$O,7,FALSE),0))</f>
        <v/>
      </c>
      <c r="H33" s="38" t="str">
        <f>IF(A33="","",IFERROR(VLOOKUP(VLOOKUP(A33,BOOKINGS!$A:$Q,7,FALSE),SETUP_RATES!$A:$H,8,FALSE),0))</f>
        <v/>
      </c>
      <c r="I33" s="38" t="str">
        <f t="shared" si="1"/>
        <v/>
      </c>
      <c r="J33" s="38" t="str">
        <f>IF(A33="","",IFERROR(VLOOKUP(A33,BOOKINGS!$A:$Q,13,FALSE),0))</f>
        <v/>
      </c>
      <c r="K33" s="38" t="str">
        <f t="shared" si="2"/>
        <v/>
      </c>
      <c r="L33" s="38" t="str">
        <f t="shared" si="3"/>
        <v/>
      </c>
    </row>
    <row r="34" ht="15.75" customHeight="1">
      <c r="A34" s="33" t="str">
        <f>IF(BOOKINGS!A34="","",BOOKINGS!A34)</f>
        <v/>
      </c>
      <c r="B34" s="38" t="str">
        <f>IF(A34="","",MAX(VLOOKUP(A34,BOOKINGS!$A:$Q,6,FALSE)*VLOOKUP(VLOOKUP(A34,BOOKINGS!$A:$Q,7,FALSE),SETUP_RATES!$A:$H,3,FALSE),VLOOKUP(VLOOKUP(A34,BOOKINGS!$A:$Q,7,FALSE),SETUP_RATES!$A:$H,2,FALSE)))</f>
        <v/>
      </c>
      <c r="C34" s="38" t="str">
        <f>IF(A34="","",VLOOKUP(A34,BOOKINGS!$A:$Q,10,FALSE)*VLOOKUP(VLOOKUP(A34,BOOKINGS!$A:$Q,7,FALSE),SETUP_RATES!$A:$H,6,FALSE))</f>
        <v/>
      </c>
      <c r="D34" s="38" t="str">
        <f>IF(A34="","",MAX(0,VLOOKUP(A34,TRIP_ACTUALS!$A:$O,8,FALSE)-SETUP_RATES!$K$2)*SETUP_RATES!$K$3)</f>
        <v/>
      </c>
      <c r="E34" s="38" t="str">
        <f>IF(A34="","",VLOOKUP(A34,TRIP_ACTUALS!$A:$O,9,FALSE)*VLOOKUP(VLOOKUP(A34,BOOKINGS!$A:$Q,7,FALSE),SETUP_RATES!$A:$H,5,FALSE))</f>
        <v/>
      </c>
      <c r="F34" s="38" t="str">
        <f>IF(A34="","",IFERROR(VLOOKUP(A34,TRIP_ACTUALS!$A:$O,5,FALSE),0))</f>
        <v/>
      </c>
      <c r="G34" s="38" t="str">
        <f>IF(A34="","",IFERROR(VLOOKUP(A34,TRIP_ACTUALS!$A:$O,6,FALSE),0)+IFERROR(VLOOKUP(A34,TRIP_ACTUALS!$A:$O,7,FALSE),0))</f>
        <v/>
      </c>
      <c r="H34" s="38" t="str">
        <f>IF(A34="","",IFERROR(VLOOKUP(VLOOKUP(A34,BOOKINGS!$A:$Q,7,FALSE),SETUP_RATES!$A:$H,8,FALSE),0))</f>
        <v/>
      </c>
      <c r="I34" s="38" t="str">
        <f t="shared" si="1"/>
        <v/>
      </c>
      <c r="J34" s="38" t="str">
        <f>IF(A34="","",IFERROR(VLOOKUP(A34,BOOKINGS!$A:$Q,13,FALSE),0))</f>
        <v/>
      </c>
      <c r="K34" s="38" t="str">
        <f t="shared" si="2"/>
        <v/>
      </c>
      <c r="L34" s="38" t="str">
        <f t="shared" si="3"/>
        <v/>
      </c>
    </row>
    <row r="35" ht="15.75" customHeight="1">
      <c r="A35" s="33" t="str">
        <f>IF(BOOKINGS!A35="","",BOOKINGS!A35)</f>
        <v/>
      </c>
      <c r="B35" s="38" t="str">
        <f>IF(A35="","",MAX(VLOOKUP(A35,BOOKINGS!$A:$Q,6,FALSE)*VLOOKUP(VLOOKUP(A35,BOOKINGS!$A:$Q,7,FALSE),SETUP_RATES!$A:$H,3,FALSE),VLOOKUP(VLOOKUP(A35,BOOKINGS!$A:$Q,7,FALSE),SETUP_RATES!$A:$H,2,FALSE)))</f>
        <v/>
      </c>
      <c r="C35" s="38" t="str">
        <f>IF(A35="","",VLOOKUP(A35,BOOKINGS!$A:$Q,10,FALSE)*VLOOKUP(VLOOKUP(A35,BOOKINGS!$A:$Q,7,FALSE),SETUP_RATES!$A:$H,6,FALSE))</f>
        <v/>
      </c>
      <c r="D35" s="38" t="str">
        <f>IF(A35="","",MAX(0,VLOOKUP(A35,TRIP_ACTUALS!$A:$O,8,FALSE)-SETUP_RATES!$K$2)*SETUP_RATES!$K$3)</f>
        <v/>
      </c>
      <c r="E35" s="38" t="str">
        <f>IF(A35="","",VLOOKUP(A35,TRIP_ACTUALS!$A:$O,9,FALSE)*VLOOKUP(VLOOKUP(A35,BOOKINGS!$A:$Q,7,FALSE),SETUP_RATES!$A:$H,5,FALSE))</f>
        <v/>
      </c>
      <c r="F35" s="38" t="str">
        <f>IF(A35="","",IFERROR(VLOOKUP(A35,TRIP_ACTUALS!$A:$O,5,FALSE),0))</f>
        <v/>
      </c>
      <c r="G35" s="38" t="str">
        <f>IF(A35="","",IFERROR(VLOOKUP(A35,TRIP_ACTUALS!$A:$O,6,FALSE),0)+IFERROR(VLOOKUP(A35,TRIP_ACTUALS!$A:$O,7,FALSE),0))</f>
        <v/>
      </c>
      <c r="H35" s="38" t="str">
        <f>IF(A35="","",IFERROR(VLOOKUP(VLOOKUP(A35,BOOKINGS!$A:$Q,7,FALSE),SETUP_RATES!$A:$H,8,FALSE),0))</f>
        <v/>
      </c>
      <c r="I35" s="38" t="str">
        <f t="shared" si="1"/>
        <v/>
      </c>
      <c r="J35" s="38" t="str">
        <f>IF(A35="","",IFERROR(VLOOKUP(A35,BOOKINGS!$A:$Q,13,FALSE),0))</f>
        <v/>
      </c>
      <c r="K35" s="38" t="str">
        <f t="shared" si="2"/>
        <v/>
      </c>
      <c r="L35" s="38" t="str">
        <f t="shared" si="3"/>
        <v/>
      </c>
    </row>
    <row r="36" ht="15.75" customHeight="1">
      <c r="A36" s="33" t="str">
        <f>IF(BOOKINGS!A36="","",BOOKINGS!A36)</f>
        <v/>
      </c>
      <c r="B36" s="38" t="str">
        <f>IF(A36="","",MAX(VLOOKUP(A36,BOOKINGS!$A:$Q,6,FALSE)*VLOOKUP(VLOOKUP(A36,BOOKINGS!$A:$Q,7,FALSE),SETUP_RATES!$A:$H,3,FALSE),VLOOKUP(VLOOKUP(A36,BOOKINGS!$A:$Q,7,FALSE),SETUP_RATES!$A:$H,2,FALSE)))</f>
        <v/>
      </c>
      <c r="C36" s="38" t="str">
        <f>IF(A36="","",VLOOKUP(A36,BOOKINGS!$A:$Q,10,FALSE)*VLOOKUP(VLOOKUP(A36,BOOKINGS!$A:$Q,7,FALSE),SETUP_RATES!$A:$H,6,FALSE))</f>
        <v/>
      </c>
      <c r="D36" s="38" t="str">
        <f>IF(A36="","",MAX(0,VLOOKUP(A36,TRIP_ACTUALS!$A:$O,8,FALSE)-SETUP_RATES!$K$2)*SETUP_RATES!$K$3)</f>
        <v/>
      </c>
      <c r="E36" s="38" t="str">
        <f>IF(A36="","",VLOOKUP(A36,TRIP_ACTUALS!$A:$O,9,FALSE)*VLOOKUP(VLOOKUP(A36,BOOKINGS!$A:$Q,7,FALSE),SETUP_RATES!$A:$H,5,FALSE))</f>
        <v/>
      </c>
      <c r="F36" s="38" t="str">
        <f>IF(A36="","",IFERROR(VLOOKUP(A36,TRIP_ACTUALS!$A:$O,5,FALSE),0))</f>
        <v/>
      </c>
      <c r="G36" s="38" t="str">
        <f>IF(A36="","",IFERROR(VLOOKUP(A36,TRIP_ACTUALS!$A:$O,6,FALSE),0)+IFERROR(VLOOKUP(A36,TRIP_ACTUALS!$A:$O,7,FALSE),0))</f>
        <v/>
      </c>
      <c r="H36" s="38" t="str">
        <f>IF(A36="","",IFERROR(VLOOKUP(VLOOKUP(A36,BOOKINGS!$A:$Q,7,FALSE),SETUP_RATES!$A:$H,8,FALSE),0))</f>
        <v/>
      </c>
      <c r="I36" s="38" t="str">
        <f t="shared" si="1"/>
        <v/>
      </c>
      <c r="J36" s="38" t="str">
        <f>IF(A36="","",IFERROR(VLOOKUP(A36,BOOKINGS!$A:$Q,13,FALSE),0))</f>
        <v/>
      </c>
      <c r="K36" s="38" t="str">
        <f t="shared" si="2"/>
        <v/>
      </c>
      <c r="L36" s="38" t="str">
        <f t="shared" si="3"/>
        <v/>
      </c>
    </row>
    <row r="37" ht="15.75" customHeight="1">
      <c r="A37" s="33" t="str">
        <f>IF(BOOKINGS!A37="","",BOOKINGS!A37)</f>
        <v/>
      </c>
      <c r="B37" s="38" t="str">
        <f>IF(A37="","",MAX(VLOOKUP(A37,BOOKINGS!$A:$Q,6,FALSE)*VLOOKUP(VLOOKUP(A37,BOOKINGS!$A:$Q,7,FALSE),SETUP_RATES!$A:$H,3,FALSE),VLOOKUP(VLOOKUP(A37,BOOKINGS!$A:$Q,7,FALSE),SETUP_RATES!$A:$H,2,FALSE)))</f>
        <v/>
      </c>
      <c r="C37" s="38" t="str">
        <f>IF(A37="","",VLOOKUP(A37,BOOKINGS!$A:$Q,10,FALSE)*VLOOKUP(VLOOKUP(A37,BOOKINGS!$A:$Q,7,FALSE),SETUP_RATES!$A:$H,6,FALSE))</f>
        <v/>
      </c>
      <c r="D37" s="38" t="str">
        <f>IF(A37="","",MAX(0,VLOOKUP(A37,TRIP_ACTUALS!$A:$O,8,FALSE)-SETUP_RATES!$K$2)*SETUP_RATES!$K$3)</f>
        <v/>
      </c>
      <c r="E37" s="38" t="str">
        <f>IF(A37="","",VLOOKUP(A37,TRIP_ACTUALS!$A:$O,9,FALSE)*VLOOKUP(VLOOKUP(A37,BOOKINGS!$A:$Q,7,FALSE),SETUP_RATES!$A:$H,5,FALSE))</f>
        <v/>
      </c>
      <c r="F37" s="38" t="str">
        <f>IF(A37="","",IFERROR(VLOOKUP(A37,TRIP_ACTUALS!$A:$O,5,FALSE),0))</f>
        <v/>
      </c>
      <c r="G37" s="38" t="str">
        <f>IF(A37="","",IFERROR(VLOOKUP(A37,TRIP_ACTUALS!$A:$O,6,FALSE),0)+IFERROR(VLOOKUP(A37,TRIP_ACTUALS!$A:$O,7,FALSE),0))</f>
        <v/>
      </c>
      <c r="H37" s="38" t="str">
        <f>IF(A37="","",IFERROR(VLOOKUP(VLOOKUP(A37,BOOKINGS!$A:$Q,7,FALSE),SETUP_RATES!$A:$H,8,FALSE),0))</f>
        <v/>
      </c>
      <c r="I37" s="38" t="str">
        <f t="shared" si="1"/>
        <v/>
      </c>
      <c r="J37" s="38" t="str">
        <f>IF(A37="","",IFERROR(VLOOKUP(A37,BOOKINGS!$A:$Q,13,FALSE),0))</f>
        <v/>
      </c>
      <c r="K37" s="38" t="str">
        <f t="shared" si="2"/>
        <v/>
      </c>
      <c r="L37" s="38" t="str">
        <f t="shared" si="3"/>
        <v/>
      </c>
    </row>
    <row r="38" ht="15.75" customHeight="1">
      <c r="A38" s="33" t="str">
        <f>IF(BOOKINGS!A38="","",BOOKINGS!A38)</f>
        <v/>
      </c>
      <c r="B38" s="38" t="str">
        <f>IF(A38="","",MAX(VLOOKUP(A38,BOOKINGS!$A:$Q,6,FALSE)*VLOOKUP(VLOOKUP(A38,BOOKINGS!$A:$Q,7,FALSE),SETUP_RATES!$A:$H,3,FALSE),VLOOKUP(VLOOKUP(A38,BOOKINGS!$A:$Q,7,FALSE),SETUP_RATES!$A:$H,2,FALSE)))</f>
        <v/>
      </c>
      <c r="C38" s="38" t="str">
        <f>IF(A38="","",VLOOKUP(A38,BOOKINGS!$A:$Q,10,FALSE)*VLOOKUP(VLOOKUP(A38,BOOKINGS!$A:$Q,7,FALSE),SETUP_RATES!$A:$H,6,FALSE))</f>
        <v/>
      </c>
      <c r="D38" s="38" t="str">
        <f>IF(A38="","",MAX(0,VLOOKUP(A38,TRIP_ACTUALS!$A:$O,8,FALSE)-SETUP_RATES!$K$2)*SETUP_RATES!$K$3)</f>
        <v/>
      </c>
      <c r="E38" s="38" t="str">
        <f>IF(A38="","",VLOOKUP(A38,TRIP_ACTUALS!$A:$O,9,FALSE)*VLOOKUP(VLOOKUP(A38,BOOKINGS!$A:$Q,7,FALSE),SETUP_RATES!$A:$H,5,FALSE))</f>
        <v/>
      </c>
      <c r="F38" s="38" t="str">
        <f>IF(A38="","",IFERROR(VLOOKUP(A38,TRIP_ACTUALS!$A:$O,5,FALSE),0))</f>
        <v/>
      </c>
      <c r="G38" s="38" t="str">
        <f>IF(A38="","",IFERROR(VLOOKUP(A38,TRIP_ACTUALS!$A:$O,6,FALSE),0)+IFERROR(VLOOKUP(A38,TRIP_ACTUALS!$A:$O,7,FALSE),0))</f>
        <v/>
      </c>
      <c r="H38" s="38" t="str">
        <f>IF(A38="","",IFERROR(VLOOKUP(VLOOKUP(A38,BOOKINGS!$A:$Q,7,FALSE),SETUP_RATES!$A:$H,8,FALSE),0))</f>
        <v/>
      </c>
      <c r="I38" s="38" t="str">
        <f t="shared" si="1"/>
        <v/>
      </c>
      <c r="J38" s="38" t="str">
        <f>IF(A38="","",IFERROR(VLOOKUP(A38,BOOKINGS!$A:$Q,13,FALSE),0))</f>
        <v/>
      </c>
      <c r="K38" s="38" t="str">
        <f t="shared" si="2"/>
        <v/>
      </c>
      <c r="L38" s="38" t="str">
        <f t="shared" si="3"/>
        <v/>
      </c>
    </row>
    <row r="39" ht="15.75" customHeight="1">
      <c r="A39" s="33" t="str">
        <f>IF(BOOKINGS!A39="","",BOOKINGS!A39)</f>
        <v/>
      </c>
      <c r="B39" s="38" t="str">
        <f>IF(A39="","",MAX(VLOOKUP(A39,BOOKINGS!$A:$Q,6,FALSE)*VLOOKUP(VLOOKUP(A39,BOOKINGS!$A:$Q,7,FALSE),SETUP_RATES!$A:$H,3,FALSE),VLOOKUP(VLOOKUP(A39,BOOKINGS!$A:$Q,7,FALSE),SETUP_RATES!$A:$H,2,FALSE)))</f>
        <v/>
      </c>
      <c r="C39" s="38" t="str">
        <f>IF(A39="","",VLOOKUP(A39,BOOKINGS!$A:$Q,10,FALSE)*VLOOKUP(VLOOKUP(A39,BOOKINGS!$A:$Q,7,FALSE),SETUP_RATES!$A:$H,6,FALSE))</f>
        <v/>
      </c>
      <c r="D39" s="38" t="str">
        <f>IF(A39="","",MAX(0,VLOOKUP(A39,TRIP_ACTUALS!$A:$O,8,FALSE)-SETUP_RATES!$K$2)*SETUP_RATES!$K$3)</f>
        <v/>
      </c>
      <c r="E39" s="38" t="str">
        <f>IF(A39="","",VLOOKUP(A39,TRIP_ACTUALS!$A:$O,9,FALSE)*VLOOKUP(VLOOKUP(A39,BOOKINGS!$A:$Q,7,FALSE),SETUP_RATES!$A:$H,5,FALSE))</f>
        <v/>
      </c>
      <c r="F39" s="38" t="str">
        <f>IF(A39="","",IFERROR(VLOOKUP(A39,TRIP_ACTUALS!$A:$O,5,FALSE),0))</f>
        <v/>
      </c>
      <c r="G39" s="38" t="str">
        <f>IF(A39="","",IFERROR(VLOOKUP(A39,TRIP_ACTUALS!$A:$O,6,FALSE),0)+IFERROR(VLOOKUP(A39,TRIP_ACTUALS!$A:$O,7,FALSE),0))</f>
        <v/>
      </c>
      <c r="H39" s="38" t="str">
        <f>IF(A39="","",IFERROR(VLOOKUP(VLOOKUP(A39,BOOKINGS!$A:$Q,7,FALSE),SETUP_RATES!$A:$H,8,FALSE),0))</f>
        <v/>
      </c>
      <c r="I39" s="38" t="str">
        <f t="shared" si="1"/>
        <v/>
      </c>
      <c r="J39" s="38" t="str">
        <f>IF(A39="","",IFERROR(VLOOKUP(A39,BOOKINGS!$A:$Q,13,FALSE),0))</f>
        <v/>
      </c>
      <c r="K39" s="38" t="str">
        <f t="shared" si="2"/>
        <v/>
      </c>
      <c r="L39" s="38" t="str">
        <f t="shared" si="3"/>
        <v/>
      </c>
    </row>
    <row r="40" ht="15.75" customHeight="1">
      <c r="A40" s="33" t="str">
        <f>IF(BOOKINGS!A40="","",BOOKINGS!A40)</f>
        <v/>
      </c>
      <c r="B40" s="38" t="str">
        <f>IF(A40="","",MAX(VLOOKUP(A40,BOOKINGS!$A:$Q,6,FALSE)*VLOOKUP(VLOOKUP(A40,BOOKINGS!$A:$Q,7,FALSE),SETUP_RATES!$A:$H,3,FALSE),VLOOKUP(VLOOKUP(A40,BOOKINGS!$A:$Q,7,FALSE),SETUP_RATES!$A:$H,2,FALSE)))</f>
        <v/>
      </c>
      <c r="C40" s="38" t="str">
        <f>IF(A40="","",VLOOKUP(A40,BOOKINGS!$A:$Q,10,FALSE)*VLOOKUP(VLOOKUP(A40,BOOKINGS!$A:$Q,7,FALSE),SETUP_RATES!$A:$H,6,FALSE))</f>
        <v/>
      </c>
      <c r="D40" s="38" t="str">
        <f>IF(A40="","",MAX(0,VLOOKUP(A40,TRIP_ACTUALS!$A:$O,8,FALSE)-SETUP_RATES!$K$2)*SETUP_RATES!$K$3)</f>
        <v/>
      </c>
      <c r="E40" s="38" t="str">
        <f>IF(A40="","",VLOOKUP(A40,TRIP_ACTUALS!$A:$O,9,FALSE)*VLOOKUP(VLOOKUP(A40,BOOKINGS!$A:$Q,7,FALSE),SETUP_RATES!$A:$H,5,FALSE))</f>
        <v/>
      </c>
      <c r="F40" s="38" t="str">
        <f>IF(A40="","",IFERROR(VLOOKUP(A40,TRIP_ACTUALS!$A:$O,5,FALSE),0))</f>
        <v/>
      </c>
      <c r="G40" s="38" t="str">
        <f>IF(A40="","",IFERROR(VLOOKUP(A40,TRIP_ACTUALS!$A:$O,6,FALSE),0)+IFERROR(VLOOKUP(A40,TRIP_ACTUALS!$A:$O,7,FALSE),0))</f>
        <v/>
      </c>
      <c r="H40" s="38" t="str">
        <f>IF(A40="","",IFERROR(VLOOKUP(VLOOKUP(A40,BOOKINGS!$A:$Q,7,FALSE),SETUP_RATES!$A:$H,8,FALSE),0))</f>
        <v/>
      </c>
      <c r="I40" s="38" t="str">
        <f t="shared" si="1"/>
        <v/>
      </c>
      <c r="J40" s="38" t="str">
        <f>IF(A40="","",IFERROR(VLOOKUP(A40,BOOKINGS!$A:$Q,13,FALSE),0))</f>
        <v/>
      </c>
      <c r="K40" s="38" t="str">
        <f t="shared" si="2"/>
        <v/>
      </c>
      <c r="L40" s="38" t="str">
        <f t="shared" si="3"/>
        <v/>
      </c>
    </row>
    <row r="41" ht="15.75" customHeight="1">
      <c r="A41" s="33" t="str">
        <f>IF(BOOKINGS!A41="","",BOOKINGS!A41)</f>
        <v/>
      </c>
      <c r="B41" s="38" t="str">
        <f>IF(A41="","",MAX(VLOOKUP(A41,BOOKINGS!$A:$Q,6,FALSE)*VLOOKUP(VLOOKUP(A41,BOOKINGS!$A:$Q,7,FALSE),SETUP_RATES!$A:$H,3,FALSE),VLOOKUP(VLOOKUP(A41,BOOKINGS!$A:$Q,7,FALSE),SETUP_RATES!$A:$H,2,FALSE)))</f>
        <v/>
      </c>
      <c r="C41" s="38" t="str">
        <f>IF(A41="","",VLOOKUP(A41,BOOKINGS!$A:$Q,10,FALSE)*VLOOKUP(VLOOKUP(A41,BOOKINGS!$A:$Q,7,FALSE),SETUP_RATES!$A:$H,6,FALSE))</f>
        <v/>
      </c>
      <c r="D41" s="38" t="str">
        <f>IF(A41="","",MAX(0,VLOOKUP(A41,TRIP_ACTUALS!$A:$O,8,FALSE)-SETUP_RATES!$K$2)*SETUP_RATES!$K$3)</f>
        <v/>
      </c>
      <c r="E41" s="38" t="str">
        <f>IF(A41="","",VLOOKUP(A41,TRIP_ACTUALS!$A:$O,9,FALSE)*VLOOKUP(VLOOKUP(A41,BOOKINGS!$A:$Q,7,FALSE),SETUP_RATES!$A:$H,5,FALSE))</f>
        <v/>
      </c>
      <c r="F41" s="38" t="str">
        <f>IF(A41="","",IFERROR(VLOOKUP(A41,TRIP_ACTUALS!$A:$O,5,FALSE),0))</f>
        <v/>
      </c>
      <c r="G41" s="38" t="str">
        <f>IF(A41="","",IFERROR(VLOOKUP(A41,TRIP_ACTUALS!$A:$O,6,FALSE),0)+IFERROR(VLOOKUP(A41,TRIP_ACTUALS!$A:$O,7,FALSE),0))</f>
        <v/>
      </c>
      <c r="H41" s="38" t="str">
        <f>IF(A41="","",IFERROR(VLOOKUP(VLOOKUP(A41,BOOKINGS!$A:$Q,7,FALSE),SETUP_RATES!$A:$H,8,FALSE),0))</f>
        <v/>
      </c>
      <c r="I41" s="38" t="str">
        <f t="shared" si="1"/>
        <v/>
      </c>
      <c r="J41" s="38" t="str">
        <f>IF(A41="","",IFERROR(VLOOKUP(A41,BOOKINGS!$A:$Q,13,FALSE),0))</f>
        <v/>
      </c>
      <c r="K41" s="38" t="str">
        <f t="shared" si="2"/>
        <v/>
      </c>
      <c r="L41" s="38" t="str">
        <f t="shared" si="3"/>
        <v/>
      </c>
    </row>
    <row r="42" ht="15.75" customHeight="1">
      <c r="A42" s="33" t="str">
        <f>IF(BOOKINGS!A42="","",BOOKINGS!A42)</f>
        <v/>
      </c>
      <c r="B42" s="38" t="str">
        <f>IF(A42="","",MAX(VLOOKUP(A42,BOOKINGS!$A:$Q,6,FALSE)*VLOOKUP(VLOOKUP(A42,BOOKINGS!$A:$Q,7,FALSE),SETUP_RATES!$A:$H,3,FALSE),VLOOKUP(VLOOKUP(A42,BOOKINGS!$A:$Q,7,FALSE),SETUP_RATES!$A:$H,2,FALSE)))</f>
        <v/>
      </c>
      <c r="C42" s="38" t="str">
        <f>IF(A42="","",VLOOKUP(A42,BOOKINGS!$A:$Q,10,FALSE)*VLOOKUP(VLOOKUP(A42,BOOKINGS!$A:$Q,7,FALSE),SETUP_RATES!$A:$H,6,FALSE))</f>
        <v/>
      </c>
      <c r="D42" s="38" t="str">
        <f>IF(A42="","",MAX(0,VLOOKUP(A42,TRIP_ACTUALS!$A:$O,8,FALSE)-SETUP_RATES!$K$2)*SETUP_RATES!$K$3)</f>
        <v/>
      </c>
      <c r="E42" s="38" t="str">
        <f>IF(A42="","",VLOOKUP(A42,TRIP_ACTUALS!$A:$O,9,FALSE)*VLOOKUP(VLOOKUP(A42,BOOKINGS!$A:$Q,7,FALSE),SETUP_RATES!$A:$H,5,FALSE))</f>
        <v/>
      </c>
      <c r="F42" s="38" t="str">
        <f>IF(A42="","",IFERROR(VLOOKUP(A42,TRIP_ACTUALS!$A:$O,5,FALSE),0))</f>
        <v/>
      </c>
      <c r="G42" s="38" t="str">
        <f>IF(A42="","",IFERROR(VLOOKUP(A42,TRIP_ACTUALS!$A:$O,6,FALSE),0)+IFERROR(VLOOKUP(A42,TRIP_ACTUALS!$A:$O,7,FALSE),0))</f>
        <v/>
      </c>
      <c r="H42" s="38" t="str">
        <f>IF(A42="","",IFERROR(VLOOKUP(VLOOKUP(A42,BOOKINGS!$A:$Q,7,FALSE),SETUP_RATES!$A:$H,8,FALSE),0))</f>
        <v/>
      </c>
      <c r="I42" s="38" t="str">
        <f t="shared" si="1"/>
        <v/>
      </c>
      <c r="J42" s="38" t="str">
        <f>IF(A42="","",IFERROR(VLOOKUP(A42,BOOKINGS!$A:$Q,13,FALSE),0))</f>
        <v/>
      </c>
      <c r="K42" s="38" t="str">
        <f t="shared" si="2"/>
        <v/>
      </c>
      <c r="L42" s="38" t="str">
        <f t="shared" si="3"/>
        <v/>
      </c>
    </row>
    <row r="43" ht="15.75" customHeight="1">
      <c r="A43" s="33" t="str">
        <f>IF(BOOKINGS!A43="","",BOOKINGS!A43)</f>
        <v/>
      </c>
      <c r="B43" s="38" t="str">
        <f>IF(A43="","",MAX(VLOOKUP(A43,BOOKINGS!$A:$Q,6,FALSE)*VLOOKUP(VLOOKUP(A43,BOOKINGS!$A:$Q,7,FALSE),SETUP_RATES!$A:$H,3,FALSE),VLOOKUP(VLOOKUP(A43,BOOKINGS!$A:$Q,7,FALSE),SETUP_RATES!$A:$H,2,FALSE)))</f>
        <v/>
      </c>
      <c r="C43" s="38" t="str">
        <f>IF(A43="","",VLOOKUP(A43,BOOKINGS!$A:$Q,10,FALSE)*VLOOKUP(VLOOKUP(A43,BOOKINGS!$A:$Q,7,FALSE),SETUP_RATES!$A:$H,6,FALSE))</f>
        <v/>
      </c>
      <c r="D43" s="38" t="str">
        <f>IF(A43="","",MAX(0,VLOOKUP(A43,TRIP_ACTUALS!$A:$O,8,FALSE)-SETUP_RATES!$K$2)*SETUP_RATES!$K$3)</f>
        <v/>
      </c>
      <c r="E43" s="38" t="str">
        <f>IF(A43="","",VLOOKUP(A43,TRIP_ACTUALS!$A:$O,9,FALSE)*VLOOKUP(VLOOKUP(A43,BOOKINGS!$A:$Q,7,FALSE),SETUP_RATES!$A:$H,5,FALSE))</f>
        <v/>
      </c>
      <c r="F43" s="38" t="str">
        <f>IF(A43="","",IFERROR(VLOOKUP(A43,TRIP_ACTUALS!$A:$O,5,FALSE),0))</f>
        <v/>
      </c>
      <c r="G43" s="38" t="str">
        <f>IF(A43="","",IFERROR(VLOOKUP(A43,TRIP_ACTUALS!$A:$O,6,FALSE),0)+IFERROR(VLOOKUP(A43,TRIP_ACTUALS!$A:$O,7,FALSE),0))</f>
        <v/>
      </c>
      <c r="H43" s="38" t="str">
        <f>IF(A43="","",IFERROR(VLOOKUP(VLOOKUP(A43,BOOKINGS!$A:$Q,7,FALSE),SETUP_RATES!$A:$H,8,FALSE),0))</f>
        <v/>
      </c>
      <c r="I43" s="38" t="str">
        <f t="shared" si="1"/>
        <v/>
      </c>
      <c r="J43" s="38" t="str">
        <f>IF(A43="","",IFERROR(VLOOKUP(A43,BOOKINGS!$A:$Q,13,FALSE),0))</f>
        <v/>
      </c>
      <c r="K43" s="38" t="str">
        <f t="shared" si="2"/>
        <v/>
      </c>
      <c r="L43" s="38" t="str">
        <f t="shared" si="3"/>
        <v/>
      </c>
    </row>
    <row r="44" ht="15.75" customHeight="1">
      <c r="A44" s="33" t="str">
        <f>IF(BOOKINGS!A44="","",BOOKINGS!A44)</f>
        <v/>
      </c>
      <c r="B44" s="38" t="str">
        <f>IF(A44="","",MAX(VLOOKUP(A44,BOOKINGS!$A:$Q,6,FALSE)*VLOOKUP(VLOOKUP(A44,BOOKINGS!$A:$Q,7,FALSE),SETUP_RATES!$A:$H,3,FALSE),VLOOKUP(VLOOKUP(A44,BOOKINGS!$A:$Q,7,FALSE),SETUP_RATES!$A:$H,2,FALSE)))</f>
        <v/>
      </c>
      <c r="C44" s="38" t="str">
        <f>IF(A44="","",VLOOKUP(A44,BOOKINGS!$A:$Q,10,FALSE)*VLOOKUP(VLOOKUP(A44,BOOKINGS!$A:$Q,7,FALSE),SETUP_RATES!$A:$H,6,FALSE))</f>
        <v/>
      </c>
      <c r="D44" s="38" t="str">
        <f>IF(A44="","",MAX(0,VLOOKUP(A44,TRIP_ACTUALS!$A:$O,8,FALSE)-SETUP_RATES!$K$2)*SETUP_RATES!$K$3)</f>
        <v/>
      </c>
      <c r="E44" s="38" t="str">
        <f>IF(A44="","",VLOOKUP(A44,TRIP_ACTUALS!$A:$O,9,FALSE)*VLOOKUP(VLOOKUP(A44,BOOKINGS!$A:$Q,7,FALSE),SETUP_RATES!$A:$H,5,FALSE))</f>
        <v/>
      </c>
      <c r="F44" s="38" t="str">
        <f>IF(A44="","",IFERROR(VLOOKUP(A44,TRIP_ACTUALS!$A:$O,5,FALSE),0))</f>
        <v/>
      </c>
      <c r="G44" s="38" t="str">
        <f>IF(A44="","",IFERROR(VLOOKUP(A44,TRIP_ACTUALS!$A:$O,6,FALSE),0)+IFERROR(VLOOKUP(A44,TRIP_ACTUALS!$A:$O,7,FALSE),0))</f>
        <v/>
      </c>
      <c r="H44" s="38" t="str">
        <f>IF(A44="","",IFERROR(VLOOKUP(VLOOKUP(A44,BOOKINGS!$A:$Q,7,FALSE),SETUP_RATES!$A:$H,8,FALSE),0))</f>
        <v/>
      </c>
      <c r="I44" s="38" t="str">
        <f t="shared" si="1"/>
        <v/>
      </c>
      <c r="J44" s="38" t="str">
        <f>IF(A44="","",IFERROR(VLOOKUP(A44,BOOKINGS!$A:$Q,13,FALSE),0))</f>
        <v/>
      </c>
      <c r="K44" s="38" t="str">
        <f t="shared" si="2"/>
        <v/>
      </c>
      <c r="L44" s="38" t="str">
        <f t="shared" si="3"/>
        <v/>
      </c>
    </row>
    <row r="45" ht="15.75" customHeight="1">
      <c r="A45" s="33" t="str">
        <f>IF(BOOKINGS!A45="","",BOOKINGS!A45)</f>
        <v/>
      </c>
      <c r="B45" s="38" t="str">
        <f>IF(A45="","",MAX(VLOOKUP(A45,BOOKINGS!$A:$Q,6,FALSE)*VLOOKUP(VLOOKUP(A45,BOOKINGS!$A:$Q,7,FALSE),SETUP_RATES!$A:$H,3,FALSE),VLOOKUP(VLOOKUP(A45,BOOKINGS!$A:$Q,7,FALSE),SETUP_RATES!$A:$H,2,FALSE)))</f>
        <v/>
      </c>
      <c r="C45" s="38" t="str">
        <f>IF(A45="","",VLOOKUP(A45,BOOKINGS!$A:$Q,10,FALSE)*VLOOKUP(VLOOKUP(A45,BOOKINGS!$A:$Q,7,FALSE),SETUP_RATES!$A:$H,6,FALSE))</f>
        <v/>
      </c>
      <c r="D45" s="38" t="str">
        <f>IF(A45="","",MAX(0,VLOOKUP(A45,TRIP_ACTUALS!$A:$O,8,FALSE)-SETUP_RATES!$K$2)*SETUP_RATES!$K$3)</f>
        <v/>
      </c>
      <c r="E45" s="38" t="str">
        <f>IF(A45="","",VLOOKUP(A45,TRIP_ACTUALS!$A:$O,9,FALSE)*VLOOKUP(VLOOKUP(A45,BOOKINGS!$A:$Q,7,FALSE),SETUP_RATES!$A:$H,5,FALSE))</f>
        <v/>
      </c>
      <c r="F45" s="38" t="str">
        <f>IF(A45="","",IFERROR(VLOOKUP(A45,TRIP_ACTUALS!$A:$O,5,FALSE),0))</f>
        <v/>
      </c>
      <c r="G45" s="38" t="str">
        <f>IF(A45="","",IFERROR(VLOOKUP(A45,TRIP_ACTUALS!$A:$O,6,FALSE),0)+IFERROR(VLOOKUP(A45,TRIP_ACTUALS!$A:$O,7,FALSE),0))</f>
        <v/>
      </c>
      <c r="H45" s="38" t="str">
        <f>IF(A45="","",IFERROR(VLOOKUP(VLOOKUP(A45,BOOKINGS!$A:$Q,7,FALSE),SETUP_RATES!$A:$H,8,FALSE),0))</f>
        <v/>
      </c>
      <c r="I45" s="38" t="str">
        <f t="shared" si="1"/>
        <v/>
      </c>
      <c r="J45" s="38" t="str">
        <f>IF(A45="","",IFERROR(VLOOKUP(A45,BOOKINGS!$A:$Q,13,FALSE),0))</f>
        <v/>
      </c>
      <c r="K45" s="38" t="str">
        <f t="shared" si="2"/>
        <v/>
      </c>
      <c r="L45" s="38" t="str">
        <f t="shared" si="3"/>
        <v/>
      </c>
    </row>
    <row r="46" ht="15.75" customHeight="1">
      <c r="A46" s="33" t="str">
        <f>IF(BOOKINGS!A46="","",BOOKINGS!A46)</f>
        <v/>
      </c>
      <c r="B46" s="38" t="str">
        <f>IF(A46="","",MAX(VLOOKUP(A46,BOOKINGS!$A:$Q,6,FALSE)*VLOOKUP(VLOOKUP(A46,BOOKINGS!$A:$Q,7,FALSE),SETUP_RATES!$A:$H,3,FALSE),VLOOKUP(VLOOKUP(A46,BOOKINGS!$A:$Q,7,FALSE),SETUP_RATES!$A:$H,2,FALSE)))</f>
        <v/>
      </c>
      <c r="C46" s="38" t="str">
        <f>IF(A46="","",VLOOKUP(A46,BOOKINGS!$A:$Q,10,FALSE)*VLOOKUP(VLOOKUP(A46,BOOKINGS!$A:$Q,7,FALSE),SETUP_RATES!$A:$H,6,FALSE))</f>
        <v/>
      </c>
      <c r="D46" s="38" t="str">
        <f>IF(A46="","",MAX(0,VLOOKUP(A46,TRIP_ACTUALS!$A:$O,8,FALSE)-SETUP_RATES!$K$2)*SETUP_RATES!$K$3)</f>
        <v/>
      </c>
      <c r="E46" s="38" t="str">
        <f>IF(A46="","",VLOOKUP(A46,TRIP_ACTUALS!$A:$O,9,FALSE)*VLOOKUP(VLOOKUP(A46,BOOKINGS!$A:$Q,7,FALSE),SETUP_RATES!$A:$H,5,FALSE))</f>
        <v/>
      </c>
      <c r="F46" s="38" t="str">
        <f>IF(A46="","",IFERROR(VLOOKUP(A46,TRIP_ACTUALS!$A:$O,5,FALSE),0))</f>
        <v/>
      </c>
      <c r="G46" s="38" t="str">
        <f>IF(A46="","",IFERROR(VLOOKUP(A46,TRIP_ACTUALS!$A:$O,6,FALSE),0)+IFERROR(VLOOKUP(A46,TRIP_ACTUALS!$A:$O,7,FALSE),0))</f>
        <v/>
      </c>
      <c r="H46" s="38" t="str">
        <f>IF(A46="","",IFERROR(VLOOKUP(VLOOKUP(A46,BOOKINGS!$A:$Q,7,FALSE),SETUP_RATES!$A:$H,8,FALSE),0))</f>
        <v/>
      </c>
      <c r="I46" s="38" t="str">
        <f t="shared" si="1"/>
        <v/>
      </c>
      <c r="J46" s="38" t="str">
        <f>IF(A46="","",IFERROR(VLOOKUP(A46,BOOKINGS!$A:$Q,13,FALSE),0))</f>
        <v/>
      </c>
      <c r="K46" s="38" t="str">
        <f t="shared" si="2"/>
        <v/>
      </c>
      <c r="L46" s="38" t="str">
        <f t="shared" si="3"/>
        <v/>
      </c>
    </row>
    <row r="47" ht="15.75" customHeight="1">
      <c r="A47" s="33" t="str">
        <f>IF(BOOKINGS!A47="","",BOOKINGS!A47)</f>
        <v/>
      </c>
      <c r="B47" s="38" t="str">
        <f>IF(A47="","",MAX(VLOOKUP(A47,BOOKINGS!$A:$Q,6,FALSE)*VLOOKUP(VLOOKUP(A47,BOOKINGS!$A:$Q,7,FALSE),SETUP_RATES!$A:$H,3,FALSE),VLOOKUP(VLOOKUP(A47,BOOKINGS!$A:$Q,7,FALSE),SETUP_RATES!$A:$H,2,FALSE)))</f>
        <v/>
      </c>
      <c r="C47" s="38" t="str">
        <f>IF(A47="","",VLOOKUP(A47,BOOKINGS!$A:$Q,10,FALSE)*VLOOKUP(VLOOKUP(A47,BOOKINGS!$A:$Q,7,FALSE),SETUP_RATES!$A:$H,6,FALSE))</f>
        <v/>
      </c>
      <c r="D47" s="38" t="str">
        <f>IF(A47="","",MAX(0,VLOOKUP(A47,TRIP_ACTUALS!$A:$O,8,FALSE)-SETUP_RATES!$K$2)*SETUP_RATES!$K$3)</f>
        <v/>
      </c>
      <c r="E47" s="38" t="str">
        <f>IF(A47="","",VLOOKUP(A47,TRIP_ACTUALS!$A:$O,9,FALSE)*VLOOKUP(VLOOKUP(A47,BOOKINGS!$A:$Q,7,FALSE),SETUP_RATES!$A:$H,5,FALSE))</f>
        <v/>
      </c>
      <c r="F47" s="38" t="str">
        <f>IF(A47="","",IFERROR(VLOOKUP(A47,TRIP_ACTUALS!$A:$O,5,FALSE),0))</f>
        <v/>
      </c>
      <c r="G47" s="38" t="str">
        <f>IF(A47="","",IFERROR(VLOOKUP(A47,TRIP_ACTUALS!$A:$O,6,FALSE),0)+IFERROR(VLOOKUP(A47,TRIP_ACTUALS!$A:$O,7,FALSE),0))</f>
        <v/>
      </c>
      <c r="H47" s="38" t="str">
        <f>IF(A47="","",IFERROR(VLOOKUP(VLOOKUP(A47,BOOKINGS!$A:$Q,7,FALSE),SETUP_RATES!$A:$H,8,FALSE),0))</f>
        <v/>
      </c>
      <c r="I47" s="38" t="str">
        <f t="shared" si="1"/>
        <v/>
      </c>
      <c r="J47" s="38" t="str">
        <f>IF(A47="","",IFERROR(VLOOKUP(A47,BOOKINGS!$A:$Q,13,FALSE),0))</f>
        <v/>
      </c>
      <c r="K47" s="38" t="str">
        <f t="shared" si="2"/>
        <v/>
      </c>
      <c r="L47" s="38" t="str">
        <f t="shared" si="3"/>
        <v/>
      </c>
    </row>
    <row r="48" ht="15.75" customHeight="1">
      <c r="A48" s="33" t="str">
        <f>IF(BOOKINGS!A48="","",BOOKINGS!A48)</f>
        <v/>
      </c>
      <c r="B48" s="38" t="str">
        <f>IF(A48="","",MAX(VLOOKUP(A48,BOOKINGS!$A:$Q,6,FALSE)*VLOOKUP(VLOOKUP(A48,BOOKINGS!$A:$Q,7,FALSE),SETUP_RATES!$A:$H,3,FALSE),VLOOKUP(VLOOKUP(A48,BOOKINGS!$A:$Q,7,FALSE),SETUP_RATES!$A:$H,2,FALSE)))</f>
        <v/>
      </c>
      <c r="C48" s="38" t="str">
        <f>IF(A48="","",VLOOKUP(A48,BOOKINGS!$A:$Q,10,FALSE)*VLOOKUP(VLOOKUP(A48,BOOKINGS!$A:$Q,7,FALSE),SETUP_RATES!$A:$H,6,FALSE))</f>
        <v/>
      </c>
      <c r="D48" s="38" t="str">
        <f>IF(A48="","",MAX(0,VLOOKUP(A48,TRIP_ACTUALS!$A:$O,8,FALSE)-SETUP_RATES!$K$2)*SETUP_RATES!$K$3)</f>
        <v/>
      </c>
      <c r="E48" s="38" t="str">
        <f>IF(A48="","",VLOOKUP(A48,TRIP_ACTUALS!$A:$O,9,FALSE)*VLOOKUP(VLOOKUP(A48,BOOKINGS!$A:$Q,7,FALSE),SETUP_RATES!$A:$H,5,FALSE))</f>
        <v/>
      </c>
      <c r="F48" s="38" t="str">
        <f>IF(A48="","",IFERROR(VLOOKUP(A48,TRIP_ACTUALS!$A:$O,5,FALSE),0))</f>
        <v/>
      </c>
      <c r="G48" s="38" t="str">
        <f>IF(A48="","",IFERROR(VLOOKUP(A48,TRIP_ACTUALS!$A:$O,6,FALSE),0)+IFERROR(VLOOKUP(A48,TRIP_ACTUALS!$A:$O,7,FALSE),0))</f>
        <v/>
      </c>
      <c r="H48" s="38" t="str">
        <f>IF(A48="","",IFERROR(VLOOKUP(VLOOKUP(A48,BOOKINGS!$A:$Q,7,FALSE),SETUP_RATES!$A:$H,8,FALSE),0))</f>
        <v/>
      </c>
      <c r="I48" s="38" t="str">
        <f t="shared" si="1"/>
        <v/>
      </c>
      <c r="J48" s="38" t="str">
        <f>IF(A48="","",IFERROR(VLOOKUP(A48,BOOKINGS!$A:$Q,13,FALSE),0))</f>
        <v/>
      </c>
      <c r="K48" s="38" t="str">
        <f t="shared" si="2"/>
        <v/>
      </c>
      <c r="L48" s="38" t="str">
        <f t="shared" si="3"/>
        <v/>
      </c>
    </row>
    <row r="49" ht="15.75" customHeight="1">
      <c r="A49" s="33" t="str">
        <f>IF(BOOKINGS!A49="","",BOOKINGS!A49)</f>
        <v/>
      </c>
      <c r="B49" s="38" t="str">
        <f>IF(A49="","",MAX(VLOOKUP(A49,BOOKINGS!$A:$Q,6,FALSE)*VLOOKUP(VLOOKUP(A49,BOOKINGS!$A:$Q,7,FALSE),SETUP_RATES!$A:$H,3,FALSE),VLOOKUP(VLOOKUP(A49,BOOKINGS!$A:$Q,7,FALSE),SETUP_RATES!$A:$H,2,FALSE)))</f>
        <v/>
      </c>
      <c r="C49" s="38" t="str">
        <f>IF(A49="","",VLOOKUP(A49,BOOKINGS!$A:$Q,10,FALSE)*VLOOKUP(VLOOKUP(A49,BOOKINGS!$A:$Q,7,FALSE),SETUP_RATES!$A:$H,6,FALSE))</f>
        <v/>
      </c>
      <c r="D49" s="38" t="str">
        <f>IF(A49="","",MAX(0,VLOOKUP(A49,TRIP_ACTUALS!$A:$O,8,FALSE)-SETUP_RATES!$K$2)*SETUP_RATES!$K$3)</f>
        <v/>
      </c>
      <c r="E49" s="38" t="str">
        <f>IF(A49="","",VLOOKUP(A49,TRIP_ACTUALS!$A:$O,9,FALSE)*VLOOKUP(VLOOKUP(A49,BOOKINGS!$A:$Q,7,FALSE),SETUP_RATES!$A:$H,5,FALSE))</f>
        <v/>
      </c>
      <c r="F49" s="38" t="str">
        <f>IF(A49="","",IFERROR(VLOOKUP(A49,TRIP_ACTUALS!$A:$O,5,FALSE),0))</f>
        <v/>
      </c>
      <c r="G49" s="38" t="str">
        <f>IF(A49="","",IFERROR(VLOOKUP(A49,TRIP_ACTUALS!$A:$O,6,FALSE),0)+IFERROR(VLOOKUP(A49,TRIP_ACTUALS!$A:$O,7,FALSE),0))</f>
        <v/>
      </c>
      <c r="H49" s="38" t="str">
        <f>IF(A49="","",IFERROR(VLOOKUP(VLOOKUP(A49,BOOKINGS!$A:$Q,7,FALSE),SETUP_RATES!$A:$H,8,FALSE),0))</f>
        <v/>
      </c>
      <c r="I49" s="38" t="str">
        <f t="shared" si="1"/>
        <v/>
      </c>
      <c r="J49" s="38" t="str">
        <f>IF(A49="","",IFERROR(VLOOKUP(A49,BOOKINGS!$A:$Q,13,FALSE),0))</f>
        <v/>
      </c>
      <c r="K49" s="38" t="str">
        <f t="shared" si="2"/>
        <v/>
      </c>
      <c r="L49" s="38" t="str">
        <f t="shared" si="3"/>
        <v/>
      </c>
    </row>
    <row r="50" ht="15.75" customHeight="1">
      <c r="A50" s="33" t="str">
        <f>IF(BOOKINGS!A50="","",BOOKINGS!A50)</f>
        <v/>
      </c>
      <c r="B50" s="38" t="str">
        <f>IF(A50="","",MAX(VLOOKUP(A50,BOOKINGS!$A:$Q,6,FALSE)*VLOOKUP(VLOOKUP(A50,BOOKINGS!$A:$Q,7,FALSE),SETUP_RATES!$A:$H,3,FALSE),VLOOKUP(VLOOKUP(A50,BOOKINGS!$A:$Q,7,FALSE),SETUP_RATES!$A:$H,2,FALSE)))</f>
        <v/>
      </c>
      <c r="C50" s="38" t="str">
        <f>IF(A50="","",VLOOKUP(A50,BOOKINGS!$A:$Q,10,FALSE)*VLOOKUP(VLOOKUP(A50,BOOKINGS!$A:$Q,7,FALSE),SETUP_RATES!$A:$H,6,FALSE))</f>
        <v/>
      </c>
      <c r="D50" s="38" t="str">
        <f>IF(A50="","",MAX(0,VLOOKUP(A50,TRIP_ACTUALS!$A:$O,8,FALSE)-SETUP_RATES!$K$2)*SETUP_RATES!$K$3)</f>
        <v/>
      </c>
      <c r="E50" s="38" t="str">
        <f>IF(A50="","",VLOOKUP(A50,TRIP_ACTUALS!$A:$O,9,FALSE)*VLOOKUP(VLOOKUP(A50,BOOKINGS!$A:$Q,7,FALSE),SETUP_RATES!$A:$H,5,FALSE))</f>
        <v/>
      </c>
      <c r="F50" s="38" t="str">
        <f>IF(A50="","",IFERROR(VLOOKUP(A50,TRIP_ACTUALS!$A:$O,5,FALSE),0))</f>
        <v/>
      </c>
      <c r="G50" s="38" t="str">
        <f>IF(A50="","",IFERROR(VLOOKUP(A50,TRIP_ACTUALS!$A:$O,6,FALSE),0)+IFERROR(VLOOKUP(A50,TRIP_ACTUALS!$A:$O,7,FALSE),0))</f>
        <v/>
      </c>
      <c r="H50" s="38" t="str">
        <f>IF(A50="","",IFERROR(VLOOKUP(VLOOKUP(A50,BOOKINGS!$A:$Q,7,FALSE),SETUP_RATES!$A:$H,8,FALSE),0))</f>
        <v/>
      </c>
      <c r="I50" s="38" t="str">
        <f t="shared" si="1"/>
        <v/>
      </c>
      <c r="J50" s="38" t="str">
        <f>IF(A50="","",IFERROR(VLOOKUP(A50,BOOKINGS!$A:$Q,13,FALSE),0))</f>
        <v/>
      </c>
      <c r="K50" s="38" t="str">
        <f t="shared" si="2"/>
        <v/>
      </c>
      <c r="L50" s="38" t="str">
        <f t="shared" si="3"/>
        <v/>
      </c>
    </row>
    <row r="51" ht="15.75" customHeight="1">
      <c r="A51" s="33" t="str">
        <f>IF(BOOKINGS!A51="","",BOOKINGS!A51)</f>
        <v/>
      </c>
      <c r="B51" s="38" t="str">
        <f>IF(A51="","",MAX(VLOOKUP(A51,BOOKINGS!$A:$Q,6,FALSE)*VLOOKUP(VLOOKUP(A51,BOOKINGS!$A:$Q,7,FALSE),SETUP_RATES!$A:$H,3,FALSE),VLOOKUP(VLOOKUP(A51,BOOKINGS!$A:$Q,7,FALSE),SETUP_RATES!$A:$H,2,FALSE)))</f>
        <v/>
      </c>
      <c r="C51" s="38" t="str">
        <f>IF(A51="","",VLOOKUP(A51,BOOKINGS!$A:$Q,10,FALSE)*VLOOKUP(VLOOKUP(A51,BOOKINGS!$A:$Q,7,FALSE),SETUP_RATES!$A:$H,6,FALSE))</f>
        <v/>
      </c>
      <c r="D51" s="38" t="str">
        <f>IF(A51="","",MAX(0,VLOOKUP(A51,TRIP_ACTUALS!$A:$O,8,FALSE)-SETUP_RATES!$K$2)*SETUP_RATES!$K$3)</f>
        <v/>
      </c>
      <c r="E51" s="38" t="str">
        <f>IF(A51="","",VLOOKUP(A51,TRIP_ACTUALS!$A:$O,9,FALSE)*VLOOKUP(VLOOKUP(A51,BOOKINGS!$A:$Q,7,FALSE),SETUP_RATES!$A:$H,5,FALSE))</f>
        <v/>
      </c>
      <c r="F51" s="38" t="str">
        <f>IF(A51="","",IFERROR(VLOOKUP(A51,TRIP_ACTUALS!$A:$O,5,FALSE),0))</f>
        <v/>
      </c>
      <c r="G51" s="38" t="str">
        <f>IF(A51="","",IFERROR(VLOOKUP(A51,TRIP_ACTUALS!$A:$O,6,FALSE),0)+IFERROR(VLOOKUP(A51,TRIP_ACTUALS!$A:$O,7,FALSE),0))</f>
        <v/>
      </c>
      <c r="H51" s="38" t="str">
        <f>IF(A51="","",IFERROR(VLOOKUP(VLOOKUP(A51,BOOKINGS!$A:$Q,7,FALSE),SETUP_RATES!$A:$H,8,FALSE),0))</f>
        <v/>
      </c>
      <c r="I51" s="38" t="str">
        <f t="shared" si="1"/>
        <v/>
      </c>
      <c r="J51" s="38" t="str">
        <f>IF(A51="","",IFERROR(VLOOKUP(A51,BOOKINGS!$A:$Q,13,FALSE),0))</f>
        <v/>
      </c>
      <c r="K51" s="38" t="str">
        <f t="shared" si="2"/>
        <v/>
      </c>
      <c r="L51" s="38" t="str">
        <f t="shared" si="3"/>
        <v/>
      </c>
    </row>
    <row r="52" ht="15.75" customHeight="1">
      <c r="A52" s="33" t="str">
        <f>IF(BOOKINGS!A52="","",BOOKINGS!A52)</f>
        <v/>
      </c>
      <c r="B52" s="38" t="str">
        <f>IF(A52="","",MAX(VLOOKUP(A52,BOOKINGS!$A:$Q,6,FALSE)*VLOOKUP(VLOOKUP(A52,BOOKINGS!$A:$Q,7,FALSE),SETUP_RATES!$A:$H,3,FALSE),VLOOKUP(VLOOKUP(A52,BOOKINGS!$A:$Q,7,FALSE),SETUP_RATES!$A:$H,2,FALSE)))</f>
        <v/>
      </c>
      <c r="C52" s="38" t="str">
        <f>IF(A52="","",VLOOKUP(A52,BOOKINGS!$A:$Q,10,FALSE)*VLOOKUP(VLOOKUP(A52,BOOKINGS!$A:$Q,7,FALSE),SETUP_RATES!$A:$H,6,FALSE))</f>
        <v/>
      </c>
      <c r="D52" s="38" t="str">
        <f>IF(A52="","",MAX(0,VLOOKUP(A52,TRIP_ACTUALS!$A:$O,8,FALSE)-SETUP_RATES!$K$2)*SETUP_RATES!$K$3)</f>
        <v/>
      </c>
      <c r="E52" s="38" t="str">
        <f>IF(A52="","",VLOOKUP(A52,TRIP_ACTUALS!$A:$O,9,FALSE)*VLOOKUP(VLOOKUP(A52,BOOKINGS!$A:$Q,7,FALSE),SETUP_RATES!$A:$H,5,FALSE))</f>
        <v/>
      </c>
      <c r="F52" s="38" t="str">
        <f>IF(A52="","",IFERROR(VLOOKUP(A52,TRIP_ACTUALS!$A:$O,5,FALSE),0))</f>
        <v/>
      </c>
      <c r="G52" s="38" t="str">
        <f>IF(A52="","",IFERROR(VLOOKUP(A52,TRIP_ACTUALS!$A:$O,6,FALSE),0)+IFERROR(VLOOKUP(A52,TRIP_ACTUALS!$A:$O,7,FALSE),0))</f>
        <v/>
      </c>
      <c r="H52" s="38" t="str">
        <f>IF(A52="","",IFERROR(VLOOKUP(VLOOKUP(A52,BOOKINGS!$A:$Q,7,FALSE),SETUP_RATES!$A:$H,8,FALSE),0))</f>
        <v/>
      </c>
      <c r="I52" s="38" t="str">
        <f t="shared" si="1"/>
        <v/>
      </c>
      <c r="J52" s="38" t="str">
        <f>IF(A52="","",IFERROR(VLOOKUP(A52,BOOKINGS!$A:$Q,13,FALSE),0))</f>
        <v/>
      </c>
      <c r="K52" s="38" t="str">
        <f t="shared" si="2"/>
        <v/>
      </c>
      <c r="L52" s="38" t="str">
        <f t="shared" si="3"/>
        <v/>
      </c>
    </row>
    <row r="53" ht="15.75" customHeight="1">
      <c r="A53" s="33" t="str">
        <f>IF(BOOKINGS!A53="","",BOOKINGS!A53)</f>
        <v/>
      </c>
      <c r="B53" s="38" t="str">
        <f>IF(A53="","",MAX(VLOOKUP(A53,BOOKINGS!$A:$Q,6,FALSE)*VLOOKUP(VLOOKUP(A53,BOOKINGS!$A:$Q,7,FALSE),SETUP_RATES!$A:$H,3,FALSE),VLOOKUP(VLOOKUP(A53,BOOKINGS!$A:$Q,7,FALSE),SETUP_RATES!$A:$H,2,FALSE)))</f>
        <v/>
      </c>
      <c r="C53" s="38" t="str">
        <f>IF(A53="","",VLOOKUP(A53,BOOKINGS!$A:$Q,10,FALSE)*VLOOKUP(VLOOKUP(A53,BOOKINGS!$A:$Q,7,FALSE),SETUP_RATES!$A:$H,6,FALSE))</f>
        <v/>
      </c>
      <c r="D53" s="38" t="str">
        <f>IF(A53="","",MAX(0,VLOOKUP(A53,TRIP_ACTUALS!$A:$O,8,FALSE)-SETUP_RATES!$K$2)*SETUP_RATES!$K$3)</f>
        <v/>
      </c>
      <c r="E53" s="38" t="str">
        <f>IF(A53="","",VLOOKUP(A53,TRIP_ACTUALS!$A:$O,9,FALSE)*VLOOKUP(VLOOKUP(A53,BOOKINGS!$A:$Q,7,FALSE),SETUP_RATES!$A:$H,5,FALSE))</f>
        <v/>
      </c>
      <c r="F53" s="38" t="str">
        <f>IF(A53="","",IFERROR(VLOOKUP(A53,TRIP_ACTUALS!$A:$O,5,FALSE),0))</f>
        <v/>
      </c>
      <c r="G53" s="38" t="str">
        <f>IF(A53="","",IFERROR(VLOOKUP(A53,TRIP_ACTUALS!$A:$O,6,FALSE),0)+IFERROR(VLOOKUP(A53,TRIP_ACTUALS!$A:$O,7,FALSE),0))</f>
        <v/>
      </c>
      <c r="H53" s="38" t="str">
        <f>IF(A53="","",IFERROR(VLOOKUP(VLOOKUP(A53,BOOKINGS!$A:$Q,7,FALSE),SETUP_RATES!$A:$H,8,FALSE),0))</f>
        <v/>
      </c>
      <c r="I53" s="38" t="str">
        <f t="shared" si="1"/>
        <v/>
      </c>
      <c r="J53" s="38" t="str">
        <f>IF(A53="","",IFERROR(VLOOKUP(A53,BOOKINGS!$A:$Q,13,FALSE),0))</f>
        <v/>
      </c>
      <c r="K53" s="38" t="str">
        <f t="shared" si="2"/>
        <v/>
      </c>
      <c r="L53" s="38" t="str">
        <f t="shared" si="3"/>
        <v/>
      </c>
    </row>
    <row r="54" ht="15.75" customHeight="1">
      <c r="A54" s="33" t="str">
        <f>IF(BOOKINGS!A54="","",BOOKINGS!A54)</f>
        <v/>
      </c>
      <c r="B54" s="38" t="str">
        <f>IF(A54="","",MAX(VLOOKUP(A54,BOOKINGS!$A:$Q,6,FALSE)*VLOOKUP(VLOOKUP(A54,BOOKINGS!$A:$Q,7,FALSE),SETUP_RATES!$A:$H,3,FALSE),VLOOKUP(VLOOKUP(A54,BOOKINGS!$A:$Q,7,FALSE),SETUP_RATES!$A:$H,2,FALSE)))</f>
        <v/>
      </c>
      <c r="C54" s="38" t="str">
        <f>IF(A54="","",VLOOKUP(A54,BOOKINGS!$A:$Q,10,FALSE)*VLOOKUP(VLOOKUP(A54,BOOKINGS!$A:$Q,7,FALSE),SETUP_RATES!$A:$H,6,FALSE))</f>
        <v/>
      </c>
      <c r="D54" s="38" t="str">
        <f>IF(A54="","",MAX(0,VLOOKUP(A54,TRIP_ACTUALS!$A:$O,8,FALSE)-SETUP_RATES!$K$2)*SETUP_RATES!$K$3)</f>
        <v/>
      </c>
      <c r="E54" s="38" t="str">
        <f>IF(A54="","",VLOOKUP(A54,TRIP_ACTUALS!$A:$O,9,FALSE)*VLOOKUP(VLOOKUP(A54,BOOKINGS!$A:$Q,7,FALSE),SETUP_RATES!$A:$H,5,FALSE))</f>
        <v/>
      </c>
      <c r="F54" s="38" t="str">
        <f>IF(A54="","",IFERROR(VLOOKUP(A54,TRIP_ACTUALS!$A:$O,5,FALSE),0))</f>
        <v/>
      </c>
      <c r="G54" s="38" t="str">
        <f>IF(A54="","",IFERROR(VLOOKUP(A54,TRIP_ACTUALS!$A:$O,6,FALSE),0)+IFERROR(VLOOKUP(A54,TRIP_ACTUALS!$A:$O,7,FALSE),0))</f>
        <v/>
      </c>
      <c r="H54" s="38" t="str">
        <f>IF(A54="","",IFERROR(VLOOKUP(VLOOKUP(A54,BOOKINGS!$A:$Q,7,FALSE),SETUP_RATES!$A:$H,8,FALSE),0))</f>
        <v/>
      </c>
      <c r="I54" s="38" t="str">
        <f t="shared" si="1"/>
        <v/>
      </c>
      <c r="J54" s="38" t="str">
        <f>IF(A54="","",IFERROR(VLOOKUP(A54,BOOKINGS!$A:$Q,13,FALSE),0))</f>
        <v/>
      </c>
      <c r="K54" s="38" t="str">
        <f t="shared" si="2"/>
        <v/>
      </c>
      <c r="L54" s="38" t="str">
        <f t="shared" si="3"/>
        <v/>
      </c>
    </row>
    <row r="55" ht="15.75" customHeight="1">
      <c r="A55" s="33" t="str">
        <f>IF(BOOKINGS!A55="","",BOOKINGS!A55)</f>
        <v/>
      </c>
      <c r="B55" s="38" t="str">
        <f>IF(A55="","",MAX(VLOOKUP(A55,BOOKINGS!$A:$Q,6,FALSE)*VLOOKUP(VLOOKUP(A55,BOOKINGS!$A:$Q,7,FALSE),SETUP_RATES!$A:$H,3,FALSE),VLOOKUP(VLOOKUP(A55,BOOKINGS!$A:$Q,7,FALSE),SETUP_RATES!$A:$H,2,FALSE)))</f>
        <v/>
      </c>
      <c r="C55" s="38" t="str">
        <f>IF(A55="","",VLOOKUP(A55,BOOKINGS!$A:$Q,10,FALSE)*VLOOKUP(VLOOKUP(A55,BOOKINGS!$A:$Q,7,FALSE),SETUP_RATES!$A:$H,6,FALSE))</f>
        <v/>
      </c>
      <c r="D55" s="38" t="str">
        <f>IF(A55="","",MAX(0,VLOOKUP(A55,TRIP_ACTUALS!$A:$O,8,FALSE)-SETUP_RATES!$K$2)*SETUP_RATES!$K$3)</f>
        <v/>
      </c>
      <c r="E55" s="38" t="str">
        <f>IF(A55="","",VLOOKUP(A55,TRIP_ACTUALS!$A:$O,9,FALSE)*VLOOKUP(VLOOKUP(A55,BOOKINGS!$A:$Q,7,FALSE),SETUP_RATES!$A:$H,5,FALSE))</f>
        <v/>
      </c>
      <c r="F55" s="38" t="str">
        <f>IF(A55="","",IFERROR(VLOOKUP(A55,TRIP_ACTUALS!$A:$O,5,FALSE),0))</f>
        <v/>
      </c>
      <c r="G55" s="38" t="str">
        <f>IF(A55="","",IFERROR(VLOOKUP(A55,TRIP_ACTUALS!$A:$O,6,FALSE),0)+IFERROR(VLOOKUP(A55,TRIP_ACTUALS!$A:$O,7,FALSE),0))</f>
        <v/>
      </c>
      <c r="H55" s="38" t="str">
        <f>IF(A55="","",IFERROR(VLOOKUP(VLOOKUP(A55,BOOKINGS!$A:$Q,7,FALSE),SETUP_RATES!$A:$H,8,FALSE),0))</f>
        <v/>
      </c>
      <c r="I55" s="38" t="str">
        <f t="shared" si="1"/>
        <v/>
      </c>
      <c r="J55" s="38" t="str">
        <f>IF(A55="","",IFERROR(VLOOKUP(A55,BOOKINGS!$A:$Q,13,FALSE),0))</f>
        <v/>
      </c>
      <c r="K55" s="38" t="str">
        <f t="shared" si="2"/>
        <v/>
      </c>
      <c r="L55" s="38" t="str">
        <f t="shared" si="3"/>
        <v/>
      </c>
    </row>
    <row r="56" ht="15.75" customHeight="1">
      <c r="A56" s="33" t="str">
        <f>IF(BOOKINGS!A56="","",BOOKINGS!A56)</f>
        <v/>
      </c>
      <c r="B56" s="38" t="str">
        <f>IF(A56="","",MAX(VLOOKUP(A56,BOOKINGS!$A:$Q,6,FALSE)*VLOOKUP(VLOOKUP(A56,BOOKINGS!$A:$Q,7,FALSE),SETUP_RATES!$A:$H,3,FALSE),VLOOKUP(VLOOKUP(A56,BOOKINGS!$A:$Q,7,FALSE),SETUP_RATES!$A:$H,2,FALSE)))</f>
        <v/>
      </c>
      <c r="C56" s="38" t="str">
        <f>IF(A56="","",VLOOKUP(A56,BOOKINGS!$A:$Q,10,FALSE)*VLOOKUP(VLOOKUP(A56,BOOKINGS!$A:$Q,7,FALSE),SETUP_RATES!$A:$H,6,FALSE))</f>
        <v/>
      </c>
      <c r="D56" s="38" t="str">
        <f>IF(A56="","",MAX(0,VLOOKUP(A56,TRIP_ACTUALS!$A:$O,8,FALSE)-SETUP_RATES!$K$2)*SETUP_RATES!$K$3)</f>
        <v/>
      </c>
      <c r="E56" s="38" t="str">
        <f>IF(A56="","",VLOOKUP(A56,TRIP_ACTUALS!$A:$O,9,FALSE)*VLOOKUP(VLOOKUP(A56,BOOKINGS!$A:$Q,7,FALSE),SETUP_RATES!$A:$H,5,FALSE))</f>
        <v/>
      </c>
      <c r="F56" s="38" t="str">
        <f>IF(A56="","",IFERROR(VLOOKUP(A56,TRIP_ACTUALS!$A:$O,5,FALSE),0))</f>
        <v/>
      </c>
      <c r="G56" s="38" t="str">
        <f>IF(A56="","",IFERROR(VLOOKUP(A56,TRIP_ACTUALS!$A:$O,6,FALSE),0)+IFERROR(VLOOKUP(A56,TRIP_ACTUALS!$A:$O,7,FALSE),0))</f>
        <v/>
      </c>
      <c r="H56" s="38" t="str">
        <f>IF(A56="","",IFERROR(VLOOKUP(VLOOKUP(A56,BOOKINGS!$A:$Q,7,FALSE),SETUP_RATES!$A:$H,8,FALSE),0))</f>
        <v/>
      </c>
      <c r="I56" s="38" t="str">
        <f t="shared" si="1"/>
        <v/>
      </c>
      <c r="J56" s="38" t="str">
        <f>IF(A56="","",IFERROR(VLOOKUP(A56,BOOKINGS!$A:$Q,13,FALSE),0))</f>
        <v/>
      </c>
      <c r="K56" s="38" t="str">
        <f t="shared" si="2"/>
        <v/>
      </c>
      <c r="L56" s="38" t="str">
        <f t="shared" si="3"/>
        <v/>
      </c>
    </row>
    <row r="57" ht="15.75" customHeight="1">
      <c r="A57" s="33" t="str">
        <f>IF(BOOKINGS!A57="","",BOOKINGS!A57)</f>
        <v/>
      </c>
      <c r="B57" s="38" t="str">
        <f>IF(A57="","",MAX(VLOOKUP(A57,BOOKINGS!$A:$Q,6,FALSE)*VLOOKUP(VLOOKUP(A57,BOOKINGS!$A:$Q,7,FALSE),SETUP_RATES!$A:$H,3,FALSE),VLOOKUP(VLOOKUP(A57,BOOKINGS!$A:$Q,7,FALSE),SETUP_RATES!$A:$H,2,FALSE)))</f>
        <v/>
      </c>
      <c r="C57" s="38" t="str">
        <f>IF(A57="","",VLOOKUP(A57,BOOKINGS!$A:$Q,10,FALSE)*VLOOKUP(VLOOKUP(A57,BOOKINGS!$A:$Q,7,FALSE),SETUP_RATES!$A:$H,6,FALSE))</f>
        <v/>
      </c>
      <c r="D57" s="38" t="str">
        <f>IF(A57="","",MAX(0,VLOOKUP(A57,TRIP_ACTUALS!$A:$O,8,FALSE)-SETUP_RATES!$K$2)*SETUP_RATES!$K$3)</f>
        <v/>
      </c>
      <c r="E57" s="38" t="str">
        <f>IF(A57="","",VLOOKUP(A57,TRIP_ACTUALS!$A:$O,9,FALSE)*VLOOKUP(VLOOKUP(A57,BOOKINGS!$A:$Q,7,FALSE),SETUP_RATES!$A:$H,5,FALSE))</f>
        <v/>
      </c>
      <c r="F57" s="38" t="str">
        <f>IF(A57="","",IFERROR(VLOOKUP(A57,TRIP_ACTUALS!$A:$O,5,FALSE),0))</f>
        <v/>
      </c>
      <c r="G57" s="38" t="str">
        <f>IF(A57="","",IFERROR(VLOOKUP(A57,TRIP_ACTUALS!$A:$O,6,FALSE),0)+IFERROR(VLOOKUP(A57,TRIP_ACTUALS!$A:$O,7,FALSE),0))</f>
        <v/>
      </c>
      <c r="H57" s="38" t="str">
        <f>IF(A57="","",IFERROR(VLOOKUP(VLOOKUP(A57,BOOKINGS!$A:$Q,7,FALSE),SETUP_RATES!$A:$H,8,FALSE),0))</f>
        <v/>
      </c>
      <c r="I57" s="38" t="str">
        <f t="shared" si="1"/>
        <v/>
      </c>
      <c r="J57" s="38" t="str">
        <f>IF(A57="","",IFERROR(VLOOKUP(A57,BOOKINGS!$A:$Q,13,FALSE),0))</f>
        <v/>
      </c>
      <c r="K57" s="38" t="str">
        <f t="shared" si="2"/>
        <v/>
      </c>
      <c r="L57" s="38" t="str">
        <f t="shared" si="3"/>
        <v/>
      </c>
    </row>
    <row r="58" ht="15.75" customHeight="1">
      <c r="A58" s="33" t="str">
        <f>IF(BOOKINGS!A58="","",BOOKINGS!A58)</f>
        <v/>
      </c>
      <c r="B58" s="38" t="str">
        <f>IF(A58="","",MAX(VLOOKUP(A58,BOOKINGS!$A:$Q,6,FALSE)*VLOOKUP(VLOOKUP(A58,BOOKINGS!$A:$Q,7,FALSE),SETUP_RATES!$A:$H,3,FALSE),VLOOKUP(VLOOKUP(A58,BOOKINGS!$A:$Q,7,FALSE),SETUP_RATES!$A:$H,2,FALSE)))</f>
        <v/>
      </c>
      <c r="C58" s="38" t="str">
        <f>IF(A58="","",VLOOKUP(A58,BOOKINGS!$A:$Q,10,FALSE)*VLOOKUP(VLOOKUP(A58,BOOKINGS!$A:$Q,7,FALSE),SETUP_RATES!$A:$H,6,FALSE))</f>
        <v/>
      </c>
      <c r="D58" s="38" t="str">
        <f>IF(A58="","",MAX(0,VLOOKUP(A58,TRIP_ACTUALS!$A:$O,8,FALSE)-SETUP_RATES!$K$2)*SETUP_RATES!$K$3)</f>
        <v/>
      </c>
      <c r="E58" s="38" t="str">
        <f>IF(A58="","",VLOOKUP(A58,TRIP_ACTUALS!$A:$O,9,FALSE)*VLOOKUP(VLOOKUP(A58,BOOKINGS!$A:$Q,7,FALSE),SETUP_RATES!$A:$H,5,FALSE))</f>
        <v/>
      </c>
      <c r="F58" s="38" t="str">
        <f>IF(A58="","",IFERROR(VLOOKUP(A58,TRIP_ACTUALS!$A:$O,5,FALSE),0))</f>
        <v/>
      </c>
      <c r="G58" s="38" t="str">
        <f>IF(A58="","",IFERROR(VLOOKUP(A58,TRIP_ACTUALS!$A:$O,6,FALSE),0)+IFERROR(VLOOKUP(A58,TRIP_ACTUALS!$A:$O,7,FALSE),0))</f>
        <v/>
      </c>
      <c r="H58" s="38" t="str">
        <f>IF(A58="","",IFERROR(VLOOKUP(VLOOKUP(A58,BOOKINGS!$A:$Q,7,FALSE),SETUP_RATES!$A:$H,8,FALSE),0))</f>
        <v/>
      </c>
      <c r="I58" s="38" t="str">
        <f t="shared" si="1"/>
        <v/>
      </c>
      <c r="J58" s="38" t="str">
        <f>IF(A58="","",IFERROR(VLOOKUP(A58,BOOKINGS!$A:$Q,13,FALSE),0))</f>
        <v/>
      </c>
      <c r="K58" s="38" t="str">
        <f t="shared" si="2"/>
        <v/>
      </c>
      <c r="L58" s="38" t="str">
        <f t="shared" si="3"/>
        <v/>
      </c>
    </row>
    <row r="59" ht="15.75" customHeight="1">
      <c r="A59" s="33" t="str">
        <f>IF(BOOKINGS!A59="","",BOOKINGS!A59)</f>
        <v/>
      </c>
      <c r="B59" s="38" t="str">
        <f>IF(A59="","",MAX(VLOOKUP(A59,BOOKINGS!$A:$Q,6,FALSE)*VLOOKUP(VLOOKUP(A59,BOOKINGS!$A:$Q,7,FALSE),SETUP_RATES!$A:$H,3,FALSE),VLOOKUP(VLOOKUP(A59,BOOKINGS!$A:$Q,7,FALSE),SETUP_RATES!$A:$H,2,FALSE)))</f>
        <v/>
      </c>
      <c r="C59" s="38" t="str">
        <f>IF(A59="","",VLOOKUP(A59,BOOKINGS!$A:$Q,10,FALSE)*VLOOKUP(VLOOKUP(A59,BOOKINGS!$A:$Q,7,FALSE),SETUP_RATES!$A:$H,6,FALSE))</f>
        <v/>
      </c>
      <c r="D59" s="38" t="str">
        <f>IF(A59="","",MAX(0,VLOOKUP(A59,TRIP_ACTUALS!$A:$O,8,FALSE)-SETUP_RATES!$K$2)*SETUP_RATES!$K$3)</f>
        <v/>
      </c>
      <c r="E59" s="38" t="str">
        <f>IF(A59="","",VLOOKUP(A59,TRIP_ACTUALS!$A:$O,9,FALSE)*VLOOKUP(VLOOKUP(A59,BOOKINGS!$A:$Q,7,FALSE),SETUP_RATES!$A:$H,5,FALSE))</f>
        <v/>
      </c>
      <c r="F59" s="38" t="str">
        <f>IF(A59="","",IFERROR(VLOOKUP(A59,TRIP_ACTUALS!$A:$O,5,FALSE),0))</f>
        <v/>
      </c>
      <c r="G59" s="38" t="str">
        <f>IF(A59="","",IFERROR(VLOOKUP(A59,TRIP_ACTUALS!$A:$O,6,FALSE),0)+IFERROR(VLOOKUP(A59,TRIP_ACTUALS!$A:$O,7,FALSE),0))</f>
        <v/>
      </c>
      <c r="H59" s="38" t="str">
        <f>IF(A59="","",IFERROR(VLOOKUP(VLOOKUP(A59,BOOKINGS!$A:$Q,7,FALSE),SETUP_RATES!$A:$H,8,FALSE),0))</f>
        <v/>
      </c>
      <c r="I59" s="38" t="str">
        <f t="shared" si="1"/>
        <v/>
      </c>
      <c r="J59" s="38" t="str">
        <f>IF(A59="","",IFERROR(VLOOKUP(A59,BOOKINGS!$A:$Q,13,FALSE),0))</f>
        <v/>
      </c>
      <c r="K59" s="38" t="str">
        <f t="shared" si="2"/>
        <v/>
      </c>
      <c r="L59" s="38" t="str">
        <f t="shared" si="3"/>
        <v/>
      </c>
    </row>
    <row r="60" ht="15.75" customHeight="1">
      <c r="A60" s="33" t="str">
        <f>IF(BOOKINGS!A60="","",BOOKINGS!A60)</f>
        <v/>
      </c>
      <c r="B60" s="38" t="str">
        <f>IF(A60="","",MAX(VLOOKUP(A60,BOOKINGS!$A:$Q,6,FALSE)*VLOOKUP(VLOOKUP(A60,BOOKINGS!$A:$Q,7,FALSE),SETUP_RATES!$A:$H,3,FALSE),VLOOKUP(VLOOKUP(A60,BOOKINGS!$A:$Q,7,FALSE),SETUP_RATES!$A:$H,2,FALSE)))</f>
        <v/>
      </c>
      <c r="C60" s="38" t="str">
        <f>IF(A60="","",VLOOKUP(A60,BOOKINGS!$A:$Q,10,FALSE)*VLOOKUP(VLOOKUP(A60,BOOKINGS!$A:$Q,7,FALSE),SETUP_RATES!$A:$H,6,FALSE))</f>
        <v/>
      </c>
      <c r="D60" s="38" t="str">
        <f>IF(A60="","",MAX(0,VLOOKUP(A60,TRIP_ACTUALS!$A:$O,8,FALSE)-SETUP_RATES!$K$2)*SETUP_RATES!$K$3)</f>
        <v/>
      </c>
      <c r="E60" s="38" t="str">
        <f>IF(A60="","",VLOOKUP(A60,TRIP_ACTUALS!$A:$O,9,FALSE)*VLOOKUP(VLOOKUP(A60,BOOKINGS!$A:$Q,7,FALSE),SETUP_RATES!$A:$H,5,FALSE))</f>
        <v/>
      </c>
      <c r="F60" s="38" t="str">
        <f>IF(A60="","",IFERROR(VLOOKUP(A60,TRIP_ACTUALS!$A:$O,5,FALSE),0))</f>
        <v/>
      </c>
      <c r="G60" s="38" t="str">
        <f>IF(A60="","",IFERROR(VLOOKUP(A60,TRIP_ACTUALS!$A:$O,6,FALSE),0)+IFERROR(VLOOKUP(A60,TRIP_ACTUALS!$A:$O,7,FALSE),0))</f>
        <v/>
      </c>
      <c r="H60" s="38" t="str">
        <f>IF(A60="","",IFERROR(VLOOKUP(VLOOKUP(A60,BOOKINGS!$A:$Q,7,FALSE),SETUP_RATES!$A:$H,8,FALSE),0))</f>
        <v/>
      </c>
      <c r="I60" s="38" t="str">
        <f t="shared" si="1"/>
        <v/>
      </c>
      <c r="J60" s="38" t="str">
        <f>IF(A60="","",IFERROR(VLOOKUP(A60,BOOKINGS!$A:$Q,13,FALSE),0))</f>
        <v/>
      </c>
      <c r="K60" s="38" t="str">
        <f t="shared" si="2"/>
        <v/>
      </c>
      <c r="L60" s="38" t="str">
        <f t="shared" si="3"/>
        <v/>
      </c>
    </row>
    <row r="61" ht="15.75" customHeight="1">
      <c r="A61" s="33" t="str">
        <f>IF(BOOKINGS!A61="","",BOOKINGS!A61)</f>
        <v/>
      </c>
      <c r="B61" s="38" t="str">
        <f>IF(A61="","",MAX(VLOOKUP(A61,BOOKINGS!$A:$Q,6,FALSE)*VLOOKUP(VLOOKUP(A61,BOOKINGS!$A:$Q,7,FALSE),SETUP_RATES!$A:$H,3,FALSE),VLOOKUP(VLOOKUP(A61,BOOKINGS!$A:$Q,7,FALSE),SETUP_RATES!$A:$H,2,FALSE)))</f>
        <v/>
      </c>
      <c r="C61" s="38" t="str">
        <f>IF(A61="","",VLOOKUP(A61,BOOKINGS!$A:$Q,10,FALSE)*VLOOKUP(VLOOKUP(A61,BOOKINGS!$A:$Q,7,FALSE),SETUP_RATES!$A:$H,6,FALSE))</f>
        <v/>
      </c>
      <c r="D61" s="38" t="str">
        <f>IF(A61="","",MAX(0,VLOOKUP(A61,TRIP_ACTUALS!$A:$O,8,FALSE)-SETUP_RATES!$K$2)*SETUP_RATES!$K$3)</f>
        <v/>
      </c>
      <c r="E61" s="38" t="str">
        <f>IF(A61="","",VLOOKUP(A61,TRIP_ACTUALS!$A:$O,9,FALSE)*VLOOKUP(VLOOKUP(A61,BOOKINGS!$A:$Q,7,FALSE),SETUP_RATES!$A:$H,5,FALSE))</f>
        <v/>
      </c>
      <c r="F61" s="38" t="str">
        <f>IF(A61="","",IFERROR(VLOOKUP(A61,TRIP_ACTUALS!$A:$O,5,FALSE),0))</f>
        <v/>
      </c>
      <c r="G61" s="38" t="str">
        <f>IF(A61="","",IFERROR(VLOOKUP(A61,TRIP_ACTUALS!$A:$O,6,FALSE),0)+IFERROR(VLOOKUP(A61,TRIP_ACTUALS!$A:$O,7,FALSE),0))</f>
        <v/>
      </c>
      <c r="H61" s="38" t="str">
        <f>IF(A61="","",IFERROR(VLOOKUP(VLOOKUP(A61,BOOKINGS!$A:$Q,7,FALSE),SETUP_RATES!$A:$H,8,FALSE),0))</f>
        <v/>
      </c>
      <c r="I61" s="38" t="str">
        <f t="shared" si="1"/>
        <v/>
      </c>
      <c r="J61" s="38" t="str">
        <f>IF(A61="","",IFERROR(VLOOKUP(A61,BOOKINGS!$A:$Q,13,FALSE),0))</f>
        <v/>
      </c>
      <c r="K61" s="38" t="str">
        <f t="shared" si="2"/>
        <v/>
      </c>
      <c r="L61" s="38" t="str">
        <f t="shared" si="3"/>
        <v/>
      </c>
    </row>
    <row r="62" ht="15.75" customHeight="1">
      <c r="A62" s="33" t="str">
        <f>IF(BOOKINGS!A62="","",BOOKINGS!A62)</f>
        <v/>
      </c>
      <c r="B62" s="38" t="str">
        <f>IF(A62="","",MAX(VLOOKUP(A62,BOOKINGS!$A:$Q,6,FALSE)*VLOOKUP(VLOOKUP(A62,BOOKINGS!$A:$Q,7,FALSE),SETUP_RATES!$A:$H,3,FALSE),VLOOKUP(VLOOKUP(A62,BOOKINGS!$A:$Q,7,FALSE),SETUP_RATES!$A:$H,2,FALSE)))</f>
        <v/>
      </c>
      <c r="C62" s="38" t="str">
        <f>IF(A62="","",VLOOKUP(A62,BOOKINGS!$A:$Q,10,FALSE)*VLOOKUP(VLOOKUP(A62,BOOKINGS!$A:$Q,7,FALSE),SETUP_RATES!$A:$H,6,FALSE))</f>
        <v/>
      </c>
      <c r="D62" s="38" t="str">
        <f>IF(A62="","",MAX(0,VLOOKUP(A62,TRIP_ACTUALS!$A:$O,8,FALSE)-SETUP_RATES!$K$2)*SETUP_RATES!$K$3)</f>
        <v/>
      </c>
      <c r="E62" s="38" t="str">
        <f>IF(A62="","",VLOOKUP(A62,TRIP_ACTUALS!$A:$O,9,FALSE)*VLOOKUP(VLOOKUP(A62,BOOKINGS!$A:$Q,7,FALSE),SETUP_RATES!$A:$H,5,FALSE))</f>
        <v/>
      </c>
      <c r="F62" s="38" t="str">
        <f>IF(A62="","",IFERROR(VLOOKUP(A62,TRIP_ACTUALS!$A:$O,5,FALSE),0))</f>
        <v/>
      </c>
      <c r="G62" s="38" t="str">
        <f>IF(A62="","",IFERROR(VLOOKUP(A62,TRIP_ACTUALS!$A:$O,6,FALSE),0)+IFERROR(VLOOKUP(A62,TRIP_ACTUALS!$A:$O,7,FALSE),0))</f>
        <v/>
      </c>
      <c r="H62" s="38" t="str">
        <f>IF(A62="","",IFERROR(VLOOKUP(VLOOKUP(A62,BOOKINGS!$A:$Q,7,FALSE),SETUP_RATES!$A:$H,8,FALSE),0))</f>
        <v/>
      </c>
      <c r="I62" s="38" t="str">
        <f t="shared" si="1"/>
        <v/>
      </c>
      <c r="J62" s="38" t="str">
        <f>IF(A62="","",IFERROR(VLOOKUP(A62,BOOKINGS!$A:$Q,13,FALSE),0))</f>
        <v/>
      </c>
      <c r="K62" s="38" t="str">
        <f t="shared" si="2"/>
        <v/>
      </c>
      <c r="L62" s="38" t="str">
        <f t="shared" si="3"/>
        <v/>
      </c>
    </row>
    <row r="63" ht="15.75" customHeight="1">
      <c r="A63" s="33" t="str">
        <f>IF(BOOKINGS!A63="","",BOOKINGS!A63)</f>
        <v/>
      </c>
      <c r="B63" s="38" t="str">
        <f>IF(A63="","",MAX(VLOOKUP(A63,BOOKINGS!$A:$Q,6,FALSE)*VLOOKUP(VLOOKUP(A63,BOOKINGS!$A:$Q,7,FALSE),SETUP_RATES!$A:$H,3,FALSE),VLOOKUP(VLOOKUP(A63,BOOKINGS!$A:$Q,7,FALSE),SETUP_RATES!$A:$H,2,FALSE)))</f>
        <v/>
      </c>
      <c r="C63" s="38" t="str">
        <f>IF(A63="","",VLOOKUP(A63,BOOKINGS!$A:$Q,10,FALSE)*VLOOKUP(VLOOKUP(A63,BOOKINGS!$A:$Q,7,FALSE),SETUP_RATES!$A:$H,6,FALSE))</f>
        <v/>
      </c>
      <c r="D63" s="38" t="str">
        <f>IF(A63="","",MAX(0,VLOOKUP(A63,TRIP_ACTUALS!$A:$O,8,FALSE)-SETUP_RATES!$K$2)*SETUP_RATES!$K$3)</f>
        <v/>
      </c>
      <c r="E63" s="38" t="str">
        <f>IF(A63="","",VLOOKUP(A63,TRIP_ACTUALS!$A:$O,9,FALSE)*VLOOKUP(VLOOKUP(A63,BOOKINGS!$A:$Q,7,FALSE),SETUP_RATES!$A:$H,5,FALSE))</f>
        <v/>
      </c>
      <c r="F63" s="38" t="str">
        <f>IF(A63="","",IFERROR(VLOOKUP(A63,TRIP_ACTUALS!$A:$O,5,FALSE),0))</f>
        <v/>
      </c>
      <c r="G63" s="38" t="str">
        <f>IF(A63="","",IFERROR(VLOOKUP(A63,TRIP_ACTUALS!$A:$O,6,FALSE),0)+IFERROR(VLOOKUP(A63,TRIP_ACTUALS!$A:$O,7,FALSE),0))</f>
        <v/>
      </c>
      <c r="H63" s="38" t="str">
        <f>IF(A63="","",IFERROR(VLOOKUP(VLOOKUP(A63,BOOKINGS!$A:$Q,7,FALSE),SETUP_RATES!$A:$H,8,FALSE),0))</f>
        <v/>
      </c>
      <c r="I63" s="38" t="str">
        <f t="shared" si="1"/>
        <v/>
      </c>
      <c r="J63" s="38" t="str">
        <f>IF(A63="","",IFERROR(VLOOKUP(A63,BOOKINGS!$A:$Q,13,FALSE),0))</f>
        <v/>
      </c>
      <c r="K63" s="38" t="str">
        <f t="shared" si="2"/>
        <v/>
      </c>
      <c r="L63" s="38" t="str">
        <f t="shared" si="3"/>
        <v/>
      </c>
    </row>
    <row r="64" ht="15.75" customHeight="1">
      <c r="A64" s="33" t="str">
        <f>IF(BOOKINGS!A64="","",BOOKINGS!A64)</f>
        <v/>
      </c>
      <c r="B64" s="38" t="str">
        <f>IF(A64="","",MAX(VLOOKUP(A64,BOOKINGS!$A:$Q,6,FALSE)*VLOOKUP(VLOOKUP(A64,BOOKINGS!$A:$Q,7,FALSE),SETUP_RATES!$A:$H,3,FALSE),VLOOKUP(VLOOKUP(A64,BOOKINGS!$A:$Q,7,FALSE),SETUP_RATES!$A:$H,2,FALSE)))</f>
        <v/>
      </c>
      <c r="C64" s="38" t="str">
        <f>IF(A64="","",VLOOKUP(A64,BOOKINGS!$A:$Q,10,FALSE)*VLOOKUP(VLOOKUP(A64,BOOKINGS!$A:$Q,7,FALSE),SETUP_RATES!$A:$H,6,FALSE))</f>
        <v/>
      </c>
      <c r="D64" s="38" t="str">
        <f>IF(A64="","",MAX(0,VLOOKUP(A64,TRIP_ACTUALS!$A:$O,8,FALSE)-SETUP_RATES!$K$2)*SETUP_RATES!$K$3)</f>
        <v/>
      </c>
      <c r="E64" s="38" t="str">
        <f>IF(A64="","",VLOOKUP(A64,TRIP_ACTUALS!$A:$O,9,FALSE)*VLOOKUP(VLOOKUP(A64,BOOKINGS!$A:$Q,7,FALSE),SETUP_RATES!$A:$H,5,FALSE))</f>
        <v/>
      </c>
      <c r="F64" s="38" t="str">
        <f>IF(A64="","",IFERROR(VLOOKUP(A64,TRIP_ACTUALS!$A:$O,5,FALSE),0))</f>
        <v/>
      </c>
      <c r="G64" s="38" t="str">
        <f>IF(A64="","",IFERROR(VLOOKUP(A64,TRIP_ACTUALS!$A:$O,6,FALSE),0)+IFERROR(VLOOKUP(A64,TRIP_ACTUALS!$A:$O,7,FALSE),0))</f>
        <v/>
      </c>
      <c r="H64" s="38" t="str">
        <f>IF(A64="","",IFERROR(VLOOKUP(VLOOKUP(A64,BOOKINGS!$A:$Q,7,FALSE),SETUP_RATES!$A:$H,8,FALSE),0))</f>
        <v/>
      </c>
      <c r="I64" s="38" t="str">
        <f t="shared" si="1"/>
        <v/>
      </c>
      <c r="J64" s="38" t="str">
        <f>IF(A64="","",IFERROR(VLOOKUP(A64,BOOKINGS!$A:$Q,13,FALSE),0))</f>
        <v/>
      </c>
      <c r="K64" s="38" t="str">
        <f t="shared" si="2"/>
        <v/>
      </c>
      <c r="L64" s="38" t="str">
        <f t="shared" si="3"/>
        <v/>
      </c>
    </row>
    <row r="65" ht="15.75" customHeight="1">
      <c r="A65" s="33" t="str">
        <f>IF(BOOKINGS!A65="","",BOOKINGS!A65)</f>
        <v/>
      </c>
      <c r="B65" s="38" t="str">
        <f>IF(A65="","",MAX(VLOOKUP(A65,BOOKINGS!$A:$Q,6,FALSE)*VLOOKUP(VLOOKUP(A65,BOOKINGS!$A:$Q,7,FALSE),SETUP_RATES!$A:$H,3,FALSE),VLOOKUP(VLOOKUP(A65,BOOKINGS!$A:$Q,7,FALSE),SETUP_RATES!$A:$H,2,FALSE)))</f>
        <v/>
      </c>
      <c r="C65" s="38" t="str">
        <f>IF(A65="","",VLOOKUP(A65,BOOKINGS!$A:$Q,10,FALSE)*VLOOKUP(VLOOKUP(A65,BOOKINGS!$A:$Q,7,FALSE),SETUP_RATES!$A:$H,6,FALSE))</f>
        <v/>
      </c>
      <c r="D65" s="38" t="str">
        <f>IF(A65="","",MAX(0,VLOOKUP(A65,TRIP_ACTUALS!$A:$O,8,FALSE)-SETUP_RATES!$K$2)*SETUP_RATES!$K$3)</f>
        <v/>
      </c>
      <c r="E65" s="38" t="str">
        <f>IF(A65="","",VLOOKUP(A65,TRIP_ACTUALS!$A:$O,9,FALSE)*VLOOKUP(VLOOKUP(A65,BOOKINGS!$A:$Q,7,FALSE),SETUP_RATES!$A:$H,5,FALSE))</f>
        <v/>
      </c>
      <c r="F65" s="38" t="str">
        <f>IF(A65="","",IFERROR(VLOOKUP(A65,TRIP_ACTUALS!$A:$O,5,FALSE),0))</f>
        <v/>
      </c>
      <c r="G65" s="38" t="str">
        <f>IF(A65="","",IFERROR(VLOOKUP(A65,TRIP_ACTUALS!$A:$O,6,FALSE),0)+IFERROR(VLOOKUP(A65,TRIP_ACTUALS!$A:$O,7,FALSE),0))</f>
        <v/>
      </c>
      <c r="H65" s="38" t="str">
        <f>IF(A65="","",IFERROR(VLOOKUP(VLOOKUP(A65,BOOKINGS!$A:$Q,7,FALSE),SETUP_RATES!$A:$H,8,FALSE),0))</f>
        <v/>
      </c>
      <c r="I65" s="38" t="str">
        <f t="shared" si="1"/>
        <v/>
      </c>
      <c r="J65" s="38" t="str">
        <f>IF(A65="","",IFERROR(VLOOKUP(A65,BOOKINGS!$A:$Q,13,FALSE),0))</f>
        <v/>
      </c>
      <c r="K65" s="38" t="str">
        <f t="shared" si="2"/>
        <v/>
      </c>
      <c r="L65" s="38" t="str">
        <f t="shared" si="3"/>
        <v/>
      </c>
    </row>
    <row r="66" ht="15.75" customHeight="1">
      <c r="A66" s="33" t="str">
        <f>IF(BOOKINGS!A66="","",BOOKINGS!A66)</f>
        <v/>
      </c>
      <c r="B66" s="38" t="str">
        <f>IF(A66="","",MAX(VLOOKUP(A66,BOOKINGS!$A:$Q,6,FALSE)*VLOOKUP(VLOOKUP(A66,BOOKINGS!$A:$Q,7,FALSE),SETUP_RATES!$A:$H,3,FALSE),VLOOKUP(VLOOKUP(A66,BOOKINGS!$A:$Q,7,FALSE),SETUP_RATES!$A:$H,2,FALSE)))</f>
        <v/>
      </c>
      <c r="C66" s="38" t="str">
        <f>IF(A66="","",VLOOKUP(A66,BOOKINGS!$A:$Q,10,FALSE)*VLOOKUP(VLOOKUP(A66,BOOKINGS!$A:$Q,7,FALSE),SETUP_RATES!$A:$H,6,FALSE))</f>
        <v/>
      </c>
      <c r="D66" s="38" t="str">
        <f>IF(A66="","",MAX(0,VLOOKUP(A66,TRIP_ACTUALS!$A:$O,8,FALSE)-SETUP_RATES!$K$2)*SETUP_RATES!$K$3)</f>
        <v/>
      </c>
      <c r="E66" s="38" t="str">
        <f>IF(A66="","",VLOOKUP(A66,TRIP_ACTUALS!$A:$O,9,FALSE)*VLOOKUP(VLOOKUP(A66,BOOKINGS!$A:$Q,7,FALSE),SETUP_RATES!$A:$H,5,FALSE))</f>
        <v/>
      </c>
      <c r="F66" s="38" t="str">
        <f>IF(A66="","",IFERROR(VLOOKUP(A66,TRIP_ACTUALS!$A:$O,5,FALSE),0))</f>
        <v/>
      </c>
      <c r="G66" s="38" t="str">
        <f>IF(A66="","",IFERROR(VLOOKUP(A66,TRIP_ACTUALS!$A:$O,6,FALSE),0)+IFERROR(VLOOKUP(A66,TRIP_ACTUALS!$A:$O,7,FALSE),0))</f>
        <v/>
      </c>
      <c r="H66" s="38" t="str">
        <f>IF(A66="","",IFERROR(VLOOKUP(VLOOKUP(A66,BOOKINGS!$A:$Q,7,FALSE),SETUP_RATES!$A:$H,8,FALSE),0))</f>
        <v/>
      </c>
      <c r="I66" s="38" t="str">
        <f t="shared" si="1"/>
        <v/>
      </c>
      <c r="J66" s="38" t="str">
        <f>IF(A66="","",IFERROR(VLOOKUP(A66,BOOKINGS!$A:$Q,13,FALSE),0))</f>
        <v/>
      </c>
      <c r="K66" s="38" t="str">
        <f t="shared" si="2"/>
        <v/>
      </c>
      <c r="L66" s="38" t="str">
        <f t="shared" si="3"/>
        <v/>
      </c>
    </row>
    <row r="67" ht="15.75" customHeight="1">
      <c r="A67" s="33" t="str">
        <f>IF(BOOKINGS!A67="","",BOOKINGS!A67)</f>
        <v/>
      </c>
      <c r="B67" s="38" t="str">
        <f>IF(A67="","",MAX(VLOOKUP(A67,BOOKINGS!$A:$Q,6,FALSE)*VLOOKUP(VLOOKUP(A67,BOOKINGS!$A:$Q,7,FALSE),SETUP_RATES!$A:$H,3,FALSE),VLOOKUP(VLOOKUP(A67,BOOKINGS!$A:$Q,7,FALSE),SETUP_RATES!$A:$H,2,FALSE)))</f>
        <v/>
      </c>
      <c r="C67" s="38" t="str">
        <f>IF(A67="","",VLOOKUP(A67,BOOKINGS!$A:$Q,10,FALSE)*VLOOKUP(VLOOKUP(A67,BOOKINGS!$A:$Q,7,FALSE),SETUP_RATES!$A:$H,6,FALSE))</f>
        <v/>
      </c>
      <c r="D67" s="38" t="str">
        <f>IF(A67="","",MAX(0,VLOOKUP(A67,TRIP_ACTUALS!$A:$O,8,FALSE)-SETUP_RATES!$K$2)*SETUP_RATES!$K$3)</f>
        <v/>
      </c>
      <c r="E67" s="38" t="str">
        <f>IF(A67="","",VLOOKUP(A67,TRIP_ACTUALS!$A:$O,9,FALSE)*VLOOKUP(VLOOKUP(A67,BOOKINGS!$A:$Q,7,FALSE),SETUP_RATES!$A:$H,5,FALSE))</f>
        <v/>
      </c>
      <c r="F67" s="38" t="str">
        <f>IF(A67="","",IFERROR(VLOOKUP(A67,TRIP_ACTUALS!$A:$O,5,FALSE),0))</f>
        <v/>
      </c>
      <c r="G67" s="38" t="str">
        <f>IF(A67="","",IFERROR(VLOOKUP(A67,TRIP_ACTUALS!$A:$O,6,FALSE),0)+IFERROR(VLOOKUP(A67,TRIP_ACTUALS!$A:$O,7,FALSE),0))</f>
        <v/>
      </c>
      <c r="H67" s="38" t="str">
        <f>IF(A67="","",IFERROR(VLOOKUP(VLOOKUP(A67,BOOKINGS!$A:$Q,7,FALSE),SETUP_RATES!$A:$H,8,FALSE),0))</f>
        <v/>
      </c>
      <c r="I67" s="38" t="str">
        <f t="shared" si="1"/>
        <v/>
      </c>
      <c r="J67" s="38" t="str">
        <f>IF(A67="","",IFERROR(VLOOKUP(A67,BOOKINGS!$A:$Q,13,FALSE),0))</f>
        <v/>
      </c>
      <c r="K67" s="38" t="str">
        <f t="shared" si="2"/>
        <v/>
      </c>
      <c r="L67" s="38" t="str">
        <f t="shared" si="3"/>
        <v/>
      </c>
    </row>
    <row r="68" ht="15.75" customHeight="1">
      <c r="A68" s="33" t="str">
        <f>IF(BOOKINGS!A68="","",BOOKINGS!A68)</f>
        <v/>
      </c>
      <c r="B68" s="38" t="str">
        <f>IF(A68="","",MAX(VLOOKUP(A68,BOOKINGS!$A:$Q,6,FALSE)*VLOOKUP(VLOOKUP(A68,BOOKINGS!$A:$Q,7,FALSE),SETUP_RATES!$A:$H,3,FALSE),VLOOKUP(VLOOKUP(A68,BOOKINGS!$A:$Q,7,FALSE),SETUP_RATES!$A:$H,2,FALSE)))</f>
        <v/>
      </c>
      <c r="C68" s="38" t="str">
        <f>IF(A68="","",VLOOKUP(A68,BOOKINGS!$A:$Q,10,FALSE)*VLOOKUP(VLOOKUP(A68,BOOKINGS!$A:$Q,7,FALSE),SETUP_RATES!$A:$H,6,FALSE))</f>
        <v/>
      </c>
      <c r="D68" s="38" t="str">
        <f>IF(A68="","",MAX(0,VLOOKUP(A68,TRIP_ACTUALS!$A:$O,8,FALSE)-SETUP_RATES!$K$2)*SETUP_RATES!$K$3)</f>
        <v/>
      </c>
      <c r="E68" s="38" t="str">
        <f>IF(A68="","",VLOOKUP(A68,TRIP_ACTUALS!$A:$O,9,FALSE)*VLOOKUP(VLOOKUP(A68,BOOKINGS!$A:$Q,7,FALSE),SETUP_RATES!$A:$H,5,FALSE))</f>
        <v/>
      </c>
      <c r="F68" s="38" t="str">
        <f>IF(A68="","",IFERROR(VLOOKUP(A68,TRIP_ACTUALS!$A:$O,5,FALSE),0))</f>
        <v/>
      </c>
      <c r="G68" s="38" t="str">
        <f>IF(A68="","",IFERROR(VLOOKUP(A68,TRIP_ACTUALS!$A:$O,6,FALSE),0)+IFERROR(VLOOKUP(A68,TRIP_ACTUALS!$A:$O,7,FALSE),0))</f>
        <v/>
      </c>
      <c r="H68" s="38" t="str">
        <f>IF(A68="","",IFERROR(VLOOKUP(VLOOKUP(A68,BOOKINGS!$A:$Q,7,FALSE),SETUP_RATES!$A:$H,8,FALSE),0))</f>
        <v/>
      </c>
      <c r="I68" s="38" t="str">
        <f t="shared" si="1"/>
        <v/>
      </c>
      <c r="J68" s="38" t="str">
        <f>IF(A68="","",IFERROR(VLOOKUP(A68,BOOKINGS!$A:$Q,13,FALSE),0))</f>
        <v/>
      </c>
      <c r="K68" s="38" t="str">
        <f t="shared" si="2"/>
        <v/>
      </c>
      <c r="L68" s="38" t="str">
        <f t="shared" si="3"/>
        <v/>
      </c>
    </row>
    <row r="69" ht="15.75" customHeight="1">
      <c r="A69" s="33" t="str">
        <f>IF(BOOKINGS!A69="","",BOOKINGS!A69)</f>
        <v/>
      </c>
      <c r="B69" s="38" t="str">
        <f>IF(A69="","",MAX(VLOOKUP(A69,BOOKINGS!$A:$Q,6,FALSE)*VLOOKUP(VLOOKUP(A69,BOOKINGS!$A:$Q,7,FALSE),SETUP_RATES!$A:$H,3,FALSE),VLOOKUP(VLOOKUP(A69,BOOKINGS!$A:$Q,7,FALSE),SETUP_RATES!$A:$H,2,FALSE)))</f>
        <v/>
      </c>
      <c r="C69" s="38" t="str">
        <f>IF(A69="","",VLOOKUP(A69,BOOKINGS!$A:$Q,10,FALSE)*VLOOKUP(VLOOKUP(A69,BOOKINGS!$A:$Q,7,FALSE),SETUP_RATES!$A:$H,6,FALSE))</f>
        <v/>
      </c>
      <c r="D69" s="38" t="str">
        <f>IF(A69="","",MAX(0,VLOOKUP(A69,TRIP_ACTUALS!$A:$O,8,FALSE)-SETUP_RATES!$K$2)*SETUP_RATES!$K$3)</f>
        <v/>
      </c>
      <c r="E69" s="38" t="str">
        <f>IF(A69="","",VLOOKUP(A69,TRIP_ACTUALS!$A:$O,9,FALSE)*VLOOKUP(VLOOKUP(A69,BOOKINGS!$A:$Q,7,FALSE),SETUP_RATES!$A:$H,5,FALSE))</f>
        <v/>
      </c>
      <c r="F69" s="38" t="str">
        <f>IF(A69="","",IFERROR(VLOOKUP(A69,TRIP_ACTUALS!$A:$O,5,FALSE),0))</f>
        <v/>
      </c>
      <c r="G69" s="38" t="str">
        <f>IF(A69="","",IFERROR(VLOOKUP(A69,TRIP_ACTUALS!$A:$O,6,FALSE),0)+IFERROR(VLOOKUP(A69,TRIP_ACTUALS!$A:$O,7,FALSE),0))</f>
        <v/>
      </c>
      <c r="H69" s="38" t="str">
        <f>IF(A69="","",IFERROR(VLOOKUP(VLOOKUP(A69,BOOKINGS!$A:$Q,7,FALSE),SETUP_RATES!$A:$H,8,FALSE),0))</f>
        <v/>
      </c>
      <c r="I69" s="38" t="str">
        <f t="shared" si="1"/>
        <v/>
      </c>
      <c r="J69" s="38" t="str">
        <f>IF(A69="","",IFERROR(VLOOKUP(A69,BOOKINGS!$A:$Q,13,FALSE),0))</f>
        <v/>
      </c>
      <c r="K69" s="38" t="str">
        <f t="shared" si="2"/>
        <v/>
      </c>
      <c r="L69" s="38" t="str">
        <f t="shared" si="3"/>
        <v/>
      </c>
    </row>
    <row r="70" ht="15.75" customHeight="1">
      <c r="A70" s="33" t="str">
        <f>IF(BOOKINGS!A70="","",BOOKINGS!A70)</f>
        <v/>
      </c>
      <c r="B70" s="38" t="str">
        <f>IF(A70="","",MAX(VLOOKUP(A70,BOOKINGS!$A:$Q,6,FALSE)*VLOOKUP(VLOOKUP(A70,BOOKINGS!$A:$Q,7,FALSE),SETUP_RATES!$A:$H,3,FALSE),VLOOKUP(VLOOKUP(A70,BOOKINGS!$A:$Q,7,FALSE),SETUP_RATES!$A:$H,2,FALSE)))</f>
        <v/>
      </c>
      <c r="C70" s="38" t="str">
        <f>IF(A70="","",VLOOKUP(A70,BOOKINGS!$A:$Q,10,FALSE)*VLOOKUP(VLOOKUP(A70,BOOKINGS!$A:$Q,7,FALSE),SETUP_RATES!$A:$H,6,FALSE))</f>
        <v/>
      </c>
      <c r="D70" s="38" t="str">
        <f>IF(A70="","",MAX(0,VLOOKUP(A70,TRIP_ACTUALS!$A:$O,8,FALSE)-SETUP_RATES!$K$2)*SETUP_RATES!$K$3)</f>
        <v/>
      </c>
      <c r="E70" s="38" t="str">
        <f>IF(A70="","",VLOOKUP(A70,TRIP_ACTUALS!$A:$O,9,FALSE)*VLOOKUP(VLOOKUP(A70,BOOKINGS!$A:$Q,7,FALSE),SETUP_RATES!$A:$H,5,FALSE))</f>
        <v/>
      </c>
      <c r="F70" s="38" t="str">
        <f>IF(A70="","",IFERROR(VLOOKUP(A70,TRIP_ACTUALS!$A:$O,5,FALSE),0))</f>
        <v/>
      </c>
      <c r="G70" s="38" t="str">
        <f>IF(A70="","",IFERROR(VLOOKUP(A70,TRIP_ACTUALS!$A:$O,6,FALSE),0)+IFERROR(VLOOKUP(A70,TRIP_ACTUALS!$A:$O,7,FALSE),0))</f>
        <v/>
      </c>
      <c r="H70" s="38" t="str">
        <f>IF(A70="","",IFERROR(VLOOKUP(VLOOKUP(A70,BOOKINGS!$A:$Q,7,FALSE),SETUP_RATES!$A:$H,8,FALSE),0))</f>
        <v/>
      </c>
      <c r="I70" s="38" t="str">
        <f t="shared" si="1"/>
        <v/>
      </c>
      <c r="J70" s="38" t="str">
        <f>IF(A70="","",IFERROR(VLOOKUP(A70,BOOKINGS!$A:$Q,13,FALSE),0))</f>
        <v/>
      </c>
      <c r="K70" s="38" t="str">
        <f t="shared" si="2"/>
        <v/>
      </c>
      <c r="L70" s="38" t="str">
        <f t="shared" si="3"/>
        <v/>
      </c>
    </row>
    <row r="71" ht="15.75" customHeight="1">
      <c r="A71" s="33" t="str">
        <f>IF(BOOKINGS!A71="","",BOOKINGS!A71)</f>
        <v/>
      </c>
      <c r="B71" s="38" t="str">
        <f>IF(A71="","",MAX(VLOOKUP(A71,BOOKINGS!$A:$Q,6,FALSE)*VLOOKUP(VLOOKUP(A71,BOOKINGS!$A:$Q,7,FALSE),SETUP_RATES!$A:$H,3,FALSE),VLOOKUP(VLOOKUP(A71,BOOKINGS!$A:$Q,7,FALSE),SETUP_RATES!$A:$H,2,FALSE)))</f>
        <v/>
      </c>
      <c r="C71" s="38" t="str">
        <f>IF(A71="","",VLOOKUP(A71,BOOKINGS!$A:$Q,10,FALSE)*VLOOKUP(VLOOKUP(A71,BOOKINGS!$A:$Q,7,FALSE),SETUP_RATES!$A:$H,6,FALSE))</f>
        <v/>
      </c>
      <c r="D71" s="38" t="str">
        <f>IF(A71="","",MAX(0,VLOOKUP(A71,TRIP_ACTUALS!$A:$O,8,FALSE)-SETUP_RATES!$K$2)*SETUP_RATES!$K$3)</f>
        <v/>
      </c>
      <c r="E71" s="38" t="str">
        <f>IF(A71="","",VLOOKUP(A71,TRIP_ACTUALS!$A:$O,9,FALSE)*VLOOKUP(VLOOKUP(A71,BOOKINGS!$A:$Q,7,FALSE),SETUP_RATES!$A:$H,5,FALSE))</f>
        <v/>
      </c>
      <c r="F71" s="38" t="str">
        <f>IF(A71="","",IFERROR(VLOOKUP(A71,TRIP_ACTUALS!$A:$O,5,FALSE),0))</f>
        <v/>
      </c>
      <c r="G71" s="38" t="str">
        <f>IF(A71="","",IFERROR(VLOOKUP(A71,TRIP_ACTUALS!$A:$O,6,FALSE),0)+IFERROR(VLOOKUP(A71,TRIP_ACTUALS!$A:$O,7,FALSE),0))</f>
        <v/>
      </c>
      <c r="H71" s="38" t="str">
        <f>IF(A71="","",IFERROR(VLOOKUP(VLOOKUP(A71,BOOKINGS!$A:$Q,7,FALSE),SETUP_RATES!$A:$H,8,FALSE),0))</f>
        <v/>
      </c>
      <c r="I71" s="38" t="str">
        <f t="shared" si="1"/>
        <v/>
      </c>
      <c r="J71" s="38" t="str">
        <f>IF(A71="","",IFERROR(VLOOKUP(A71,BOOKINGS!$A:$Q,13,FALSE),0))</f>
        <v/>
      </c>
      <c r="K71" s="38" t="str">
        <f t="shared" si="2"/>
        <v/>
      </c>
      <c r="L71" s="38" t="str">
        <f t="shared" si="3"/>
        <v/>
      </c>
    </row>
    <row r="72" ht="15.75" customHeight="1">
      <c r="A72" s="33" t="str">
        <f>IF(BOOKINGS!A72="","",BOOKINGS!A72)</f>
        <v/>
      </c>
      <c r="B72" s="38" t="str">
        <f>IF(A72="","",MAX(VLOOKUP(A72,BOOKINGS!$A:$Q,6,FALSE)*VLOOKUP(VLOOKUP(A72,BOOKINGS!$A:$Q,7,FALSE),SETUP_RATES!$A:$H,3,FALSE),VLOOKUP(VLOOKUP(A72,BOOKINGS!$A:$Q,7,FALSE),SETUP_RATES!$A:$H,2,FALSE)))</f>
        <v/>
      </c>
      <c r="C72" s="38" t="str">
        <f>IF(A72="","",VLOOKUP(A72,BOOKINGS!$A:$Q,10,FALSE)*VLOOKUP(VLOOKUP(A72,BOOKINGS!$A:$Q,7,FALSE),SETUP_RATES!$A:$H,6,FALSE))</f>
        <v/>
      </c>
      <c r="D72" s="38" t="str">
        <f>IF(A72="","",MAX(0,VLOOKUP(A72,TRIP_ACTUALS!$A:$O,8,FALSE)-SETUP_RATES!$K$2)*SETUP_RATES!$K$3)</f>
        <v/>
      </c>
      <c r="E72" s="38" t="str">
        <f>IF(A72="","",VLOOKUP(A72,TRIP_ACTUALS!$A:$O,9,FALSE)*VLOOKUP(VLOOKUP(A72,BOOKINGS!$A:$Q,7,FALSE),SETUP_RATES!$A:$H,5,FALSE))</f>
        <v/>
      </c>
      <c r="F72" s="38" t="str">
        <f>IF(A72="","",IFERROR(VLOOKUP(A72,TRIP_ACTUALS!$A:$O,5,FALSE),0))</f>
        <v/>
      </c>
      <c r="G72" s="38" t="str">
        <f>IF(A72="","",IFERROR(VLOOKUP(A72,TRIP_ACTUALS!$A:$O,6,FALSE),0)+IFERROR(VLOOKUP(A72,TRIP_ACTUALS!$A:$O,7,FALSE),0))</f>
        <v/>
      </c>
      <c r="H72" s="38" t="str">
        <f>IF(A72="","",IFERROR(VLOOKUP(VLOOKUP(A72,BOOKINGS!$A:$Q,7,FALSE),SETUP_RATES!$A:$H,8,FALSE),0))</f>
        <v/>
      </c>
      <c r="I72" s="38" t="str">
        <f t="shared" si="1"/>
        <v/>
      </c>
      <c r="J72" s="38" t="str">
        <f>IF(A72="","",IFERROR(VLOOKUP(A72,BOOKINGS!$A:$Q,13,FALSE),0))</f>
        <v/>
      </c>
      <c r="K72" s="38" t="str">
        <f t="shared" si="2"/>
        <v/>
      </c>
      <c r="L72" s="38" t="str">
        <f t="shared" si="3"/>
        <v/>
      </c>
    </row>
    <row r="73" ht="15.75" customHeight="1">
      <c r="A73" s="33" t="str">
        <f>IF(BOOKINGS!A73="","",BOOKINGS!A73)</f>
        <v/>
      </c>
      <c r="B73" s="38" t="str">
        <f>IF(A73="","",MAX(VLOOKUP(A73,BOOKINGS!$A:$Q,6,FALSE)*VLOOKUP(VLOOKUP(A73,BOOKINGS!$A:$Q,7,FALSE),SETUP_RATES!$A:$H,3,FALSE),VLOOKUP(VLOOKUP(A73,BOOKINGS!$A:$Q,7,FALSE),SETUP_RATES!$A:$H,2,FALSE)))</f>
        <v/>
      </c>
      <c r="C73" s="38" t="str">
        <f>IF(A73="","",VLOOKUP(A73,BOOKINGS!$A:$Q,10,FALSE)*VLOOKUP(VLOOKUP(A73,BOOKINGS!$A:$Q,7,FALSE),SETUP_RATES!$A:$H,6,FALSE))</f>
        <v/>
      </c>
      <c r="D73" s="38" t="str">
        <f>IF(A73="","",MAX(0,VLOOKUP(A73,TRIP_ACTUALS!$A:$O,8,FALSE)-SETUP_RATES!$K$2)*SETUP_RATES!$K$3)</f>
        <v/>
      </c>
      <c r="E73" s="38" t="str">
        <f>IF(A73="","",VLOOKUP(A73,TRIP_ACTUALS!$A:$O,9,FALSE)*VLOOKUP(VLOOKUP(A73,BOOKINGS!$A:$Q,7,FALSE),SETUP_RATES!$A:$H,5,FALSE))</f>
        <v/>
      </c>
      <c r="F73" s="38" t="str">
        <f>IF(A73="","",IFERROR(VLOOKUP(A73,TRIP_ACTUALS!$A:$O,5,FALSE),0))</f>
        <v/>
      </c>
      <c r="G73" s="38" t="str">
        <f>IF(A73="","",IFERROR(VLOOKUP(A73,TRIP_ACTUALS!$A:$O,6,FALSE),0)+IFERROR(VLOOKUP(A73,TRIP_ACTUALS!$A:$O,7,FALSE),0))</f>
        <v/>
      </c>
      <c r="H73" s="38" t="str">
        <f>IF(A73="","",IFERROR(VLOOKUP(VLOOKUP(A73,BOOKINGS!$A:$Q,7,FALSE),SETUP_RATES!$A:$H,8,FALSE),0))</f>
        <v/>
      </c>
      <c r="I73" s="38" t="str">
        <f t="shared" si="1"/>
        <v/>
      </c>
      <c r="J73" s="38" t="str">
        <f>IF(A73="","",IFERROR(VLOOKUP(A73,BOOKINGS!$A:$Q,13,FALSE),0))</f>
        <v/>
      </c>
      <c r="K73" s="38" t="str">
        <f t="shared" si="2"/>
        <v/>
      </c>
      <c r="L73" s="38" t="str">
        <f t="shared" si="3"/>
        <v/>
      </c>
    </row>
    <row r="74" ht="15.75" customHeight="1">
      <c r="A74" s="33" t="str">
        <f>IF(BOOKINGS!A74="","",BOOKINGS!A74)</f>
        <v/>
      </c>
      <c r="B74" s="38" t="str">
        <f>IF(A74="","",MAX(VLOOKUP(A74,BOOKINGS!$A:$Q,6,FALSE)*VLOOKUP(VLOOKUP(A74,BOOKINGS!$A:$Q,7,FALSE),SETUP_RATES!$A:$H,3,FALSE),VLOOKUP(VLOOKUP(A74,BOOKINGS!$A:$Q,7,FALSE),SETUP_RATES!$A:$H,2,FALSE)))</f>
        <v/>
      </c>
      <c r="C74" s="38" t="str">
        <f>IF(A74="","",VLOOKUP(A74,BOOKINGS!$A:$Q,10,FALSE)*VLOOKUP(VLOOKUP(A74,BOOKINGS!$A:$Q,7,FALSE),SETUP_RATES!$A:$H,6,FALSE))</f>
        <v/>
      </c>
      <c r="D74" s="38" t="str">
        <f>IF(A74="","",MAX(0,VLOOKUP(A74,TRIP_ACTUALS!$A:$O,8,FALSE)-SETUP_RATES!$K$2)*SETUP_RATES!$K$3)</f>
        <v/>
      </c>
      <c r="E74" s="38" t="str">
        <f>IF(A74="","",VLOOKUP(A74,TRIP_ACTUALS!$A:$O,9,FALSE)*VLOOKUP(VLOOKUP(A74,BOOKINGS!$A:$Q,7,FALSE),SETUP_RATES!$A:$H,5,FALSE))</f>
        <v/>
      </c>
      <c r="F74" s="38" t="str">
        <f>IF(A74="","",IFERROR(VLOOKUP(A74,TRIP_ACTUALS!$A:$O,5,FALSE),0))</f>
        <v/>
      </c>
      <c r="G74" s="38" t="str">
        <f>IF(A74="","",IFERROR(VLOOKUP(A74,TRIP_ACTUALS!$A:$O,6,FALSE),0)+IFERROR(VLOOKUP(A74,TRIP_ACTUALS!$A:$O,7,FALSE),0))</f>
        <v/>
      </c>
      <c r="H74" s="38" t="str">
        <f>IF(A74="","",IFERROR(VLOOKUP(VLOOKUP(A74,BOOKINGS!$A:$Q,7,FALSE),SETUP_RATES!$A:$H,8,FALSE),0))</f>
        <v/>
      </c>
      <c r="I74" s="38" t="str">
        <f t="shared" si="1"/>
        <v/>
      </c>
      <c r="J74" s="38" t="str">
        <f>IF(A74="","",IFERROR(VLOOKUP(A74,BOOKINGS!$A:$Q,13,FALSE),0))</f>
        <v/>
      </c>
      <c r="K74" s="38" t="str">
        <f t="shared" si="2"/>
        <v/>
      </c>
      <c r="L74" s="38" t="str">
        <f t="shared" si="3"/>
        <v/>
      </c>
    </row>
    <row r="75" ht="15.75" customHeight="1">
      <c r="A75" s="33" t="str">
        <f>IF(BOOKINGS!A75="","",BOOKINGS!A75)</f>
        <v/>
      </c>
      <c r="B75" s="38" t="str">
        <f>IF(A75="","",MAX(VLOOKUP(A75,BOOKINGS!$A:$Q,6,FALSE)*VLOOKUP(VLOOKUP(A75,BOOKINGS!$A:$Q,7,FALSE),SETUP_RATES!$A:$H,3,FALSE),VLOOKUP(VLOOKUP(A75,BOOKINGS!$A:$Q,7,FALSE),SETUP_RATES!$A:$H,2,FALSE)))</f>
        <v/>
      </c>
      <c r="C75" s="38" t="str">
        <f>IF(A75="","",VLOOKUP(A75,BOOKINGS!$A:$Q,10,FALSE)*VLOOKUP(VLOOKUP(A75,BOOKINGS!$A:$Q,7,FALSE),SETUP_RATES!$A:$H,6,FALSE))</f>
        <v/>
      </c>
      <c r="D75" s="38" t="str">
        <f>IF(A75="","",MAX(0,VLOOKUP(A75,TRIP_ACTUALS!$A:$O,8,FALSE)-SETUP_RATES!$K$2)*SETUP_RATES!$K$3)</f>
        <v/>
      </c>
      <c r="E75" s="38" t="str">
        <f>IF(A75="","",VLOOKUP(A75,TRIP_ACTUALS!$A:$O,9,FALSE)*VLOOKUP(VLOOKUP(A75,BOOKINGS!$A:$Q,7,FALSE),SETUP_RATES!$A:$H,5,FALSE))</f>
        <v/>
      </c>
      <c r="F75" s="38" t="str">
        <f>IF(A75="","",IFERROR(VLOOKUP(A75,TRIP_ACTUALS!$A:$O,5,FALSE),0))</f>
        <v/>
      </c>
      <c r="G75" s="38" t="str">
        <f>IF(A75="","",IFERROR(VLOOKUP(A75,TRIP_ACTUALS!$A:$O,6,FALSE),0)+IFERROR(VLOOKUP(A75,TRIP_ACTUALS!$A:$O,7,FALSE),0))</f>
        <v/>
      </c>
      <c r="H75" s="38" t="str">
        <f>IF(A75="","",IFERROR(VLOOKUP(VLOOKUP(A75,BOOKINGS!$A:$Q,7,FALSE),SETUP_RATES!$A:$H,8,FALSE),0))</f>
        <v/>
      </c>
      <c r="I75" s="38" t="str">
        <f t="shared" si="1"/>
        <v/>
      </c>
      <c r="J75" s="38" t="str">
        <f>IF(A75="","",IFERROR(VLOOKUP(A75,BOOKINGS!$A:$Q,13,FALSE),0))</f>
        <v/>
      </c>
      <c r="K75" s="38" t="str">
        <f t="shared" si="2"/>
        <v/>
      </c>
      <c r="L75" s="38" t="str">
        <f t="shared" si="3"/>
        <v/>
      </c>
    </row>
    <row r="76" ht="15.75" customHeight="1">
      <c r="A76" s="33" t="str">
        <f>IF(BOOKINGS!A76="","",BOOKINGS!A76)</f>
        <v/>
      </c>
      <c r="B76" s="38" t="str">
        <f>IF(A76="","",MAX(VLOOKUP(A76,BOOKINGS!$A:$Q,6,FALSE)*VLOOKUP(VLOOKUP(A76,BOOKINGS!$A:$Q,7,FALSE),SETUP_RATES!$A:$H,3,FALSE),VLOOKUP(VLOOKUP(A76,BOOKINGS!$A:$Q,7,FALSE),SETUP_RATES!$A:$H,2,FALSE)))</f>
        <v/>
      </c>
      <c r="C76" s="38" t="str">
        <f>IF(A76="","",VLOOKUP(A76,BOOKINGS!$A:$Q,10,FALSE)*VLOOKUP(VLOOKUP(A76,BOOKINGS!$A:$Q,7,FALSE),SETUP_RATES!$A:$H,6,FALSE))</f>
        <v/>
      </c>
      <c r="D76" s="38" t="str">
        <f>IF(A76="","",MAX(0,VLOOKUP(A76,TRIP_ACTUALS!$A:$O,8,FALSE)-SETUP_RATES!$K$2)*SETUP_RATES!$K$3)</f>
        <v/>
      </c>
      <c r="E76" s="38" t="str">
        <f>IF(A76="","",VLOOKUP(A76,TRIP_ACTUALS!$A:$O,9,FALSE)*VLOOKUP(VLOOKUP(A76,BOOKINGS!$A:$Q,7,FALSE),SETUP_RATES!$A:$H,5,FALSE))</f>
        <v/>
      </c>
      <c r="F76" s="38" t="str">
        <f>IF(A76="","",IFERROR(VLOOKUP(A76,TRIP_ACTUALS!$A:$O,5,FALSE),0))</f>
        <v/>
      </c>
      <c r="G76" s="38" t="str">
        <f>IF(A76="","",IFERROR(VLOOKUP(A76,TRIP_ACTUALS!$A:$O,6,FALSE),0)+IFERROR(VLOOKUP(A76,TRIP_ACTUALS!$A:$O,7,FALSE),0))</f>
        <v/>
      </c>
      <c r="H76" s="38" t="str">
        <f>IF(A76="","",IFERROR(VLOOKUP(VLOOKUP(A76,BOOKINGS!$A:$Q,7,FALSE),SETUP_RATES!$A:$H,8,FALSE),0))</f>
        <v/>
      </c>
      <c r="I76" s="38" t="str">
        <f t="shared" si="1"/>
        <v/>
      </c>
      <c r="J76" s="38" t="str">
        <f>IF(A76="","",IFERROR(VLOOKUP(A76,BOOKINGS!$A:$Q,13,FALSE),0))</f>
        <v/>
      </c>
      <c r="K76" s="38" t="str">
        <f t="shared" si="2"/>
        <v/>
      </c>
      <c r="L76" s="38" t="str">
        <f t="shared" si="3"/>
        <v/>
      </c>
    </row>
    <row r="77" ht="15.75" customHeight="1">
      <c r="A77" s="33" t="str">
        <f>IF(BOOKINGS!A77="","",BOOKINGS!A77)</f>
        <v/>
      </c>
      <c r="B77" s="38" t="str">
        <f>IF(A77="","",MAX(VLOOKUP(A77,BOOKINGS!$A:$Q,6,FALSE)*VLOOKUP(VLOOKUP(A77,BOOKINGS!$A:$Q,7,FALSE),SETUP_RATES!$A:$H,3,FALSE),VLOOKUP(VLOOKUP(A77,BOOKINGS!$A:$Q,7,FALSE),SETUP_RATES!$A:$H,2,FALSE)))</f>
        <v/>
      </c>
      <c r="C77" s="38" t="str">
        <f>IF(A77="","",VLOOKUP(A77,BOOKINGS!$A:$Q,10,FALSE)*VLOOKUP(VLOOKUP(A77,BOOKINGS!$A:$Q,7,FALSE),SETUP_RATES!$A:$H,6,FALSE))</f>
        <v/>
      </c>
      <c r="D77" s="38" t="str">
        <f>IF(A77="","",MAX(0,VLOOKUP(A77,TRIP_ACTUALS!$A:$O,8,FALSE)-SETUP_RATES!$K$2)*SETUP_RATES!$K$3)</f>
        <v/>
      </c>
      <c r="E77" s="38" t="str">
        <f>IF(A77="","",VLOOKUP(A77,TRIP_ACTUALS!$A:$O,9,FALSE)*VLOOKUP(VLOOKUP(A77,BOOKINGS!$A:$Q,7,FALSE),SETUP_RATES!$A:$H,5,FALSE))</f>
        <v/>
      </c>
      <c r="F77" s="38" t="str">
        <f>IF(A77="","",IFERROR(VLOOKUP(A77,TRIP_ACTUALS!$A:$O,5,FALSE),0))</f>
        <v/>
      </c>
      <c r="G77" s="38" t="str">
        <f>IF(A77="","",IFERROR(VLOOKUP(A77,TRIP_ACTUALS!$A:$O,6,FALSE),0)+IFERROR(VLOOKUP(A77,TRIP_ACTUALS!$A:$O,7,FALSE),0))</f>
        <v/>
      </c>
      <c r="H77" s="38" t="str">
        <f>IF(A77="","",IFERROR(VLOOKUP(VLOOKUP(A77,BOOKINGS!$A:$Q,7,FALSE),SETUP_RATES!$A:$H,8,FALSE),0))</f>
        <v/>
      </c>
      <c r="I77" s="38" t="str">
        <f t="shared" si="1"/>
        <v/>
      </c>
      <c r="J77" s="38" t="str">
        <f>IF(A77="","",IFERROR(VLOOKUP(A77,BOOKINGS!$A:$Q,13,FALSE),0))</f>
        <v/>
      </c>
      <c r="K77" s="38" t="str">
        <f t="shared" si="2"/>
        <v/>
      </c>
      <c r="L77" s="38" t="str">
        <f t="shared" si="3"/>
        <v/>
      </c>
    </row>
    <row r="78" ht="15.75" customHeight="1">
      <c r="A78" s="33" t="str">
        <f>IF(BOOKINGS!A78="","",BOOKINGS!A78)</f>
        <v/>
      </c>
      <c r="B78" s="38" t="str">
        <f>IF(A78="","",MAX(VLOOKUP(A78,BOOKINGS!$A:$Q,6,FALSE)*VLOOKUP(VLOOKUP(A78,BOOKINGS!$A:$Q,7,FALSE),SETUP_RATES!$A:$H,3,FALSE),VLOOKUP(VLOOKUP(A78,BOOKINGS!$A:$Q,7,FALSE),SETUP_RATES!$A:$H,2,FALSE)))</f>
        <v/>
      </c>
      <c r="C78" s="38" t="str">
        <f>IF(A78="","",VLOOKUP(A78,BOOKINGS!$A:$Q,10,FALSE)*VLOOKUP(VLOOKUP(A78,BOOKINGS!$A:$Q,7,FALSE),SETUP_RATES!$A:$H,6,FALSE))</f>
        <v/>
      </c>
      <c r="D78" s="38" t="str">
        <f>IF(A78="","",MAX(0,VLOOKUP(A78,TRIP_ACTUALS!$A:$O,8,FALSE)-SETUP_RATES!$K$2)*SETUP_RATES!$K$3)</f>
        <v/>
      </c>
      <c r="E78" s="38" t="str">
        <f>IF(A78="","",VLOOKUP(A78,TRIP_ACTUALS!$A:$O,9,FALSE)*VLOOKUP(VLOOKUP(A78,BOOKINGS!$A:$Q,7,FALSE),SETUP_RATES!$A:$H,5,FALSE))</f>
        <v/>
      </c>
      <c r="F78" s="38" t="str">
        <f>IF(A78="","",IFERROR(VLOOKUP(A78,TRIP_ACTUALS!$A:$O,5,FALSE),0))</f>
        <v/>
      </c>
      <c r="G78" s="38" t="str">
        <f>IF(A78="","",IFERROR(VLOOKUP(A78,TRIP_ACTUALS!$A:$O,6,FALSE),0)+IFERROR(VLOOKUP(A78,TRIP_ACTUALS!$A:$O,7,FALSE),0))</f>
        <v/>
      </c>
      <c r="H78" s="38" t="str">
        <f>IF(A78="","",IFERROR(VLOOKUP(VLOOKUP(A78,BOOKINGS!$A:$Q,7,FALSE),SETUP_RATES!$A:$H,8,FALSE),0))</f>
        <v/>
      </c>
      <c r="I78" s="38" t="str">
        <f t="shared" si="1"/>
        <v/>
      </c>
      <c r="J78" s="38" t="str">
        <f>IF(A78="","",IFERROR(VLOOKUP(A78,BOOKINGS!$A:$Q,13,FALSE),0))</f>
        <v/>
      </c>
      <c r="K78" s="38" t="str">
        <f t="shared" si="2"/>
        <v/>
      </c>
      <c r="L78" s="38" t="str">
        <f t="shared" si="3"/>
        <v/>
      </c>
    </row>
    <row r="79" ht="15.75" customHeight="1">
      <c r="A79" s="33" t="str">
        <f>IF(BOOKINGS!A79="","",BOOKINGS!A79)</f>
        <v/>
      </c>
      <c r="B79" s="38" t="str">
        <f>IF(A79="","",MAX(VLOOKUP(A79,BOOKINGS!$A:$Q,6,FALSE)*VLOOKUP(VLOOKUP(A79,BOOKINGS!$A:$Q,7,FALSE),SETUP_RATES!$A:$H,3,FALSE),VLOOKUP(VLOOKUP(A79,BOOKINGS!$A:$Q,7,FALSE),SETUP_RATES!$A:$H,2,FALSE)))</f>
        <v/>
      </c>
      <c r="C79" s="38" t="str">
        <f>IF(A79="","",VLOOKUP(A79,BOOKINGS!$A:$Q,10,FALSE)*VLOOKUP(VLOOKUP(A79,BOOKINGS!$A:$Q,7,FALSE),SETUP_RATES!$A:$H,6,FALSE))</f>
        <v/>
      </c>
      <c r="D79" s="38" t="str">
        <f>IF(A79="","",MAX(0,VLOOKUP(A79,TRIP_ACTUALS!$A:$O,8,FALSE)-SETUP_RATES!$K$2)*SETUP_RATES!$K$3)</f>
        <v/>
      </c>
      <c r="E79" s="38" t="str">
        <f>IF(A79="","",VLOOKUP(A79,TRIP_ACTUALS!$A:$O,9,FALSE)*VLOOKUP(VLOOKUP(A79,BOOKINGS!$A:$Q,7,FALSE),SETUP_RATES!$A:$H,5,FALSE))</f>
        <v/>
      </c>
      <c r="F79" s="38" t="str">
        <f>IF(A79="","",IFERROR(VLOOKUP(A79,TRIP_ACTUALS!$A:$O,5,FALSE),0))</f>
        <v/>
      </c>
      <c r="G79" s="38" t="str">
        <f>IF(A79="","",IFERROR(VLOOKUP(A79,TRIP_ACTUALS!$A:$O,6,FALSE),0)+IFERROR(VLOOKUP(A79,TRIP_ACTUALS!$A:$O,7,FALSE),0))</f>
        <v/>
      </c>
      <c r="H79" s="38" t="str">
        <f>IF(A79="","",IFERROR(VLOOKUP(VLOOKUP(A79,BOOKINGS!$A:$Q,7,FALSE),SETUP_RATES!$A:$H,8,FALSE),0))</f>
        <v/>
      </c>
      <c r="I79" s="38" t="str">
        <f t="shared" si="1"/>
        <v/>
      </c>
      <c r="J79" s="38" t="str">
        <f>IF(A79="","",IFERROR(VLOOKUP(A79,BOOKINGS!$A:$Q,13,FALSE),0))</f>
        <v/>
      </c>
      <c r="K79" s="38" t="str">
        <f t="shared" si="2"/>
        <v/>
      </c>
      <c r="L79" s="38" t="str">
        <f t="shared" si="3"/>
        <v/>
      </c>
    </row>
    <row r="80" ht="15.75" customHeight="1">
      <c r="A80" s="33" t="str">
        <f>IF(BOOKINGS!A80="","",BOOKINGS!A80)</f>
        <v/>
      </c>
      <c r="B80" s="38" t="str">
        <f>IF(A80="","",MAX(VLOOKUP(A80,BOOKINGS!$A:$Q,6,FALSE)*VLOOKUP(VLOOKUP(A80,BOOKINGS!$A:$Q,7,FALSE),SETUP_RATES!$A:$H,3,FALSE),VLOOKUP(VLOOKUP(A80,BOOKINGS!$A:$Q,7,FALSE),SETUP_RATES!$A:$H,2,FALSE)))</f>
        <v/>
      </c>
      <c r="C80" s="38" t="str">
        <f>IF(A80="","",VLOOKUP(A80,BOOKINGS!$A:$Q,10,FALSE)*VLOOKUP(VLOOKUP(A80,BOOKINGS!$A:$Q,7,FALSE),SETUP_RATES!$A:$H,6,FALSE))</f>
        <v/>
      </c>
      <c r="D80" s="38" t="str">
        <f>IF(A80="","",MAX(0,VLOOKUP(A80,TRIP_ACTUALS!$A:$O,8,FALSE)-SETUP_RATES!$K$2)*SETUP_RATES!$K$3)</f>
        <v/>
      </c>
      <c r="E80" s="38" t="str">
        <f>IF(A80="","",VLOOKUP(A80,TRIP_ACTUALS!$A:$O,9,FALSE)*VLOOKUP(VLOOKUP(A80,BOOKINGS!$A:$Q,7,FALSE),SETUP_RATES!$A:$H,5,FALSE))</f>
        <v/>
      </c>
      <c r="F80" s="38" t="str">
        <f>IF(A80="","",IFERROR(VLOOKUP(A80,TRIP_ACTUALS!$A:$O,5,FALSE),0))</f>
        <v/>
      </c>
      <c r="G80" s="38" t="str">
        <f>IF(A80="","",IFERROR(VLOOKUP(A80,TRIP_ACTUALS!$A:$O,6,FALSE),0)+IFERROR(VLOOKUP(A80,TRIP_ACTUALS!$A:$O,7,FALSE),0))</f>
        <v/>
      </c>
      <c r="H80" s="38" t="str">
        <f>IF(A80="","",IFERROR(VLOOKUP(VLOOKUP(A80,BOOKINGS!$A:$Q,7,FALSE),SETUP_RATES!$A:$H,8,FALSE),0))</f>
        <v/>
      </c>
      <c r="I80" s="38" t="str">
        <f t="shared" si="1"/>
        <v/>
      </c>
      <c r="J80" s="38" t="str">
        <f>IF(A80="","",IFERROR(VLOOKUP(A80,BOOKINGS!$A:$Q,13,FALSE),0))</f>
        <v/>
      </c>
      <c r="K80" s="38" t="str">
        <f t="shared" si="2"/>
        <v/>
      </c>
      <c r="L80" s="38" t="str">
        <f t="shared" si="3"/>
        <v/>
      </c>
    </row>
    <row r="81" ht="15.75" customHeight="1">
      <c r="A81" s="33" t="str">
        <f>IF(BOOKINGS!A81="","",BOOKINGS!A81)</f>
        <v/>
      </c>
      <c r="B81" s="38" t="str">
        <f>IF(A81="","",MAX(VLOOKUP(A81,BOOKINGS!$A:$Q,6,FALSE)*VLOOKUP(VLOOKUP(A81,BOOKINGS!$A:$Q,7,FALSE),SETUP_RATES!$A:$H,3,FALSE),VLOOKUP(VLOOKUP(A81,BOOKINGS!$A:$Q,7,FALSE),SETUP_RATES!$A:$H,2,FALSE)))</f>
        <v/>
      </c>
      <c r="C81" s="38" t="str">
        <f>IF(A81="","",VLOOKUP(A81,BOOKINGS!$A:$Q,10,FALSE)*VLOOKUP(VLOOKUP(A81,BOOKINGS!$A:$Q,7,FALSE),SETUP_RATES!$A:$H,6,FALSE))</f>
        <v/>
      </c>
      <c r="D81" s="38" t="str">
        <f>IF(A81="","",MAX(0,VLOOKUP(A81,TRIP_ACTUALS!$A:$O,8,FALSE)-SETUP_RATES!$K$2)*SETUP_RATES!$K$3)</f>
        <v/>
      </c>
      <c r="E81" s="38" t="str">
        <f>IF(A81="","",VLOOKUP(A81,TRIP_ACTUALS!$A:$O,9,FALSE)*VLOOKUP(VLOOKUP(A81,BOOKINGS!$A:$Q,7,FALSE),SETUP_RATES!$A:$H,5,FALSE))</f>
        <v/>
      </c>
      <c r="F81" s="38" t="str">
        <f>IF(A81="","",IFERROR(VLOOKUP(A81,TRIP_ACTUALS!$A:$O,5,FALSE),0))</f>
        <v/>
      </c>
      <c r="G81" s="38" t="str">
        <f>IF(A81="","",IFERROR(VLOOKUP(A81,TRIP_ACTUALS!$A:$O,6,FALSE),0)+IFERROR(VLOOKUP(A81,TRIP_ACTUALS!$A:$O,7,FALSE),0))</f>
        <v/>
      </c>
      <c r="H81" s="38" t="str">
        <f>IF(A81="","",IFERROR(VLOOKUP(VLOOKUP(A81,BOOKINGS!$A:$Q,7,FALSE),SETUP_RATES!$A:$H,8,FALSE),0))</f>
        <v/>
      </c>
      <c r="I81" s="38" t="str">
        <f t="shared" si="1"/>
        <v/>
      </c>
      <c r="J81" s="38" t="str">
        <f>IF(A81="","",IFERROR(VLOOKUP(A81,BOOKINGS!$A:$Q,13,FALSE),0))</f>
        <v/>
      </c>
      <c r="K81" s="38" t="str">
        <f t="shared" si="2"/>
        <v/>
      </c>
      <c r="L81" s="38" t="str">
        <f t="shared" si="3"/>
        <v/>
      </c>
    </row>
    <row r="82" ht="15.75" customHeight="1">
      <c r="A82" s="33" t="str">
        <f>IF(BOOKINGS!A82="","",BOOKINGS!A82)</f>
        <v/>
      </c>
      <c r="B82" s="38" t="str">
        <f>IF(A82="","",MAX(VLOOKUP(A82,BOOKINGS!$A:$Q,6,FALSE)*VLOOKUP(VLOOKUP(A82,BOOKINGS!$A:$Q,7,FALSE),SETUP_RATES!$A:$H,3,FALSE),VLOOKUP(VLOOKUP(A82,BOOKINGS!$A:$Q,7,FALSE),SETUP_RATES!$A:$H,2,FALSE)))</f>
        <v/>
      </c>
      <c r="C82" s="38" t="str">
        <f>IF(A82="","",VLOOKUP(A82,BOOKINGS!$A:$Q,10,FALSE)*VLOOKUP(VLOOKUP(A82,BOOKINGS!$A:$Q,7,FALSE),SETUP_RATES!$A:$H,6,FALSE))</f>
        <v/>
      </c>
      <c r="D82" s="38" t="str">
        <f>IF(A82="","",MAX(0,VLOOKUP(A82,TRIP_ACTUALS!$A:$O,8,FALSE)-SETUP_RATES!$K$2)*SETUP_RATES!$K$3)</f>
        <v/>
      </c>
      <c r="E82" s="38" t="str">
        <f>IF(A82="","",VLOOKUP(A82,TRIP_ACTUALS!$A:$O,9,FALSE)*VLOOKUP(VLOOKUP(A82,BOOKINGS!$A:$Q,7,FALSE),SETUP_RATES!$A:$H,5,FALSE))</f>
        <v/>
      </c>
      <c r="F82" s="38" t="str">
        <f>IF(A82="","",IFERROR(VLOOKUP(A82,TRIP_ACTUALS!$A:$O,5,FALSE),0))</f>
        <v/>
      </c>
      <c r="G82" s="38" t="str">
        <f>IF(A82="","",IFERROR(VLOOKUP(A82,TRIP_ACTUALS!$A:$O,6,FALSE),0)+IFERROR(VLOOKUP(A82,TRIP_ACTUALS!$A:$O,7,FALSE),0))</f>
        <v/>
      </c>
      <c r="H82" s="38" t="str">
        <f>IF(A82="","",IFERROR(VLOOKUP(VLOOKUP(A82,BOOKINGS!$A:$Q,7,FALSE),SETUP_RATES!$A:$H,8,FALSE),0))</f>
        <v/>
      </c>
      <c r="I82" s="38" t="str">
        <f t="shared" si="1"/>
        <v/>
      </c>
      <c r="J82" s="38" t="str">
        <f>IF(A82="","",IFERROR(VLOOKUP(A82,BOOKINGS!$A:$Q,13,FALSE),0))</f>
        <v/>
      </c>
      <c r="K82" s="38" t="str">
        <f t="shared" si="2"/>
        <v/>
      </c>
      <c r="L82" s="38" t="str">
        <f t="shared" si="3"/>
        <v/>
      </c>
    </row>
    <row r="83" ht="15.75" customHeight="1">
      <c r="A83" s="33" t="str">
        <f>IF(BOOKINGS!A83="","",BOOKINGS!A83)</f>
        <v/>
      </c>
      <c r="B83" s="38" t="str">
        <f>IF(A83="","",MAX(VLOOKUP(A83,BOOKINGS!$A:$Q,6,FALSE)*VLOOKUP(VLOOKUP(A83,BOOKINGS!$A:$Q,7,FALSE),SETUP_RATES!$A:$H,3,FALSE),VLOOKUP(VLOOKUP(A83,BOOKINGS!$A:$Q,7,FALSE),SETUP_RATES!$A:$H,2,FALSE)))</f>
        <v/>
      </c>
      <c r="C83" s="38" t="str">
        <f>IF(A83="","",VLOOKUP(A83,BOOKINGS!$A:$Q,10,FALSE)*VLOOKUP(VLOOKUP(A83,BOOKINGS!$A:$Q,7,FALSE),SETUP_RATES!$A:$H,6,FALSE))</f>
        <v/>
      </c>
      <c r="D83" s="38" t="str">
        <f>IF(A83="","",MAX(0,VLOOKUP(A83,TRIP_ACTUALS!$A:$O,8,FALSE)-SETUP_RATES!$K$2)*SETUP_RATES!$K$3)</f>
        <v/>
      </c>
      <c r="E83" s="38" t="str">
        <f>IF(A83="","",VLOOKUP(A83,TRIP_ACTUALS!$A:$O,9,FALSE)*VLOOKUP(VLOOKUP(A83,BOOKINGS!$A:$Q,7,FALSE),SETUP_RATES!$A:$H,5,FALSE))</f>
        <v/>
      </c>
      <c r="F83" s="38" t="str">
        <f>IF(A83="","",IFERROR(VLOOKUP(A83,TRIP_ACTUALS!$A:$O,5,FALSE),0))</f>
        <v/>
      </c>
      <c r="G83" s="38" t="str">
        <f>IF(A83="","",IFERROR(VLOOKUP(A83,TRIP_ACTUALS!$A:$O,6,FALSE),0)+IFERROR(VLOOKUP(A83,TRIP_ACTUALS!$A:$O,7,FALSE),0))</f>
        <v/>
      </c>
      <c r="H83" s="38" t="str">
        <f>IF(A83="","",IFERROR(VLOOKUP(VLOOKUP(A83,BOOKINGS!$A:$Q,7,FALSE),SETUP_RATES!$A:$H,8,FALSE),0))</f>
        <v/>
      </c>
      <c r="I83" s="38" t="str">
        <f t="shared" si="1"/>
        <v/>
      </c>
      <c r="J83" s="38" t="str">
        <f>IF(A83="","",IFERROR(VLOOKUP(A83,BOOKINGS!$A:$Q,13,FALSE),0))</f>
        <v/>
      </c>
      <c r="K83" s="38" t="str">
        <f t="shared" si="2"/>
        <v/>
      </c>
      <c r="L83" s="38" t="str">
        <f t="shared" si="3"/>
        <v/>
      </c>
    </row>
    <row r="84" ht="15.75" customHeight="1">
      <c r="A84" s="33" t="str">
        <f>IF(BOOKINGS!A84="","",BOOKINGS!A84)</f>
        <v/>
      </c>
      <c r="B84" s="38" t="str">
        <f>IF(A84="","",MAX(VLOOKUP(A84,BOOKINGS!$A:$Q,6,FALSE)*VLOOKUP(VLOOKUP(A84,BOOKINGS!$A:$Q,7,FALSE),SETUP_RATES!$A:$H,3,FALSE),VLOOKUP(VLOOKUP(A84,BOOKINGS!$A:$Q,7,FALSE),SETUP_RATES!$A:$H,2,FALSE)))</f>
        <v/>
      </c>
      <c r="C84" s="38" t="str">
        <f>IF(A84="","",VLOOKUP(A84,BOOKINGS!$A:$Q,10,FALSE)*VLOOKUP(VLOOKUP(A84,BOOKINGS!$A:$Q,7,FALSE),SETUP_RATES!$A:$H,6,FALSE))</f>
        <v/>
      </c>
      <c r="D84" s="38" t="str">
        <f>IF(A84="","",MAX(0,VLOOKUP(A84,TRIP_ACTUALS!$A:$O,8,FALSE)-SETUP_RATES!$K$2)*SETUP_RATES!$K$3)</f>
        <v/>
      </c>
      <c r="E84" s="38" t="str">
        <f>IF(A84="","",VLOOKUP(A84,TRIP_ACTUALS!$A:$O,9,FALSE)*VLOOKUP(VLOOKUP(A84,BOOKINGS!$A:$Q,7,FALSE),SETUP_RATES!$A:$H,5,FALSE))</f>
        <v/>
      </c>
      <c r="F84" s="38" t="str">
        <f>IF(A84="","",IFERROR(VLOOKUP(A84,TRIP_ACTUALS!$A:$O,5,FALSE),0))</f>
        <v/>
      </c>
      <c r="G84" s="38" t="str">
        <f>IF(A84="","",IFERROR(VLOOKUP(A84,TRIP_ACTUALS!$A:$O,6,FALSE),0)+IFERROR(VLOOKUP(A84,TRIP_ACTUALS!$A:$O,7,FALSE),0))</f>
        <v/>
      </c>
      <c r="H84" s="38" t="str">
        <f>IF(A84="","",IFERROR(VLOOKUP(VLOOKUP(A84,BOOKINGS!$A:$Q,7,FALSE),SETUP_RATES!$A:$H,8,FALSE),0))</f>
        <v/>
      </c>
      <c r="I84" s="38" t="str">
        <f t="shared" si="1"/>
        <v/>
      </c>
      <c r="J84" s="38" t="str">
        <f>IF(A84="","",IFERROR(VLOOKUP(A84,BOOKINGS!$A:$Q,13,FALSE),0))</f>
        <v/>
      </c>
      <c r="K84" s="38" t="str">
        <f t="shared" si="2"/>
        <v/>
      </c>
      <c r="L84" s="38" t="str">
        <f t="shared" si="3"/>
        <v/>
      </c>
    </row>
    <row r="85" ht="15.75" customHeight="1">
      <c r="A85" s="33" t="str">
        <f>IF(BOOKINGS!A85="","",BOOKINGS!A85)</f>
        <v/>
      </c>
      <c r="B85" s="38" t="str">
        <f>IF(A85="","",MAX(VLOOKUP(A85,BOOKINGS!$A:$Q,6,FALSE)*VLOOKUP(VLOOKUP(A85,BOOKINGS!$A:$Q,7,FALSE),SETUP_RATES!$A:$H,3,FALSE),VLOOKUP(VLOOKUP(A85,BOOKINGS!$A:$Q,7,FALSE),SETUP_RATES!$A:$H,2,FALSE)))</f>
        <v/>
      </c>
      <c r="C85" s="38" t="str">
        <f>IF(A85="","",VLOOKUP(A85,BOOKINGS!$A:$Q,10,FALSE)*VLOOKUP(VLOOKUP(A85,BOOKINGS!$A:$Q,7,FALSE),SETUP_RATES!$A:$H,6,FALSE))</f>
        <v/>
      </c>
      <c r="D85" s="38" t="str">
        <f>IF(A85="","",MAX(0,VLOOKUP(A85,TRIP_ACTUALS!$A:$O,8,FALSE)-SETUP_RATES!$K$2)*SETUP_RATES!$K$3)</f>
        <v/>
      </c>
      <c r="E85" s="38" t="str">
        <f>IF(A85="","",VLOOKUP(A85,TRIP_ACTUALS!$A:$O,9,FALSE)*VLOOKUP(VLOOKUP(A85,BOOKINGS!$A:$Q,7,FALSE),SETUP_RATES!$A:$H,5,FALSE))</f>
        <v/>
      </c>
      <c r="F85" s="38" t="str">
        <f>IF(A85="","",IFERROR(VLOOKUP(A85,TRIP_ACTUALS!$A:$O,5,FALSE),0))</f>
        <v/>
      </c>
      <c r="G85" s="38" t="str">
        <f>IF(A85="","",IFERROR(VLOOKUP(A85,TRIP_ACTUALS!$A:$O,6,FALSE),0)+IFERROR(VLOOKUP(A85,TRIP_ACTUALS!$A:$O,7,FALSE),0))</f>
        <v/>
      </c>
      <c r="H85" s="38" t="str">
        <f>IF(A85="","",IFERROR(VLOOKUP(VLOOKUP(A85,BOOKINGS!$A:$Q,7,FALSE),SETUP_RATES!$A:$H,8,FALSE),0))</f>
        <v/>
      </c>
      <c r="I85" s="38" t="str">
        <f t="shared" si="1"/>
        <v/>
      </c>
      <c r="J85" s="38" t="str">
        <f>IF(A85="","",IFERROR(VLOOKUP(A85,BOOKINGS!$A:$Q,13,FALSE),0))</f>
        <v/>
      </c>
      <c r="K85" s="38" t="str">
        <f t="shared" si="2"/>
        <v/>
      </c>
      <c r="L85" s="38" t="str">
        <f t="shared" si="3"/>
        <v/>
      </c>
    </row>
    <row r="86" ht="15.75" customHeight="1">
      <c r="A86" s="33" t="str">
        <f>IF(BOOKINGS!A86="","",BOOKINGS!A86)</f>
        <v/>
      </c>
      <c r="B86" s="38" t="str">
        <f>IF(A86="","",MAX(VLOOKUP(A86,BOOKINGS!$A:$Q,6,FALSE)*VLOOKUP(VLOOKUP(A86,BOOKINGS!$A:$Q,7,FALSE),SETUP_RATES!$A:$H,3,FALSE),VLOOKUP(VLOOKUP(A86,BOOKINGS!$A:$Q,7,FALSE),SETUP_RATES!$A:$H,2,FALSE)))</f>
        <v/>
      </c>
      <c r="C86" s="38" t="str">
        <f>IF(A86="","",VLOOKUP(A86,BOOKINGS!$A:$Q,10,FALSE)*VLOOKUP(VLOOKUP(A86,BOOKINGS!$A:$Q,7,FALSE),SETUP_RATES!$A:$H,6,FALSE))</f>
        <v/>
      </c>
      <c r="D86" s="38" t="str">
        <f>IF(A86="","",MAX(0,VLOOKUP(A86,TRIP_ACTUALS!$A:$O,8,FALSE)-SETUP_RATES!$K$2)*SETUP_RATES!$K$3)</f>
        <v/>
      </c>
      <c r="E86" s="38" t="str">
        <f>IF(A86="","",VLOOKUP(A86,TRIP_ACTUALS!$A:$O,9,FALSE)*VLOOKUP(VLOOKUP(A86,BOOKINGS!$A:$Q,7,FALSE),SETUP_RATES!$A:$H,5,FALSE))</f>
        <v/>
      </c>
      <c r="F86" s="38" t="str">
        <f>IF(A86="","",IFERROR(VLOOKUP(A86,TRIP_ACTUALS!$A:$O,5,FALSE),0))</f>
        <v/>
      </c>
      <c r="G86" s="38" t="str">
        <f>IF(A86="","",IFERROR(VLOOKUP(A86,TRIP_ACTUALS!$A:$O,6,FALSE),0)+IFERROR(VLOOKUP(A86,TRIP_ACTUALS!$A:$O,7,FALSE),0))</f>
        <v/>
      </c>
      <c r="H86" s="38" t="str">
        <f>IF(A86="","",IFERROR(VLOOKUP(VLOOKUP(A86,BOOKINGS!$A:$Q,7,FALSE),SETUP_RATES!$A:$H,8,FALSE),0))</f>
        <v/>
      </c>
      <c r="I86" s="38" t="str">
        <f t="shared" si="1"/>
        <v/>
      </c>
      <c r="J86" s="38" t="str">
        <f>IF(A86="","",IFERROR(VLOOKUP(A86,BOOKINGS!$A:$Q,13,FALSE),0))</f>
        <v/>
      </c>
      <c r="K86" s="38" t="str">
        <f t="shared" si="2"/>
        <v/>
      </c>
      <c r="L86" s="38" t="str">
        <f t="shared" si="3"/>
        <v/>
      </c>
    </row>
    <row r="87" ht="15.75" customHeight="1">
      <c r="A87" s="33" t="str">
        <f>IF(BOOKINGS!A87="","",BOOKINGS!A87)</f>
        <v/>
      </c>
      <c r="B87" s="38" t="str">
        <f>IF(A87="","",MAX(VLOOKUP(A87,BOOKINGS!$A:$Q,6,FALSE)*VLOOKUP(VLOOKUP(A87,BOOKINGS!$A:$Q,7,FALSE),SETUP_RATES!$A:$H,3,FALSE),VLOOKUP(VLOOKUP(A87,BOOKINGS!$A:$Q,7,FALSE),SETUP_RATES!$A:$H,2,FALSE)))</f>
        <v/>
      </c>
      <c r="C87" s="38" t="str">
        <f>IF(A87="","",VLOOKUP(A87,BOOKINGS!$A:$Q,10,FALSE)*VLOOKUP(VLOOKUP(A87,BOOKINGS!$A:$Q,7,FALSE),SETUP_RATES!$A:$H,6,FALSE))</f>
        <v/>
      </c>
      <c r="D87" s="38" t="str">
        <f>IF(A87="","",MAX(0,VLOOKUP(A87,TRIP_ACTUALS!$A:$O,8,FALSE)-SETUP_RATES!$K$2)*SETUP_RATES!$K$3)</f>
        <v/>
      </c>
      <c r="E87" s="38" t="str">
        <f>IF(A87="","",VLOOKUP(A87,TRIP_ACTUALS!$A:$O,9,FALSE)*VLOOKUP(VLOOKUP(A87,BOOKINGS!$A:$Q,7,FALSE),SETUP_RATES!$A:$H,5,FALSE))</f>
        <v/>
      </c>
      <c r="F87" s="38" t="str">
        <f>IF(A87="","",IFERROR(VLOOKUP(A87,TRIP_ACTUALS!$A:$O,5,FALSE),0))</f>
        <v/>
      </c>
      <c r="G87" s="38" t="str">
        <f>IF(A87="","",IFERROR(VLOOKUP(A87,TRIP_ACTUALS!$A:$O,6,FALSE),0)+IFERROR(VLOOKUP(A87,TRIP_ACTUALS!$A:$O,7,FALSE),0))</f>
        <v/>
      </c>
      <c r="H87" s="38" t="str">
        <f>IF(A87="","",IFERROR(VLOOKUP(VLOOKUP(A87,BOOKINGS!$A:$Q,7,FALSE),SETUP_RATES!$A:$H,8,FALSE),0))</f>
        <v/>
      </c>
      <c r="I87" s="38" t="str">
        <f t="shared" si="1"/>
        <v/>
      </c>
      <c r="J87" s="38" t="str">
        <f>IF(A87="","",IFERROR(VLOOKUP(A87,BOOKINGS!$A:$Q,13,FALSE),0))</f>
        <v/>
      </c>
      <c r="K87" s="38" t="str">
        <f t="shared" si="2"/>
        <v/>
      </c>
      <c r="L87" s="38" t="str">
        <f t="shared" si="3"/>
        <v/>
      </c>
    </row>
    <row r="88" ht="15.75" customHeight="1">
      <c r="A88" s="33" t="str">
        <f>IF(BOOKINGS!A88="","",BOOKINGS!A88)</f>
        <v/>
      </c>
      <c r="B88" s="38" t="str">
        <f>IF(A88="","",MAX(VLOOKUP(A88,BOOKINGS!$A:$Q,6,FALSE)*VLOOKUP(VLOOKUP(A88,BOOKINGS!$A:$Q,7,FALSE),SETUP_RATES!$A:$H,3,FALSE),VLOOKUP(VLOOKUP(A88,BOOKINGS!$A:$Q,7,FALSE),SETUP_RATES!$A:$H,2,FALSE)))</f>
        <v/>
      </c>
      <c r="C88" s="38" t="str">
        <f>IF(A88="","",VLOOKUP(A88,BOOKINGS!$A:$Q,10,FALSE)*VLOOKUP(VLOOKUP(A88,BOOKINGS!$A:$Q,7,FALSE),SETUP_RATES!$A:$H,6,FALSE))</f>
        <v/>
      </c>
      <c r="D88" s="38" t="str">
        <f>IF(A88="","",MAX(0,VLOOKUP(A88,TRIP_ACTUALS!$A:$O,8,FALSE)-SETUP_RATES!$K$2)*SETUP_RATES!$K$3)</f>
        <v/>
      </c>
      <c r="E88" s="38" t="str">
        <f>IF(A88="","",VLOOKUP(A88,TRIP_ACTUALS!$A:$O,9,FALSE)*VLOOKUP(VLOOKUP(A88,BOOKINGS!$A:$Q,7,FALSE),SETUP_RATES!$A:$H,5,FALSE))</f>
        <v/>
      </c>
      <c r="F88" s="38" t="str">
        <f>IF(A88="","",IFERROR(VLOOKUP(A88,TRIP_ACTUALS!$A:$O,5,FALSE),0))</f>
        <v/>
      </c>
      <c r="G88" s="38" t="str">
        <f>IF(A88="","",IFERROR(VLOOKUP(A88,TRIP_ACTUALS!$A:$O,6,FALSE),0)+IFERROR(VLOOKUP(A88,TRIP_ACTUALS!$A:$O,7,FALSE),0))</f>
        <v/>
      </c>
      <c r="H88" s="38" t="str">
        <f>IF(A88="","",IFERROR(VLOOKUP(VLOOKUP(A88,BOOKINGS!$A:$Q,7,FALSE),SETUP_RATES!$A:$H,8,FALSE),0))</f>
        <v/>
      </c>
      <c r="I88" s="38" t="str">
        <f t="shared" si="1"/>
        <v/>
      </c>
      <c r="J88" s="38" t="str">
        <f>IF(A88="","",IFERROR(VLOOKUP(A88,BOOKINGS!$A:$Q,13,FALSE),0))</f>
        <v/>
      </c>
      <c r="K88" s="38" t="str">
        <f t="shared" si="2"/>
        <v/>
      </c>
      <c r="L88" s="38" t="str">
        <f t="shared" si="3"/>
        <v/>
      </c>
    </row>
    <row r="89" ht="15.75" customHeight="1">
      <c r="A89" s="33" t="str">
        <f>IF(BOOKINGS!A89="","",BOOKINGS!A89)</f>
        <v/>
      </c>
      <c r="B89" s="38" t="str">
        <f>IF(A89="","",MAX(VLOOKUP(A89,BOOKINGS!$A:$Q,6,FALSE)*VLOOKUP(VLOOKUP(A89,BOOKINGS!$A:$Q,7,FALSE),SETUP_RATES!$A:$H,3,FALSE),VLOOKUP(VLOOKUP(A89,BOOKINGS!$A:$Q,7,FALSE),SETUP_RATES!$A:$H,2,FALSE)))</f>
        <v/>
      </c>
      <c r="C89" s="38" t="str">
        <f>IF(A89="","",VLOOKUP(A89,BOOKINGS!$A:$Q,10,FALSE)*VLOOKUP(VLOOKUP(A89,BOOKINGS!$A:$Q,7,FALSE),SETUP_RATES!$A:$H,6,FALSE))</f>
        <v/>
      </c>
      <c r="D89" s="38" t="str">
        <f>IF(A89="","",MAX(0,VLOOKUP(A89,TRIP_ACTUALS!$A:$O,8,FALSE)-SETUP_RATES!$K$2)*SETUP_RATES!$K$3)</f>
        <v/>
      </c>
      <c r="E89" s="38" t="str">
        <f>IF(A89="","",VLOOKUP(A89,TRIP_ACTUALS!$A:$O,9,FALSE)*VLOOKUP(VLOOKUP(A89,BOOKINGS!$A:$Q,7,FALSE),SETUP_RATES!$A:$H,5,FALSE))</f>
        <v/>
      </c>
      <c r="F89" s="38" t="str">
        <f>IF(A89="","",IFERROR(VLOOKUP(A89,TRIP_ACTUALS!$A:$O,5,FALSE),0))</f>
        <v/>
      </c>
      <c r="G89" s="38" t="str">
        <f>IF(A89="","",IFERROR(VLOOKUP(A89,TRIP_ACTUALS!$A:$O,6,FALSE),0)+IFERROR(VLOOKUP(A89,TRIP_ACTUALS!$A:$O,7,FALSE),0))</f>
        <v/>
      </c>
      <c r="H89" s="38" t="str">
        <f>IF(A89="","",IFERROR(VLOOKUP(VLOOKUP(A89,BOOKINGS!$A:$Q,7,FALSE),SETUP_RATES!$A:$H,8,FALSE),0))</f>
        <v/>
      </c>
      <c r="I89" s="38" t="str">
        <f t="shared" si="1"/>
        <v/>
      </c>
      <c r="J89" s="38" t="str">
        <f>IF(A89="","",IFERROR(VLOOKUP(A89,BOOKINGS!$A:$Q,13,FALSE),0))</f>
        <v/>
      </c>
      <c r="K89" s="38" t="str">
        <f t="shared" si="2"/>
        <v/>
      </c>
      <c r="L89" s="38" t="str">
        <f t="shared" si="3"/>
        <v/>
      </c>
    </row>
    <row r="90" ht="15.75" customHeight="1">
      <c r="A90" s="33" t="str">
        <f>IF(BOOKINGS!A90="","",BOOKINGS!A90)</f>
        <v/>
      </c>
      <c r="B90" s="38" t="str">
        <f>IF(A90="","",MAX(VLOOKUP(A90,BOOKINGS!$A:$Q,6,FALSE)*VLOOKUP(VLOOKUP(A90,BOOKINGS!$A:$Q,7,FALSE),SETUP_RATES!$A:$H,3,FALSE),VLOOKUP(VLOOKUP(A90,BOOKINGS!$A:$Q,7,FALSE),SETUP_RATES!$A:$H,2,FALSE)))</f>
        <v/>
      </c>
      <c r="C90" s="38" t="str">
        <f>IF(A90="","",VLOOKUP(A90,BOOKINGS!$A:$Q,10,FALSE)*VLOOKUP(VLOOKUP(A90,BOOKINGS!$A:$Q,7,FALSE),SETUP_RATES!$A:$H,6,FALSE))</f>
        <v/>
      </c>
      <c r="D90" s="38" t="str">
        <f>IF(A90="","",MAX(0,VLOOKUP(A90,TRIP_ACTUALS!$A:$O,8,FALSE)-SETUP_RATES!$K$2)*SETUP_RATES!$K$3)</f>
        <v/>
      </c>
      <c r="E90" s="38" t="str">
        <f>IF(A90="","",VLOOKUP(A90,TRIP_ACTUALS!$A:$O,9,FALSE)*VLOOKUP(VLOOKUP(A90,BOOKINGS!$A:$Q,7,FALSE),SETUP_RATES!$A:$H,5,FALSE))</f>
        <v/>
      </c>
      <c r="F90" s="38" t="str">
        <f>IF(A90="","",IFERROR(VLOOKUP(A90,TRIP_ACTUALS!$A:$O,5,FALSE),0))</f>
        <v/>
      </c>
      <c r="G90" s="38" t="str">
        <f>IF(A90="","",IFERROR(VLOOKUP(A90,TRIP_ACTUALS!$A:$O,6,FALSE),0)+IFERROR(VLOOKUP(A90,TRIP_ACTUALS!$A:$O,7,FALSE),0))</f>
        <v/>
      </c>
      <c r="H90" s="38" t="str">
        <f>IF(A90="","",IFERROR(VLOOKUP(VLOOKUP(A90,BOOKINGS!$A:$Q,7,FALSE),SETUP_RATES!$A:$H,8,FALSE),0))</f>
        <v/>
      </c>
      <c r="I90" s="38" t="str">
        <f t="shared" si="1"/>
        <v/>
      </c>
      <c r="J90" s="38" t="str">
        <f>IF(A90="","",IFERROR(VLOOKUP(A90,BOOKINGS!$A:$Q,13,FALSE),0))</f>
        <v/>
      </c>
      <c r="K90" s="38" t="str">
        <f t="shared" si="2"/>
        <v/>
      </c>
      <c r="L90" s="38" t="str">
        <f t="shared" si="3"/>
        <v/>
      </c>
    </row>
    <row r="91" ht="15.75" customHeight="1">
      <c r="A91" s="33" t="str">
        <f>IF(BOOKINGS!A91="","",BOOKINGS!A91)</f>
        <v/>
      </c>
      <c r="B91" s="38" t="str">
        <f>IF(A91="","",MAX(VLOOKUP(A91,BOOKINGS!$A:$Q,6,FALSE)*VLOOKUP(VLOOKUP(A91,BOOKINGS!$A:$Q,7,FALSE),SETUP_RATES!$A:$H,3,FALSE),VLOOKUP(VLOOKUP(A91,BOOKINGS!$A:$Q,7,FALSE),SETUP_RATES!$A:$H,2,FALSE)))</f>
        <v/>
      </c>
      <c r="C91" s="38" t="str">
        <f>IF(A91="","",VLOOKUP(A91,BOOKINGS!$A:$Q,10,FALSE)*VLOOKUP(VLOOKUP(A91,BOOKINGS!$A:$Q,7,FALSE),SETUP_RATES!$A:$H,6,FALSE))</f>
        <v/>
      </c>
      <c r="D91" s="38" t="str">
        <f>IF(A91="","",MAX(0,VLOOKUP(A91,TRIP_ACTUALS!$A:$O,8,FALSE)-SETUP_RATES!$K$2)*SETUP_RATES!$K$3)</f>
        <v/>
      </c>
      <c r="E91" s="38" t="str">
        <f>IF(A91="","",VLOOKUP(A91,TRIP_ACTUALS!$A:$O,9,FALSE)*VLOOKUP(VLOOKUP(A91,BOOKINGS!$A:$Q,7,FALSE),SETUP_RATES!$A:$H,5,FALSE))</f>
        <v/>
      </c>
      <c r="F91" s="38" t="str">
        <f>IF(A91="","",IFERROR(VLOOKUP(A91,TRIP_ACTUALS!$A:$O,5,FALSE),0))</f>
        <v/>
      </c>
      <c r="G91" s="38" t="str">
        <f>IF(A91="","",IFERROR(VLOOKUP(A91,TRIP_ACTUALS!$A:$O,6,FALSE),0)+IFERROR(VLOOKUP(A91,TRIP_ACTUALS!$A:$O,7,FALSE),0))</f>
        <v/>
      </c>
      <c r="H91" s="38" t="str">
        <f>IF(A91="","",IFERROR(VLOOKUP(VLOOKUP(A91,BOOKINGS!$A:$Q,7,FALSE),SETUP_RATES!$A:$H,8,FALSE),0))</f>
        <v/>
      </c>
      <c r="I91" s="38" t="str">
        <f t="shared" si="1"/>
        <v/>
      </c>
      <c r="J91" s="38" t="str">
        <f>IF(A91="","",IFERROR(VLOOKUP(A91,BOOKINGS!$A:$Q,13,FALSE),0))</f>
        <v/>
      </c>
      <c r="K91" s="38" t="str">
        <f t="shared" si="2"/>
        <v/>
      </c>
      <c r="L91" s="38" t="str">
        <f t="shared" si="3"/>
        <v/>
      </c>
    </row>
    <row r="92" ht="15.75" customHeight="1">
      <c r="A92" s="33" t="str">
        <f>IF(BOOKINGS!A92="","",BOOKINGS!A92)</f>
        <v/>
      </c>
      <c r="B92" s="38" t="str">
        <f>IF(A92="","",MAX(VLOOKUP(A92,BOOKINGS!$A:$Q,6,FALSE)*VLOOKUP(VLOOKUP(A92,BOOKINGS!$A:$Q,7,FALSE),SETUP_RATES!$A:$H,3,FALSE),VLOOKUP(VLOOKUP(A92,BOOKINGS!$A:$Q,7,FALSE),SETUP_RATES!$A:$H,2,FALSE)))</f>
        <v/>
      </c>
      <c r="C92" s="38" t="str">
        <f>IF(A92="","",VLOOKUP(A92,BOOKINGS!$A:$Q,10,FALSE)*VLOOKUP(VLOOKUP(A92,BOOKINGS!$A:$Q,7,FALSE),SETUP_RATES!$A:$H,6,FALSE))</f>
        <v/>
      </c>
      <c r="D92" s="38" t="str">
        <f>IF(A92="","",MAX(0,VLOOKUP(A92,TRIP_ACTUALS!$A:$O,8,FALSE)-SETUP_RATES!$K$2)*SETUP_RATES!$K$3)</f>
        <v/>
      </c>
      <c r="E92" s="38" t="str">
        <f>IF(A92="","",VLOOKUP(A92,TRIP_ACTUALS!$A:$O,9,FALSE)*VLOOKUP(VLOOKUP(A92,BOOKINGS!$A:$Q,7,FALSE),SETUP_RATES!$A:$H,5,FALSE))</f>
        <v/>
      </c>
      <c r="F92" s="38" t="str">
        <f>IF(A92="","",IFERROR(VLOOKUP(A92,TRIP_ACTUALS!$A:$O,5,FALSE),0))</f>
        <v/>
      </c>
      <c r="G92" s="38" t="str">
        <f>IF(A92="","",IFERROR(VLOOKUP(A92,TRIP_ACTUALS!$A:$O,6,FALSE),0)+IFERROR(VLOOKUP(A92,TRIP_ACTUALS!$A:$O,7,FALSE),0))</f>
        <v/>
      </c>
      <c r="H92" s="38" t="str">
        <f>IF(A92="","",IFERROR(VLOOKUP(VLOOKUP(A92,BOOKINGS!$A:$Q,7,FALSE),SETUP_RATES!$A:$H,8,FALSE),0))</f>
        <v/>
      </c>
      <c r="I92" s="38" t="str">
        <f t="shared" si="1"/>
        <v/>
      </c>
      <c r="J92" s="38" t="str">
        <f>IF(A92="","",IFERROR(VLOOKUP(A92,BOOKINGS!$A:$Q,13,FALSE),0))</f>
        <v/>
      </c>
      <c r="K92" s="38" t="str">
        <f t="shared" si="2"/>
        <v/>
      </c>
      <c r="L92" s="38" t="str">
        <f t="shared" si="3"/>
        <v/>
      </c>
    </row>
    <row r="93" ht="15.75" customHeight="1">
      <c r="A93" s="33" t="str">
        <f>IF(BOOKINGS!A93="","",BOOKINGS!A93)</f>
        <v/>
      </c>
      <c r="B93" s="38" t="str">
        <f>IF(A93="","",MAX(VLOOKUP(A93,BOOKINGS!$A:$Q,6,FALSE)*VLOOKUP(VLOOKUP(A93,BOOKINGS!$A:$Q,7,FALSE),SETUP_RATES!$A:$H,3,FALSE),VLOOKUP(VLOOKUP(A93,BOOKINGS!$A:$Q,7,FALSE),SETUP_RATES!$A:$H,2,FALSE)))</f>
        <v/>
      </c>
      <c r="C93" s="38" t="str">
        <f>IF(A93="","",VLOOKUP(A93,BOOKINGS!$A:$Q,10,FALSE)*VLOOKUP(VLOOKUP(A93,BOOKINGS!$A:$Q,7,FALSE),SETUP_RATES!$A:$H,6,FALSE))</f>
        <v/>
      </c>
      <c r="D93" s="38" t="str">
        <f>IF(A93="","",MAX(0,VLOOKUP(A93,TRIP_ACTUALS!$A:$O,8,FALSE)-SETUP_RATES!$K$2)*SETUP_RATES!$K$3)</f>
        <v/>
      </c>
      <c r="E93" s="38" t="str">
        <f>IF(A93="","",VLOOKUP(A93,TRIP_ACTUALS!$A:$O,9,FALSE)*VLOOKUP(VLOOKUP(A93,BOOKINGS!$A:$Q,7,FALSE),SETUP_RATES!$A:$H,5,FALSE))</f>
        <v/>
      </c>
      <c r="F93" s="38" t="str">
        <f>IF(A93="","",IFERROR(VLOOKUP(A93,TRIP_ACTUALS!$A:$O,5,FALSE),0))</f>
        <v/>
      </c>
      <c r="G93" s="38" t="str">
        <f>IF(A93="","",IFERROR(VLOOKUP(A93,TRIP_ACTUALS!$A:$O,6,FALSE),0)+IFERROR(VLOOKUP(A93,TRIP_ACTUALS!$A:$O,7,FALSE),0))</f>
        <v/>
      </c>
      <c r="H93" s="38" t="str">
        <f>IF(A93="","",IFERROR(VLOOKUP(VLOOKUP(A93,BOOKINGS!$A:$Q,7,FALSE),SETUP_RATES!$A:$H,8,FALSE),0))</f>
        <v/>
      </c>
      <c r="I93" s="38" t="str">
        <f t="shared" si="1"/>
        <v/>
      </c>
      <c r="J93" s="38" t="str">
        <f>IF(A93="","",IFERROR(VLOOKUP(A93,BOOKINGS!$A:$Q,13,FALSE),0))</f>
        <v/>
      </c>
      <c r="K93" s="38" t="str">
        <f t="shared" si="2"/>
        <v/>
      </c>
      <c r="L93" s="38" t="str">
        <f t="shared" si="3"/>
        <v/>
      </c>
    </row>
    <row r="94" ht="15.75" customHeight="1">
      <c r="A94" s="33" t="str">
        <f>IF(BOOKINGS!A94="","",BOOKINGS!A94)</f>
        <v/>
      </c>
      <c r="B94" s="38" t="str">
        <f>IF(A94="","",MAX(VLOOKUP(A94,BOOKINGS!$A:$Q,6,FALSE)*VLOOKUP(VLOOKUP(A94,BOOKINGS!$A:$Q,7,FALSE),SETUP_RATES!$A:$H,3,FALSE),VLOOKUP(VLOOKUP(A94,BOOKINGS!$A:$Q,7,FALSE),SETUP_RATES!$A:$H,2,FALSE)))</f>
        <v/>
      </c>
      <c r="C94" s="38" t="str">
        <f>IF(A94="","",VLOOKUP(A94,BOOKINGS!$A:$Q,10,FALSE)*VLOOKUP(VLOOKUP(A94,BOOKINGS!$A:$Q,7,FALSE),SETUP_RATES!$A:$H,6,FALSE))</f>
        <v/>
      </c>
      <c r="D94" s="38" t="str">
        <f>IF(A94="","",MAX(0,VLOOKUP(A94,TRIP_ACTUALS!$A:$O,8,FALSE)-SETUP_RATES!$K$2)*SETUP_RATES!$K$3)</f>
        <v/>
      </c>
      <c r="E94" s="38" t="str">
        <f>IF(A94="","",VLOOKUP(A94,TRIP_ACTUALS!$A:$O,9,FALSE)*VLOOKUP(VLOOKUP(A94,BOOKINGS!$A:$Q,7,FALSE),SETUP_RATES!$A:$H,5,FALSE))</f>
        <v/>
      </c>
      <c r="F94" s="38" t="str">
        <f>IF(A94="","",IFERROR(VLOOKUP(A94,TRIP_ACTUALS!$A:$O,5,FALSE),0))</f>
        <v/>
      </c>
      <c r="G94" s="38" t="str">
        <f>IF(A94="","",IFERROR(VLOOKUP(A94,TRIP_ACTUALS!$A:$O,6,FALSE),0)+IFERROR(VLOOKUP(A94,TRIP_ACTUALS!$A:$O,7,FALSE),0))</f>
        <v/>
      </c>
      <c r="H94" s="38" t="str">
        <f>IF(A94="","",IFERROR(VLOOKUP(VLOOKUP(A94,BOOKINGS!$A:$Q,7,FALSE),SETUP_RATES!$A:$H,8,FALSE),0))</f>
        <v/>
      </c>
      <c r="I94" s="38" t="str">
        <f t="shared" si="1"/>
        <v/>
      </c>
      <c r="J94" s="38" t="str">
        <f>IF(A94="","",IFERROR(VLOOKUP(A94,BOOKINGS!$A:$Q,13,FALSE),0))</f>
        <v/>
      </c>
      <c r="K94" s="38" t="str">
        <f t="shared" si="2"/>
        <v/>
      </c>
      <c r="L94" s="38" t="str">
        <f t="shared" si="3"/>
        <v/>
      </c>
    </row>
    <row r="95" ht="15.75" customHeight="1">
      <c r="A95" s="33" t="str">
        <f>IF(BOOKINGS!A95="","",BOOKINGS!A95)</f>
        <v/>
      </c>
      <c r="B95" s="38" t="str">
        <f>IF(A95="","",MAX(VLOOKUP(A95,BOOKINGS!$A:$Q,6,FALSE)*VLOOKUP(VLOOKUP(A95,BOOKINGS!$A:$Q,7,FALSE),SETUP_RATES!$A:$H,3,FALSE),VLOOKUP(VLOOKUP(A95,BOOKINGS!$A:$Q,7,FALSE),SETUP_RATES!$A:$H,2,FALSE)))</f>
        <v/>
      </c>
      <c r="C95" s="38" t="str">
        <f>IF(A95="","",VLOOKUP(A95,BOOKINGS!$A:$Q,10,FALSE)*VLOOKUP(VLOOKUP(A95,BOOKINGS!$A:$Q,7,FALSE),SETUP_RATES!$A:$H,6,FALSE))</f>
        <v/>
      </c>
      <c r="D95" s="38" t="str">
        <f>IF(A95="","",MAX(0,VLOOKUP(A95,TRIP_ACTUALS!$A:$O,8,FALSE)-SETUP_RATES!$K$2)*SETUP_RATES!$K$3)</f>
        <v/>
      </c>
      <c r="E95" s="38" t="str">
        <f>IF(A95="","",VLOOKUP(A95,TRIP_ACTUALS!$A:$O,9,FALSE)*VLOOKUP(VLOOKUP(A95,BOOKINGS!$A:$Q,7,FALSE),SETUP_RATES!$A:$H,5,FALSE))</f>
        <v/>
      </c>
      <c r="F95" s="38" t="str">
        <f>IF(A95="","",IFERROR(VLOOKUP(A95,TRIP_ACTUALS!$A:$O,5,FALSE),0))</f>
        <v/>
      </c>
      <c r="G95" s="38" t="str">
        <f>IF(A95="","",IFERROR(VLOOKUP(A95,TRIP_ACTUALS!$A:$O,6,FALSE),0)+IFERROR(VLOOKUP(A95,TRIP_ACTUALS!$A:$O,7,FALSE),0))</f>
        <v/>
      </c>
      <c r="H95" s="38" t="str">
        <f>IF(A95="","",IFERROR(VLOOKUP(VLOOKUP(A95,BOOKINGS!$A:$Q,7,FALSE),SETUP_RATES!$A:$H,8,FALSE),0))</f>
        <v/>
      </c>
      <c r="I95" s="38" t="str">
        <f t="shared" si="1"/>
        <v/>
      </c>
      <c r="J95" s="38" t="str">
        <f>IF(A95="","",IFERROR(VLOOKUP(A95,BOOKINGS!$A:$Q,13,FALSE),0))</f>
        <v/>
      </c>
      <c r="K95" s="38" t="str">
        <f t="shared" si="2"/>
        <v/>
      </c>
      <c r="L95" s="38" t="str">
        <f t="shared" si="3"/>
        <v/>
      </c>
    </row>
    <row r="96" ht="15.75" customHeight="1">
      <c r="A96" s="33" t="str">
        <f>IF(BOOKINGS!A96="","",BOOKINGS!A96)</f>
        <v/>
      </c>
      <c r="B96" s="38" t="str">
        <f>IF(A96="","",MAX(VLOOKUP(A96,BOOKINGS!$A:$Q,6,FALSE)*VLOOKUP(VLOOKUP(A96,BOOKINGS!$A:$Q,7,FALSE),SETUP_RATES!$A:$H,3,FALSE),VLOOKUP(VLOOKUP(A96,BOOKINGS!$A:$Q,7,FALSE),SETUP_RATES!$A:$H,2,FALSE)))</f>
        <v/>
      </c>
      <c r="C96" s="38" t="str">
        <f>IF(A96="","",VLOOKUP(A96,BOOKINGS!$A:$Q,10,FALSE)*VLOOKUP(VLOOKUP(A96,BOOKINGS!$A:$Q,7,FALSE),SETUP_RATES!$A:$H,6,FALSE))</f>
        <v/>
      </c>
      <c r="D96" s="38" t="str">
        <f>IF(A96="","",MAX(0,VLOOKUP(A96,TRIP_ACTUALS!$A:$O,8,FALSE)-SETUP_RATES!$K$2)*SETUP_RATES!$K$3)</f>
        <v/>
      </c>
      <c r="E96" s="38" t="str">
        <f>IF(A96="","",VLOOKUP(A96,TRIP_ACTUALS!$A:$O,9,FALSE)*VLOOKUP(VLOOKUP(A96,BOOKINGS!$A:$Q,7,FALSE),SETUP_RATES!$A:$H,5,FALSE))</f>
        <v/>
      </c>
      <c r="F96" s="38" t="str">
        <f>IF(A96="","",IFERROR(VLOOKUP(A96,TRIP_ACTUALS!$A:$O,5,FALSE),0))</f>
        <v/>
      </c>
      <c r="G96" s="38" t="str">
        <f>IF(A96="","",IFERROR(VLOOKUP(A96,TRIP_ACTUALS!$A:$O,6,FALSE),0)+IFERROR(VLOOKUP(A96,TRIP_ACTUALS!$A:$O,7,FALSE),0))</f>
        <v/>
      </c>
      <c r="H96" s="38" t="str">
        <f>IF(A96="","",IFERROR(VLOOKUP(VLOOKUP(A96,BOOKINGS!$A:$Q,7,FALSE),SETUP_RATES!$A:$H,8,FALSE),0))</f>
        <v/>
      </c>
      <c r="I96" s="38" t="str">
        <f t="shared" si="1"/>
        <v/>
      </c>
      <c r="J96" s="38" t="str">
        <f>IF(A96="","",IFERROR(VLOOKUP(A96,BOOKINGS!$A:$Q,13,FALSE),0))</f>
        <v/>
      </c>
      <c r="K96" s="38" t="str">
        <f t="shared" si="2"/>
        <v/>
      </c>
      <c r="L96" s="38" t="str">
        <f t="shared" si="3"/>
        <v/>
      </c>
    </row>
    <row r="97" ht="15.75" customHeight="1">
      <c r="A97" s="33" t="str">
        <f>IF(BOOKINGS!A97="","",BOOKINGS!A97)</f>
        <v/>
      </c>
      <c r="B97" s="38" t="str">
        <f>IF(A97="","",MAX(VLOOKUP(A97,BOOKINGS!$A:$Q,6,FALSE)*VLOOKUP(VLOOKUP(A97,BOOKINGS!$A:$Q,7,FALSE),SETUP_RATES!$A:$H,3,FALSE),VLOOKUP(VLOOKUP(A97,BOOKINGS!$A:$Q,7,FALSE),SETUP_RATES!$A:$H,2,FALSE)))</f>
        <v/>
      </c>
      <c r="C97" s="38" t="str">
        <f>IF(A97="","",VLOOKUP(A97,BOOKINGS!$A:$Q,10,FALSE)*VLOOKUP(VLOOKUP(A97,BOOKINGS!$A:$Q,7,FALSE),SETUP_RATES!$A:$H,6,FALSE))</f>
        <v/>
      </c>
      <c r="D97" s="38" t="str">
        <f>IF(A97="","",MAX(0,VLOOKUP(A97,TRIP_ACTUALS!$A:$O,8,FALSE)-SETUP_RATES!$K$2)*SETUP_RATES!$K$3)</f>
        <v/>
      </c>
      <c r="E97" s="38" t="str">
        <f>IF(A97="","",VLOOKUP(A97,TRIP_ACTUALS!$A:$O,9,FALSE)*VLOOKUP(VLOOKUP(A97,BOOKINGS!$A:$Q,7,FALSE),SETUP_RATES!$A:$H,5,FALSE))</f>
        <v/>
      </c>
      <c r="F97" s="38" t="str">
        <f>IF(A97="","",IFERROR(VLOOKUP(A97,TRIP_ACTUALS!$A:$O,5,FALSE),0))</f>
        <v/>
      </c>
      <c r="G97" s="38" t="str">
        <f>IF(A97="","",IFERROR(VLOOKUP(A97,TRIP_ACTUALS!$A:$O,6,FALSE),0)+IFERROR(VLOOKUP(A97,TRIP_ACTUALS!$A:$O,7,FALSE),0))</f>
        <v/>
      </c>
      <c r="H97" s="38" t="str">
        <f>IF(A97="","",IFERROR(VLOOKUP(VLOOKUP(A97,BOOKINGS!$A:$Q,7,FALSE),SETUP_RATES!$A:$H,8,FALSE),0))</f>
        <v/>
      </c>
      <c r="I97" s="38" t="str">
        <f t="shared" si="1"/>
        <v/>
      </c>
      <c r="J97" s="38" t="str">
        <f>IF(A97="","",IFERROR(VLOOKUP(A97,BOOKINGS!$A:$Q,13,FALSE),0))</f>
        <v/>
      </c>
      <c r="K97" s="38" t="str">
        <f t="shared" si="2"/>
        <v/>
      </c>
      <c r="L97" s="38" t="str">
        <f t="shared" si="3"/>
        <v/>
      </c>
    </row>
    <row r="98" ht="15.75" customHeight="1">
      <c r="A98" s="33" t="str">
        <f>IF(BOOKINGS!A98="","",BOOKINGS!A98)</f>
        <v/>
      </c>
      <c r="B98" s="38" t="str">
        <f>IF(A98="","",MAX(VLOOKUP(A98,BOOKINGS!$A:$Q,6,FALSE)*VLOOKUP(VLOOKUP(A98,BOOKINGS!$A:$Q,7,FALSE),SETUP_RATES!$A:$H,3,FALSE),VLOOKUP(VLOOKUP(A98,BOOKINGS!$A:$Q,7,FALSE),SETUP_RATES!$A:$H,2,FALSE)))</f>
        <v/>
      </c>
      <c r="C98" s="38" t="str">
        <f>IF(A98="","",VLOOKUP(A98,BOOKINGS!$A:$Q,10,FALSE)*VLOOKUP(VLOOKUP(A98,BOOKINGS!$A:$Q,7,FALSE),SETUP_RATES!$A:$H,6,FALSE))</f>
        <v/>
      </c>
      <c r="D98" s="38" t="str">
        <f>IF(A98="","",MAX(0,VLOOKUP(A98,TRIP_ACTUALS!$A:$O,8,FALSE)-SETUP_RATES!$K$2)*SETUP_RATES!$K$3)</f>
        <v/>
      </c>
      <c r="E98" s="38" t="str">
        <f>IF(A98="","",VLOOKUP(A98,TRIP_ACTUALS!$A:$O,9,FALSE)*VLOOKUP(VLOOKUP(A98,BOOKINGS!$A:$Q,7,FALSE),SETUP_RATES!$A:$H,5,FALSE))</f>
        <v/>
      </c>
      <c r="F98" s="38" t="str">
        <f>IF(A98="","",IFERROR(VLOOKUP(A98,TRIP_ACTUALS!$A:$O,5,FALSE),0))</f>
        <v/>
      </c>
      <c r="G98" s="38" t="str">
        <f>IF(A98="","",IFERROR(VLOOKUP(A98,TRIP_ACTUALS!$A:$O,6,FALSE),0)+IFERROR(VLOOKUP(A98,TRIP_ACTUALS!$A:$O,7,FALSE),0))</f>
        <v/>
      </c>
      <c r="H98" s="38" t="str">
        <f>IF(A98="","",IFERROR(VLOOKUP(VLOOKUP(A98,BOOKINGS!$A:$Q,7,FALSE),SETUP_RATES!$A:$H,8,FALSE),0))</f>
        <v/>
      </c>
      <c r="I98" s="38" t="str">
        <f t="shared" si="1"/>
        <v/>
      </c>
      <c r="J98" s="38" t="str">
        <f>IF(A98="","",IFERROR(VLOOKUP(A98,BOOKINGS!$A:$Q,13,FALSE),0))</f>
        <v/>
      </c>
      <c r="K98" s="38" t="str">
        <f t="shared" si="2"/>
        <v/>
      </c>
      <c r="L98" s="38" t="str">
        <f t="shared" si="3"/>
        <v/>
      </c>
    </row>
    <row r="99" ht="15.75" customHeight="1">
      <c r="A99" s="33" t="str">
        <f>IF(BOOKINGS!A99="","",BOOKINGS!A99)</f>
        <v/>
      </c>
      <c r="B99" s="38" t="str">
        <f>IF(A99="","",MAX(VLOOKUP(A99,BOOKINGS!$A:$Q,6,FALSE)*VLOOKUP(VLOOKUP(A99,BOOKINGS!$A:$Q,7,FALSE),SETUP_RATES!$A:$H,3,FALSE),VLOOKUP(VLOOKUP(A99,BOOKINGS!$A:$Q,7,FALSE),SETUP_RATES!$A:$H,2,FALSE)))</f>
        <v/>
      </c>
      <c r="C99" s="38" t="str">
        <f>IF(A99="","",VLOOKUP(A99,BOOKINGS!$A:$Q,10,FALSE)*VLOOKUP(VLOOKUP(A99,BOOKINGS!$A:$Q,7,FALSE),SETUP_RATES!$A:$H,6,FALSE))</f>
        <v/>
      </c>
      <c r="D99" s="38" t="str">
        <f>IF(A99="","",MAX(0,VLOOKUP(A99,TRIP_ACTUALS!$A:$O,8,FALSE)-SETUP_RATES!$K$2)*SETUP_RATES!$K$3)</f>
        <v/>
      </c>
      <c r="E99" s="38" t="str">
        <f>IF(A99="","",VLOOKUP(A99,TRIP_ACTUALS!$A:$O,9,FALSE)*VLOOKUP(VLOOKUP(A99,BOOKINGS!$A:$Q,7,FALSE),SETUP_RATES!$A:$H,5,FALSE))</f>
        <v/>
      </c>
      <c r="F99" s="38" t="str">
        <f>IF(A99="","",IFERROR(VLOOKUP(A99,TRIP_ACTUALS!$A:$O,5,FALSE),0))</f>
        <v/>
      </c>
      <c r="G99" s="38" t="str">
        <f>IF(A99="","",IFERROR(VLOOKUP(A99,TRIP_ACTUALS!$A:$O,6,FALSE),0)+IFERROR(VLOOKUP(A99,TRIP_ACTUALS!$A:$O,7,FALSE),0))</f>
        <v/>
      </c>
      <c r="H99" s="38" t="str">
        <f>IF(A99="","",IFERROR(VLOOKUP(VLOOKUP(A99,BOOKINGS!$A:$Q,7,FALSE),SETUP_RATES!$A:$H,8,FALSE),0))</f>
        <v/>
      </c>
      <c r="I99" s="38" t="str">
        <f t="shared" si="1"/>
        <v/>
      </c>
      <c r="J99" s="38" t="str">
        <f>IF(A99="","",IFERROR(VLOOKUP(A99,BOOKINGS!$A:$Q,13,FALSE),0))</f>
        <v/>
      </c>
      <c r="K99" s="38" t="str">
        <f t="shared" si="2"/>
        <v/>
      </c>
      <c r="L99" s="38" t="str">
        <f t="shared" si="3"/>
        <v/>
      </c>
    </row>
    <row r="100" ht="15.75" customHeight="1">
      <c r="A100" s="33" t="str">
        <f>IF(BOOKINGS!A100="","",BOOKINGS!A100)</f>
        <v/>
      </c>
      <c r="B100" s="38" t="str">
        <f>IF(A100="","",MAX(VLOOKUP(A100,BOOKINGS!$A:$Q,6,FALSE)*VLOOKUP(VLOOKUP(A100,BOOKINGS!$A:$Q,7,FALSE),SETUP_RATES!$A:$H,3,FALSE),VLOOKUP(VLOOKUP(A100,BOOKINGS!$A:$Q,7,FALSE),SETUP_RATES!$A:$H,2,FALSE)))</f>
        <v/>
      </c>
      <c r="C100" s="38" t="str">
        <f>IF(A100="","",VLOOKUP(A100,BOOKINGS!$A:$Q,10,FALSE)*VLOOKUP(VLOOKUP(A100,BOOKINGS!$A:$Q,7,FALSE),SETUP_RATES!$A:$H,6,FALSE))</f>
        <v/>
      </c>
      <c r="D100" s="38" t="str">
        <f>IF(A100="","",MAX(0,VLOOKUP(A100,TRIP_ACTUALS!$A:$O,8,FALSE)-SETUP_RATES!$K$2)*SETUP_RATES!$K$3)</f>
        <v/>
      </c>
      <c r="E100" s="38" t="str">
        <f>IF(A100="","",VLOOKUP(A100,TRIP_ACTUALS!$A:$O,9,FALSE)*VLOOKUP(VLOOKUP(A100,BOOKINGS!$A:$Q,7,FALSE),SETUP_RATES!$A:$H,5,FALSE))</f>
        <v/>
      </c>
      <c r="F100" s="38" t="str">
        <f>IF(A100="","",IFERROR(VLOOKUP(A100,TRIP_ACTUALS!$A:$O,5,FALSE),0))</f>
        <v/>
      </c>
      <c r="G100" s="38" t="str">
        <f>IF(A100="","",IFERROR(VLOOKUP(A100,TRIP_ACTUALS!$A:$O,6,FALSE),0)+IFERROR(VLOOKUP(A100,TRIP_ACTUALS!$A:$O,7,FALSE),0))</f>
        <v/>
      </c>
      <c r="H100" s="38" t="str">
        <f>IF(A100="","",IFERROR(VLOOKUP(VLOOKUP(A100,BOOKINGS!$A:$Q,7,FALSE),SETUP_RATES!$A:$H,8,FALSE),0))</f>
        <v/>
      </c>
      <c r="I100" s="38" t="str">
        <f t="shared" si="1"/>
        <v/>
      </c>
      <c r="J100" s="38" t="str">
        <f>IF(A100="","",IFERROR(VLOOKUP(A100,BOOKINGS!$A:$Q,13,FALSE),0))</f>
        <v/>
      </c>
      <c r="K100" s="38" t="str">
        <f t="shared" si="2"/>
        <v/>
      </c>
      <c r="L100" s="38" t="str">
        <f t="shared" si="3"/>
        <v/>
      </c>
    </row>
    <row r="101" ht="15.75" customHeight="1">
      <c r="A101" s="33" t="str">
        <f>IF(BOOKINGS!A101="","",BOOKINGS!A101)</f>
        <v/>
      </c>
      <c r="B101" s="38" t="str">
        <f>IF(A101="","",MAX(VLOOKUP(A101,BOOKINGS!$A:$Q,6,FALSE)*VLOOKUP(VLOOKUP(A101,BOOKINGS!$A:$Q,7,FALSE),SETUP_RATES!$A:$H,3,FALSE),VLOOKUP(VLOOKUP(A101,BOOKINGS!$A:$Q,7,FALSE),SETUP_RATES!$A:$H,2,FALSE)))</f>
        <v/>
      </c>
      <c r="C101" s="38" t="str">
        <f>IF(A101="","",VLOOKUP(A101,BOOKINGS!$A:$Q,10,FALSE)*VLOOKUP(VLOOKUP(A101,BOOKINGS!$A:$Q,7,FALSE),SETUP_RATES!$A:$H,6,FALSE))</f>
        <v/>
      </c>
      <c r="D101" s="38" t="str">
        <f>IF(A101="","",MAX(0,VLOOKUP(A101,TRIP_ACTUALS!$A:$O,8,FALSE)-SETUP_RATES!$K$2)*SETUP_RATES!$K$3)</f>
        <v/>
      </c>
      <c r="E101" s="38" t="str">
        <f>IF(A101="","",VLOOKUP(A101,TRIP_ACTUALS!$A:$O,9,FALSE)*VLOOKUP(VLOOKUP(A101,BOOKINGS!$A:$Q,7,FALSE),SETUP_RATES!$A:$H,5,FALSE))</f>
        <v/>
      </c>
      <c r="F101" s="38" t="str">
        <f>IF(A101="","",IFERROR(VLOOKUP(A101,TRIP_ACTUALS!$A:$O,5,FALSE),0))</f>
        <v/>
      </c>
      <c r="G101" s="38" t="str">
        <f>IF(A101="","",IFERROR(VLOOKUP(A101,TRIP_ACTUALS!$A:$O,6,FALSE),0)+IFERROR(VLOOKUP(A101,TRIP_ACTUALS!$A:$O,7,FALSE),0))</f>
        <v/>
      </c>
      <c r="H101" s="38" t="str">
        <f>IF(A101="","",IFERROR(VLOOKUP(VLOOKUP(A101,BOOKINGS!$A:$Q,7,FALSE),SETUP_RATES!$A:$H,8,FALSE),0))</f>
        <v/>
      </c>
      <c r="I101" s="38" t="str">
        <f t="shared" si="1"/>
        <v/>
      </c>
      <c r="J101" s="38" t="str">
        <f>IF(A101="","",IFERROR(VLOOKUP(A101,BOOKINGS!$A:$Q,13,FALSE),0))</f>
        <v/>
      </c>
      <c r="K101" s="38" t="str">
        <f t="shared" si="2"/>
        <v/>
      </c>
      <c r="L101" s="38" t="str">
        <f t="shared" si="3"/>
        <v/>
      </c>
    </row>
    <row r="102" ht="15.75" customHeight="1">
      <c r="A102" s="33" t="str">
        <f>IF(BOOKINGS!A102="","",BOOKINGS!A102)</f>
        <v/>
      </c>
      <c r="B102" s="38" t="str">
        <f>IF(A102="","",MAX(VLOOKUP(A102,BOOKINGS!$A:$Q,6,FALSE)*VLOOKUP(VLOOKUP(A102,BOOKINGS!$A:$Q,7,FALSE),SETUP_RATES!$A:$H,3,FALSE),VLOOKUP(VLOOKUP(A102,BOOKINGS!$A:$Q,7,FALSE),SETUP_RATES!$A:$H,2,FALSE)))</f>
        <v/>
      </c>
      <c r="C102" s="38" t="str">
        <f>IF(A102="","",VLOOKUP(A102,BOOKINGS!$A:$Q,10,FALSE)*VLOOKUP(VLOOKUP(A102,BOOKINGS!$A:$Q,7,FALSE),SETUP_RATES!$A:$H,6,FALSE))</f>
        <v/>
      </c>
      <c r="D102" s="38" t="str">
        <f>IF(A102="","",MAX(0,VLOOKUP(A102,TRIP_ACTUALS!$A:$O,8,FALSE)-SETUP_RATES!$K$2)*SETUP_RATES!$K$3)</f>
        <v/>
      </c>
      <c r="E102" s="38" t="str">
        <f>IF(A102="","",VLOOKUP(A102,TRIP_ACTUALS!$A:$O,9,FALSE)*VLOOKUP(VLOOKUP(A102,BOOKINGS!$A:$Q,7,FALSE),SETUP_RATES!$A:$H,5,FALSE))</f>
        <v/>
      </c>
      <c r="F102" s="38" t="str">
        <f>IF(A102="","",IFERROR(VLOOKUP(A102,TRIP_ACTUALS!$A:$O,5,FALSE),0))</f>
        <v/>
      </c>
      <c r="G102" s="38" t="str">
        <f>IF(A102="","",IFERROR(VLOOKUP(A102,TRIP_ACTUALS!$A:$O,6,FALSE),0)+IFERROR(VLOOKUP(A102,TRIP_ACTUALS!$A:$O,7,FALSE),0))</f>
        <v/>
      </c>
      <c r="H102" s="38" t="str">
        <f>IF(A102="","",IFERROR(VLOOKUP(VLOOKUP(A102,BOOKINGS!$A:$Q,7,FALSE),SETUP_RATES!$A:$H,8,FALSE),0))</f>
        <v/>
      </c>
      <c r="I102" s="38" t="str">
        <f t="shared" si="1"/>
        <v/>
      </c>
      <c r="J102" s="38" t="str">
        <f>IF(A102="","",IFERROR(VLOOKUP(A102,BOOKINGS!$A:$Q,13,FALSE),0))</f>
        <v/>
      </c>
      <c r="K102" s="38" t="str">
        <f t="shared" si="2"/>
        <v/>
      </c>
      <c r="L102" s="38" t="str">
        <f t="shared" si="3"/>
        <v/>
      </c>
    </row>
    <row r="103" ht="15.75" customHeight="1">
      <c r="A103" s="33" t="str">
        <f>IF(BOOKINGS!A103="","",BOOKINGS!A103)</f>
        <v/>
      </c>
      <c r="B103" s="38" t="str">
        <f>IF(A103="","",MAX(VLOOKUP(A103,BOOKINGS!$A:$Q,6,FALSE)*VLOOKUP(VLOOKUP(A103,BOOKINGS!$A:$Q,7,FALSE),SETUP_RATES!$A:$H,3,FALSE),VLOOKUP(VLOOKUP(A103,BOOKINGS!$A:$Q,7,FALSE),SETUP_RATES!$A:$H,2,FALSE)))</f>
        <v/>
      </c>
      <c r="C103" s="38" t="str">
        <f>IF(A103="","",VLOOKUP(A103,BOOKINGS!$A:$Q,10,FALSE)*VLOOKUP(VLOOKUP(A103,BOOKINGS!$A:$Q,7,FALSE),SETUP_RATES!$A:$H,6,FALSE))</f>
        <v/>
      </c>
      <c r="D103" s="38" t="str">
        <f>IF(A103="","",MAX(0,VLOOKUP(A103,TRIP_ACTUALS!$A:$O,8,FALSE)-SETUP_RATES!$K$2)*SETUP_RATES!$K$3)</f>
        <v/>
      </c>
      <c r="E103" s="38" t="str">
        <f>IF(A103="","",VLOOKUP(A103,TRIP_ACTUALS!$A:$O,9,FALSE)*VLOOKUP(VLOOKUP(A103,BOOKINGS!$A:$Q,7,FALSE),SETUP_RATES!$A:$H,5,FALSE))</f>
        <v/>
      </c>
      <c r="F103" s="38" t="str">
        <f>IF(A103="","",IFERROR(VLOOKUP(A103,TRIP_ACTUALS!$A:$O,5,FALSE),0))</f>
        <v/>
      </c>
      <c r="G103" s="38" t="str">
        <f>IF(A103="","",IFERROR(VLOOKUP(A103,TRIP_ACTUALS!$A:$O,6,FALSE),0)+IFERROR(VLOOKUP(A103,TRIP_ACTUALS!$A:$O,7,FALSE),0))</f>
        <v/>
      </c>
      <c r="H103" s="38" t="str">
        <f>IF(A103="","",IFERROR(VLOOKUP(VLOOKUP(A103,BOOKINGS!$A:$Q,7,FALSE),SETUP_RATES!$A:$H,8,FALSE),0))</f>
        <v/>
      </c>
      <c r="I103" s="38" t="str">
        <f t="shared" si="1"/>
        <v/>
      </c>
      <c r="J103" s="38" t="str">
        <f>IF(A103="","",IFERROR(VLOOKUP(A103,BOOKINGS!$A:$Q,13,FALSE),0))</f>
        <v/>
      </c>
      <c r="K103" s="38" t="str">
        <f t="shared" si="2"/>
        <v/>
      </c>
      <c r="L103" s="38" t="str">
        <f t="shared" si="3"/>
        <v/>
      </c>
    </row>
    <row r="104" ht="15.75" customHeight="1">
      <c r="A104" s="33" t="str">
        <f>IF(BOOKINGS!A104="","",BOOKINGS!A104)</f>
        <v/>
      </c>
      <c r="B104" s="38" t="str">
        <f>IF(A104="","",MAX(VLOOKUP(A104,BOOKINGS!$A:$Q,6,FALSE)*VLOOKUP(VLOOKUP(A104,BOOKINGS!$A:$Q,7,FALSE),SETUP_RATES!$A:$H,3,FALSE),VLOOKUP(VLOOKUP(A104,BOOKINGS!$A:$Q,7,FALSE),SETUP_RATES!$A:$H,2,FALSE)))</f>
        <v/>
      </c>
      <c r="C104" s="38" t="str">
        <f>IF(A104="","",VLOOKUP(A104,BOOKINGS!$A:$Q,10,FALSE)*VLOOKUP(VLOOKUP(A104,BOOKINGS!$A:$Q,7,FALSE),SETUP_RATES!$A:$H,6,FALSE))</f>
        <v/>
      </c>
      <c r="D104" s="38" t="str">
        <f>IF(A104="","",MAX(0,VLOOKUP(A104,TRIP_ACTUALS!$A:$O,8,FALSE)-SETUP_RATES!$K$2)*SETUP_RATES!$K$3)</f>
        <v/>
      </c>
      <c r="E104" s="38" t="str">
        <f>IF(A104="","",VLOOKUP(A104,TRIP_ACTUALS!$A:$O,9,FALSE)*VLOOKUP(VLOOKUP(A104,BOOKINGS!$A:$Q,7,FALSE),SETUP_RATES!$A:$H,5,FALSE))</f>
        <v/>
      </c>
      <c r="F104" s="38" t="str">
        <f>IF(A104="","",IFERROR(VLOOKUP(A104,TRIP_ACTUALS!$A:$O,5,FALSE),0))</f>
        <v/>
      </c>
      <c r="G104" s="38" t="str">
        <f>IF(A104="","",IFERROR(VLOOKUP(A104,TRIP_ACTUALS!$A:$O,6,FALSE),0)+IFERROR(VLOOKUP(A104,TRIP_ACTUALS!$A:$O,7,FALSE),0))</f>
        <v/>
      </c>
      <c r="H104" s="38" t="str">
        <f>IF(A104="","",IFERROR(VLOOKUP(VLOOKUP(A104,BOOKINGS!$A:$Q,7,FALSE),SETUP_RATES!$A:$H,8,FALSE),0))</f>
        <v/>
      </c>
      <c r="I104" s="38" t="str">
        <f t="shared" si="1"/>
        <v/>
      </c>
      <c r="J104" s="38" t="str">
        <f>IF(A104="","",IFERROR(VLOOKUP(A104,BOOKINGS!$A:$Q,13,FALSE),0))</f>
        <v/>
      </c>
      <c r="K104" s="38" t="str">
        <f t="shared" si="2"/>
        <v/>
      </c>
      <c r="L104" s="38" t="str">
        <f t="shared" si="3"/>
        <v/>
      </c>
    </row>
    <row r="105" ht="15.75" customHeight="1">
      <c r="A105" s="33" t="str">
        <f>IF(BOOKINGS!A105="","",BOOKINGS!A105)</f>
        <v/>
      </c>
      <c r="B105" s="38" t="str">
        <f>IF(A105="","",MAX(VLOOKUP(A105,BOOKINGS!$A:$Q,6,FALSE)*VLOOKUP(VLOOKUP(A105,BOOKINGS!$A:$Q,7,FALSE),SETUP_RATES!$A:$H,3,FALSE),VLOOKUP(VLOOKUP(A105,BOOKINGS!$A:$Q,7,FALSE),SETUP_RATES!$A:$H,2,FALSE)))</f>
        <v/>
      </c>
      <c r="C105" s="38" t="str">
        <f>IF(A105="","",VLOOKUP(A105,BOOKINGS!$A:$Q,10,FALSE)*VLOOKUP(VLOOKUP(A105,BOOKINGS!$A:$Q,7,FALSE),SETUP_RATES!$A:$H,6,FALSE))</f>
        <v/>
      </c>
      <c r="D105" s="38" t="str">
        <f>IF(A105="","",MAX(0,VLOOKUP(A105,TRIP_ACTUALS!$A:$O,8,FALSE)-SETUP_RATES!$K$2)*SETUP_RATES!$K$3)</f>
        <v/>
      </c>
      <c r="E105" s="38" t="str">
        <f>IF(A105="","",VLOOKUP(A105,TRIP_ACTUALS!$A:$O,9,FALSE)*VLOOKUP(VLOOKUP(A105,BOOKINGS!$A:$Q,7,FALSE),SETUP_RATES!$A:$H,5,FALSE))</f>
        <v/>
      </c>
      <c r="F105" s="38" t="str">
        <f>IF(A105="","",IFERROR(VLOOKUP(A105,TRIP_ACTUALS!$A:$O,5,FALSE),0))</f>
        <v/>
      </c>
      <c r="G105" s="38" t="str">
        <f>IF(A105="","",IFERROR(VLOOKUP(A105,TRIP_ACTUALS!$A:$O,6,FALSE),0)+IFERROR(VLOOKUP(A105,TRIP_ACTUALS!$A:$O,7,FALSE),0))</f>
        <v/>
      </c>
      <c r="H105" s="38" t="str">
        <f>IF(A105="","",IFERROR(VLOOKUP(VLOOKUP(A105,BOOKINGS!$A:$Q,7,FALSE),SETUP_RATES!$A:$H,8,FALSE),0))</f>
        <v/>
      </c>
      <c r="I105" s="38" t="str">
        <f t="shared" si="1"/>
        <v/>
      </c>
      <c r="J105" s="38" t="str">
        <f>IF(A105="","",IFERROR(VLOOKUP(A105,BOOKINGS!$A:$Q,13,FALSE),0))</f>
        <v/>
      </c>
      <c r="K105" s="38" t="str">
        <f t="shared" si="2"/>
        <v/>
      </c>
      <c r="L105" s="38" t="str">
        <f t="shared" si="3"/>
        <v/>
      </c>
    </row>
    <row r="106" ht="15.75" customHeight="1">
      <c r="A106" s="33" t="str">
        <f>IF(BOOKINGS!A106="","",BOOKINGS!A106)</f>
        <v/>
      </c>
      <c r="B106" s="38" t="str">
        <f>IF(A106="","",MAX(VLOOKUP(A106,BOOKINGS!$A:$Q,6,FALSE)*VLOOKUP(VLOOKUP(A106,BOOKINGS!$A:$Q,7,FALSE),SETUP_RATES!$A:$H,3,FALSE),VLOOKUP(VLOOKUP(A106,BOOKINGS!$A:$Q,7,FALSE),SETUP_RATES!$A:$H,2,FALSE)))</f>
        <v/>
      </c>
      <c r="C106" s="38" t="str">
        <f>IF(A106="","",VLOOKUP(A106,BOOKINGS!$A:$Q,10,FALSE)*VLOOKUP(VLOOKUP(A106,BOOKINGS!$A:$Q,7,FALSE),SETUP_RATES!$A:$H,6,FALSE))</f>
        <v/>
      </c>
      <c r="D106" s="38" t="str">
        <f>IF(A106="","",MAX(0,VLOOKUP(A106,TRIP_ACTUALS!$A:$O,8,FALSE)-SETUP_RATES!$K$2)*SETUP_RATES!$K$3)</f>
        <v/>
      </c>
      <c r="E106" s="38" t="str">
        <f>IF(A106="","",VLOOKUP(A106,TRIP_ACTUALS!$A:$O,9,FALSE)*VLOOKUP(VLOOKUP(A106,BOOKINGS!$A:$Q,7,FALSE),SETUP_RATES!$A:$H,5,FALSE))</f>
        <v/>
      </c>
      <c r="F106" s="38" t="str">
        <f>IF(A106="","",IFERROR(VLOOKUP(A106,TRIP_ACTUALS!$A:$O,5,FALSE),0))</f>
        <v/>
      </c>
      <c r="G106" s="38" t="str">
        <f>IF(A106="","",IFERROR(VLOOKUP(A106,TRIP_ACTUALS!$A:$O,6,FALSE),0)+IFERROR(VLOOKUP(A106,TRIP_ACTUALS!$A:$O,7,FALSE),0))</f>
        <v/>
      </c>
      <c r="H106" s="38" t="str">
        <f>IF(A106="","",IFERROR(VLOOKUP(VLOOKUP(A106,BOOKINGS!$A:$Q,7,FALSE),SETUP_RATES!$A:$H,8,FALSE),0))</f>
        <v/>
      </c>
      <c r="I106" s="38" t="str">
        <f t="shared" si="1"/>
        <v/>
      </c>
      <c r="J106" s="38" t="str">
        <f>IF(A106="","",IFERROR(VLOOKUP(A106,BOOKINGS!$A:$Q,13,FALSE),0))</f>
        <v/>
      </c>
      <c r="K106" s="38" t="str">
        <f t="shared" si="2"/>
        <v/>
      </c>
      <c r="L106" s="38" t="str">
        <f t="shared" si="3"/>
        <v/>
      </c>
    </row>
    <row r="107" ht="15.75" customHeight="1">
      <c r="A107" s="33" t="str">
        <f>IF(BOOKINGS!A107="","",BOOKINGS!A107)</f>
        <v/>
      </c>
      <c r="B107" s="38" t="str">
        <f>IF(A107="","",MAX(VLOOKUP(A107,BOOKINGS!$A:$Q,6,FALSE)*VLOOKUP(VLOOKUP(A107,BOOKINGS!$A:$Q,7,FALSE),SETUP_RATES!$A:$H,3,FALSE),VLOOKUP(VLOOKUP(A107,BOOKINGS!$A:$Q,7,FALSE),SETUP_RATES!$A:$H,2,FALSE)))</f>
        <v/>
      </c>
      <c r="C107" s="38" t="str">
        <f>IF(A107="","",VLOOKUP(A107,BOOKINGS!$A:$Q,10,FALSE)*VLOOKUP(VLOOKUP(A107,BOOKINGS!$A:$Q,7,FALSE),SETUP_RATES!$A:$H,6,FALSE))</f>
        <v/>
      </c>
      <c r="D107" s="38" t="str">
        <f>IF(A107="","",MAX(0,VLOOKUP(A107,TRIP_ACTUALS!$A:$O,8,FALSE)-SETUP_RATES!$K$2)*SETUP_RATES!$K$3)</f>
        <v/>
      </c>
      <c r="E107" s="38" t="str">
        <f>IF(A107="","",VLOOKUP(A107,TRIP_ACTUALS!$A:$O,9,FALSE)*VLOOKUP(VLOOKUP(A107,BOOKINGS!$A:$Q,7,FALSE),SETUP_RATES!$A:$H,5,FALSE))</f>
        <v/>
      </c>
      <c r="F107" s="38" t="str">
        <f>IF(A107="","",IFERROR(VLOOKUP(A107,TRIP_ACTUALS!$A:$O,5,FALSE),0))</f>
        <v/>
      </c>
      <c r="G107" s="38" t="str">
        <f>IF(A107="","",IFERROR(VLOOKUP(A107,TRIP_ACTUALS!$A:$O,6,FALSE),0)+IFERROR(VLOOKUP(A107,TRIP_ACTUALS!$A:$O,7,FALSE),0))</f>
        <v/>
      </c>
      <c r="H107" s="38" t="str">
        <f>IF(A107="","",IFERROR(VLOOKUP(VLOOKUP(A107,BOOKINGS!$A:$Q,7,FALSE),SETUP_RATES!$A:$H,8,FALSE),0))</f>
        <v/>
      </c>
      <c r="I107" s="38" t="str">
        <f t="shared" si="1"/>
        <v/>
      </c>
      <c r="J107" s="38" t="str">
        <f>IF(A107="","",IFERROR(VLOOKUP(A107,BOOKINGS!$A:$Q,13,FALSE),0))</f>
        <v/>
      </c>
      <c r="K107" s="38" t="str">
        <f t="shared" si="2"/>
        <v/>
      </c>
      <c r="L107" s="38" t="str">
        <f t="shared" si="3"/>
        <v/>
      </c>
    </row>
    <row r="108" ht="15.75" customHeight="1">
      <c r="A108" s="33" t="str">
        <f>IF(BOOKINGS!A108="","",BOOKINGS!A108)</f>
        <v/>
      </c>
      <c r="B108" s="38" t="str">
        <f>IF(A108="","",MAX(VLOOKUP(A108,BOOKINGS!$A:$Q,6,FALSE)*VLOOKUP(VLOOKUP(A108,BOOKINGS!$A:$Q,7,FALSE),SETUP_RATES!$A:$H,3,FALSE),VLOOKUP(VLOOKUP(A108,BOOKINGS!$A:$Q,7,FALSE),SETUP_RATES!$A:$H,2,FALSE)))</f>
        <v/>
      </c>
      <c r="C108" s="38" t="str">
        <f>IF(A108="","",VLOOKUP(A108,BOOKINGS!$A:$Q,10,FALSE)*VLOOKUP(VLOOKUP(A108,BOOKINGS!$A:$Q,7,FALSE),SETUP_RATES!$A:$H,6,FALSE))</f>
        <v/>
      </c>
      <c r="D108" s="38" t="str">
        <f>IF(A108="","",MAX(0,VLOOKUP(A108,TRIP_ACTUALS!$A:$O,8,FALSE)-SETUP_RATES!$K$2)*SETUP_RATES!$K$3)</f>
        <v/>
      </c>
      <c r="E108" s="38" t="str">
        <f>IF(A108="","",VLOOKUP(A108,TRIP_ACTUALS!$A:$O,9,FALSE)*VLOOKUP(VLOOKUP(A108,BOOKINGS!$A:$Q,7,FALSE),SETUP_RATES!$A:$H,5,FALSE))</f>
        <v/>
      </c>
      <c r="F108" s="38" t="str">
        <f>IF(A108="","",IFERROR(VLOOKUP(A108,TRIP_ACTUALS!$A:$O,5,FALSE),0))</f>
        <v/>
      </c>
      <c r="G108" s="38" t="str">
        <f>IF(A108="","",IFERROR(VLOOKUP(A108,TRIP_ACTUALS!$A:$O,6,FALSE),0)+IFERROR(VLOOKUP(A108,TRIP_ACTUALS!$A:$O,7,FALSE),0))</f>
        <v/>
      </c>
      <c r="H108" s="38" t="str">
        <f>IF(A108="","",IFERROR(VLOOKUP(VLOOKUP(A108,BOOKINGS!$A:$Q,7,FALSE),SETUP_RATES!$A:$H,8,FALSE),0))</f>
        <v/>
      </c>
      <c r="I108" s="38" t="str">
        <f t="shared" si="1"/>
        <v/>
      </c>
      <c r="J108" s="38" t="str">
        <f>IF(A108="","",IFERROR(VLOOKUP(A108,BOOKINGS!$A:$Q,13,FALSE),0))</f>
        <v/>
      </c>
      <c r="K108" s="38" t="str">
        <f t="shared" si="2"/>
        <v/>
      </c>
      <c r="L108" s="38" t="str">
        <f t="shared" si="3"/>
        <v/>
      </c>
    </row>
    <row r="109" ht="15.75" customHeight="1">
      <c r="A109" s="33" t="str">
        <f>IF(BOOKINGS!A109="","",BOOKINGS!A109)</f>
        <v/>
      </c>
      <c r="B109" s="38" t="str">
        <f>IF(A109="","",MAX(VLOOKUP(A109,BOOKINGS!$A:$Q,6,FALSE)*VLOOKUP(VLOOKUP(A109,BOOKINGS!$A:$Q,7,FALSE),SETUP_RATES!$A:$H,3,FALSE),VLOOKUP(VLOOKUP(A109,BOOKINGS!$A:$Q,7,FALSE),SETUP_RATES!$A:$H,2,FALSE)))</f>
        <v/>
      </c>
      <c r="C109" s="38" t="str">
        <f>IF(A109="","",VLOOKUP(A109,BOOKINGS!$A:$Q,10,FALSE)*VLOOKUP(VLOOKUP(A109,BOOKINGS!$A:$Q,7,FALSE),SETUP_RATES!$A:$H,6,FALSE))</f>
        <v/>
      </c>
      <c r="D109" s="38" t="str">
        <f>IF(A109="","",MAX(0,VLOOKUP(A109,TRIP_ACTUALS!$A:$O,8,FALSE)-SETUP_RATES!$K$2)*SETUP_RATES!$K$3)</f>
        <v/>
      </c>
      <c r="E109" s="38" t="str">
        <f>IF(A109="","",VLOOKUP(A109,TRIP_ACTUALS!$A:$O,9,FALSE)*VLOOKUP(VLOOKUP(A109,BOOKINGS!$A:$Q,7,FALSE),SETUP_RATES!$A:$H,5,FALSE))</f>
        <v/>
      </c>
      <c r="F109" s="38" t="str">
        <f>IF(A109="","",IFERROR(VLOOKUP(A109,TRIP_ACTUALS!$A:$O,5,FALSE),0))</f>
        <v/>
      </c>
      <c r="G109" s="38" t="str">
        <f>IF(A109="","",IFERROR(VLOOKUP(A109,TRIP_ACTUALS!$A:$O,6,FALSE),0)+IFERROR(VLOOKUP(A109,TRIP_ACTUALS!$A:$O,7,FALSE),0))</f>
        <v/>
      </c>
      <c r="H109" s="38" t="str">
        <f>IF(A109="","",IFERROR(VLOOKUP(VLOOKUP(A109,BOOKINGS!$A:$Q,7,FALSE),SETUP_RATES!$A:$H,8,FALSE),0))</f>
        <v/>
      </c>
      <c r="I109" s="38" t="str">
        <f t="shared" si="1"/>
        <v/>
      </c>
      <c r="J109" s="38" t="str">
        <f>IF(A109="","",IFERROR(VLOOKUP(A109,BOOKINGS!$A:$Q,13,FALSE),0))</f>
        <v/>
      </c>
      <c r="K109" s="38" t="str">
        <f t="shared" si="2"/>
        <v/>
      </c>
      <c r="L109" s="38" t="str">
        <f t="shared" si="3"/>
        <v/>
      </c>
    </row>
    <row r="110" ht="15.75" customHeight="1">
      <c r="A110" s="33" t="str">
        <f>IF(BOOKINGS!A110="","",BOOKINGS!A110)</f>
        <v/>
      </c>
      <c r="B110" s="38" t="str">
        <f>IF(A110="","",MAX(VLOOKUP(A110,BOOKINGS!$A:$Q,6,FALSE)*VLOOKUP(VLOOKUP(A110,BOOKINGS!$A:$Q,7,FALSE),SETUP_RATES!$A:$H,3,FALSE),VLOOKUP(VLOOKUP(A110,BOOKINGS!$A:$Q,7,FALSE),SETUP_RATES!$A:$H,2,FALSE)))</f>
        <v/>
      </c>
      <c r="C110" s="38" t="str">
        <f>IF(A110="","",VLOOKUP(A110,BOOKINGS!$A:$Q,10,FALSE)*VLOOKUP(VLOOKUP(A110,BOOKINGS!$A:$Q,7,FALSE),SETUP_RATES!$A:$H,6,FALSE))</f>
        <v/>
      </c>
      <c r="D110" s="38" t="str">
        <f>IF(A110="","",MAX(0,VLOOKUP(A110,TRIP_ACTUALS!$A:$O,8,FALSE)-SETUP_RATES!$K$2)*SETUP_RATES!$K$3)</f>
        <v/>
      </c>
      <c r="E110" s="38" t="str">
        <f>IF(A110="","",VLOOKUP(A110,TRIP_ACTUALS!$A:$O,9,FALSE)*VLOOKUP(VLOOKUP(A110,BOOKINGS!$A:$Q,7,FALSE),SETUP_RATES!$A:$H,5,FALSE))</f>
        <v/>
      </c>
      <c r="F110" s="38" t="str">
        <f>IF(A110="","",IFERROR(VLOOKUP(A110,TRIP_ACTUALS!$A:$O,5,FALSE),0))</f>
        <v/>
      </c>
      <c r="G110" s="38" t="str">
        <f>IF(A110="","",IFERROR(VLOOKUP(A110,TRIP_ACTUALS!$A:$O,6,FALSE),0)+IFERROR(VLOOKUP(A110,TRIP_ACTUALS!$A:$O,7,FALSE),0))</f>
        <v/>
      </c>
      <c r="H110" s="38" t="str">
        <f>IF(A110="","",IFERROR(VLOOKUP(VLOOKUP(A110,BOOKINGS!$A:$Q,7,FALSE),SETUP_RATES!$A:$H,8,FALSE),0))</f>
        <v/>
      </c>
      <c r="I110" s="38" t="str">
        <f t="shared" si="1"/>
        <v/>
      </c>
      <c r="J110" s="38" t="str">
        <f>IF(A110="","",IFERROR(VLOOKUP(A110,BOOKINGS!$A:$Q,13,FALSE),0))</f>
        <v/>
      </c>
      <c r="K110" s="38" t="str">
        <f t="shared" si="2"/>
        <v/>
      </c>
      <c r="L110" s="38" t="str">
        <f t="shared" si="3"/>
        <v/>
      </c>
    </row>
    <row r="111" ht="15.75" customHeight="1">
      <c r="A111" s="33" t="str">
        <f>IF(BOOKINGS!A111="","",BOOKINGS!A111)</f>
        <v/>
      </c>
      <c r="B111" s="38" t="str">
        <f>IF(A111="","",MAX(VLOOKUP(A111,BOOKINGS!$A:$Q,6,FALSE)*VLOOKUP(VLOOKUP(A111,BOOKINGS!$A:$Q,7,FALSE),SETUP_RATES!$A:$H,3,FALSE),VLOOKUP(VLOOKUP(A111,BOOKINGS!$A:$Q,7,FALSE),SETUP_RATES!$A:$H,2,FALSE)))</f>
        <v/>
      </c>
      <c r="C111" s="38" t="str">
        <f>IF(A111="","",VLOOKUP(A111,BOOKINGS!$A:$Q,10,FALSE)*VLOOKUP(VLOOKUP(A111,BOOKINGS!$A:$Q,7,FALSE),SETUP_RATES!$A:$H,6,FALSE))</f>
        <v/>
      </c>
      <c r="D111" s="38" t="str">
        <f>IF(A111="","",MAX(0,VLOOKUP(A111,TRIP_ACTUALS!$A:$O,8,FALSE)-SETUP_RATES!$K$2)*SETUP_RATES!$K$3)</f>
        <v/>
      </c>
      <c r="E111" s="38" t="str">
        <f>IF(A111="","",VLOOKUP(A111,TRIP_ACTUALS!$A:$O,9,FALSE)*VLOOKUP(VLOOKUP(A111,BOOKINGS!$A:$Q,7,FALSE),SETUP_RATES!$A:$H,5,FALSE))</f>
        <v/>
      </c>
      <c r="F111" s="38" t="str">
        <f>IF(A111="","",IFERROR(VLOOKUP(A111,TRIP_ACTUALS!$A:$O,5,FALSE),0))</f>
        <v/>
      </c>
      <c r="G111" s="38" t="str">
        <f>IF(A111="","",IFERROR(VLOOKUP(A111,TRIP_ACTUALS!$A:$O,6,FALSE),0)+IFERROR(VLOOKUP(A111,TRIP_ACTUALS!$A:$O,7,FALSE),0))</f>
        <v/>
      </c>
      <c r="H111" s="38" t="str">
        <f>IF(A111="","",IFERROR(VLOOKUP(VLOOKUP(A111,BOOKINGS!$A:$Q,7,FALSE),SETUP_RATES!$A:$H,8,FALSE),0))</f>
        <v/>
      </c>
      <c r="I111" s="38" t="str">
        <f t="shared" si="1"/>
        <v/>
      </c>
      <c r="J111" s="38" t="str">
        <f>IF(A111="","",IFERROR(VLOOKUP(A111,BOOKINGS!$A:$Q,13,FALSE),0))</f>
        <v/>
      </c>
      <c r="K111" s="38" t="str">
        <f t="shared" si="2"/>
        <v/>
      </c>
      <c r="L111" s="38" t="str">
        <f t="shared" si="3"/>
        <v/>
      </c>
    </row>
    <row r="112" ht="15.75" customHeight="1">
      <c r="A112" s="33" t="str">
        <f>IF(BOOKINGS!A112="","",BOOKINGS!A112)</f>
        <v/>
      </c>
      <c r="B112" s="38" t="str">
        <f>IF(A112="","",MAX(VLOOKUP(A112,BOOKINGS!$A:$Q,6,FALSE)*VLOOKUP(VLOOKUP(A112,BOOKINGS!$A:$Q,7,FALSE),SETUP_RATES!$A:$H,3,FALSE),VLOOKUP(VLOOKUP(A112,BOOKINGS!$A:$Q,7,FALSE),SETUP_RATES!$A:$H,2,FALSE)))</f>
        <v/>
      </c>
      <c r="C112" s="38" t="str">
        <f>IF(A112="","",VLOOKUP(A112,BOOKINGS!$A:$Q,10,FALSE)*VLOOKUP(VLOOKUP(A112,BOOKINGS!$A:$Q,7,FALSE),SETUP_RATES!$A:$H,6,FALSE))</f>
        <v/>
      </c>
      <c r="D112" s="38" t="str">
        <f>IF(A112="","",MAX(0,VLOOKUP(A112,TRIP_ACTUALS!$A:$O,8,FALSE)-SETUP_RATES!$K$2)*SETUP_RATES!$K$3)</f>
        <v/>
      </c>
      <c r="E112" s="38" t="str">
        <f>IF(A112="","",VLOOKUP(A112,TRIP_ACTUALS!$A:$O,9,FALSE)*VLOOKUP(VLOOKUP(A112,BOOKINGS!$A:$Q,7,FALSE),SETUP_RATES!$A:$H,5,FALSE))</f>
        <v/>
      </c>
      <c r="F112" s="38" t="str">
        <f>IF(A112="","",IFERROR(VLOOKUP(A112,TRIP_ACTUALS!$A:$O,5,FALSE),0))</f>
        <v/>
      </c>
      <c r="G112" s="38" t="str">
        <f>IF(A112="","",IFERROR(VLOOKUP(A112,TRIP_ACTUALS!$A:$O,6,FALSE),0)+IFERROR(VLOOKUP(A112,TRIP_ACTUALS!$A:$O,7,FALSE),0))</f>
        <v/>
      </c>
      <c r="H112" s="38" t="str">
        <f>IF(A112="","",IFERROR(VLOOKUP(VLOOKUP(A112,BOOKINGS!$A:$Q,7,FALSE),SETUP_RATES!$A:$H,8,FALSE),0))</f>
        <v/>
      </c>
      <c r="I112" s="38" t="str">
        <f t="shared" si="1"/>
        <v/>
      </c>
      <c r="J112" s="38" t="str">
        <f>IF(A112="","",IFERROR(VLOOKUP(A112,BOOKINGS!$A:$Q,13,FALSE),0))</f>
        <v/>
      </c>
      <c r="K112" s="38" t="str">
        <f t="shared" si="2"/>
        <v/>
      </c>
      <c r="L112" s="38" t="str">
        <f t="shared" si="3"/>
        <v/>
      </c>
    </row>
    <row r="113" ht="15.75" customHeight="1">
      <c r="A113" s="33" t="str">
        <f>IF(BOOKINGS!A113="","",BOOKINGS!A113)</f>
        <v/>
      </c>
      <c r="B113" s="38" t="str">
        <f>IF(A113="","",MAX(VLOOKUP(A113,BOOKINGS!$A:$Q,6,FALSE)*VLOOKUP(VLOOKUP(A113,BOOKINGS!$A:$Q,7,FALSE),SETUP_RATES!$A:$H,3,FALSE),VLOOKUP(VLOOKUP(A113,BOOKINGS!$A:$Q,7,FALSE),SETUP_RATES!$A:$H,2,FALSE)))</f>
        <v/>
      </c>
      <c r="C113" s="38" t="str">
        <f>IF(A113="","",VLOOKUP(A113,BOOKINGS!$A:$Q,10,FALSE)*VLOOKUP(VLOOKUP(A113,BOOKINGS!$A:$Q,7,FALSE),SETUP_RATES!$A:$H,6,FALSE))</f>
        <v/>
      </c>
      <c r="D113" s="38" t="str">
        <f>IF(A113="","",MAX(0,VLOOKUP(A113,TRIP_ACTUALS!$A:$O,8,FALSE)-SETUP_RATES!$K$2)*SETUP_RATES!$K$3)</f>
        <v/>
      </c>
      <c r="E113" s="38" t="str">
        <f>IF(A113="","",VLOOKUP(A113,TRIP_ACTUALS!$A:$O,9,FALSE)*VLOOKUP(VLOOKUP(A113,BOOKINGS!$A:$Q,7,FALSE),SETUP_RATES!$A:$H,5,FALSE))</f>
        <v/>
      </c>
      <c r="F113" s="38" t="str">
        <f>IF(A113="","",IFERROR(VLOOKUP(A113,TRIP_ACTUALS!$A:$O,5,FALSE),0))</f>
        <v/>
      </c>
      <c r="G113" s="38" t="str">
        <f>IF(A113="","",IFERROR(VLOOKUP(A113,TRIP_ACTUALS!$A:$O,6,FALSE),0)+IFERROR(VLOOKUP(A113,TRIP_ACTUALS!$A:$O,7,FALSE),0))</f>
        <v/>
      </c>
      <c r="H113" s="38" t="str">
        <f>IF(A113="","",IFERROR(VLOOKUP(VLOOKUP(A113,BOOKINGS!$A:$Q,7,FALSE),SETUP_RATES!$A:$H,8,FALSE),0))</f>
        <v/>
      </c>
      <c r="I113" s="38" t="str">
        <f t="shared" si="1"/>
        <v/>
      </c>
      <c r="J113" s="38" t="str">
        <f>IF(A113="","",IFERROR(VLOOKUP(A113,BOOKINGS!$A:$Q,13,FALSE),0))</f>
        <v/>
      </c>
      <c r="K113" s="38" t="str">
        <f t="shared" si="2"/>
        <v/>
      </c>
      <c r="L113" s="38" t="str">
        <f t="shared" si="3"/>
        <v/>
      </c>
    </row>
    <row r="114" ht="15.75" customHeight="1">
      <c r="A114" s="33" t="str">
        <f>IF(BOOKINGS!A114="","",BOOKINGS!A114)</f>
        <v/>
      </c>
      <c r="B114" s="38" t="str">
        <f>IF(A114="","",MAX(VLOOKUP(A114,BOOKINGS!$A:$Q,6,FALSE)*VLOOKUP(VLOOKUP(A114,BOOKINGS!$A:$Q,7,FALSE),SETUP_RATES!$A:$H,3,FALSE),VLOOKUP(VLOOKUP(A114,BOOKINGS!$A:$Q,7,FALSE),SETUP_RATES!$A:$H,2,FALSE)))</f>
        <v/>
      </c>
      <c r="C114" s="38" t="str">
        <f>IF(A114="","",VLOOKUP(A114,BOOKINGS!$A:$Q,10,FALSE)*VLOOKUP(VLOOKUP(A114,BOOKINGS!$A:$Q,7,FALSE),SETUP_RATES!$A:$H,6,FALSE))</f>
        <v/>
      </c>
      <c r="D114" s="38" t="str">
        <f>IF(A114="","",MAX(0,VLOOKUP(A114,TRIP_ACTUALS!$A:$O,8,FALSE)-SETUP_RATES!$K$2)*SETUP_RATES!$K$3)</f>
        <v/>
      </c>
      <c r="E114" s="38" t="str">
        <f>IF(A114="","",VLOOKUP(A114,TRIP_ACTUALS!$A:$O,9,FALSE)*VLOOKUP(VLOOKUP(A114,BOOKINGS!$A:$Q,7,FALSE),SETUP_RATES!$A:$H,5,FALSE))</f>
        <v/>
      </c>
      <c r="F114" s="38" t="str">
        <f>IF(A114="","",IFERROR(VLOOKUP(A114,TRIP_ACTUALS!$A:$O,5,FALSE),0))</f>
        <v/>
      </c>
      <c r="G114" s="38" t="str">
        <f>IF(A114="","",IFERROR(VLOOKUP(A114,TRIP_ACTUALS!$A:$O,6,FALSE),0)+IFERROR(VLOOKUP(A114,TRIP_ACTUALS!$A:$O,7,FALSE),0))</f>
        <v/>
      </c>
      <c r="H114" s="38" t="str">
        <f>IF(A114="","",IFERROR(VLOOKUP(VLOOKUP(A114,BOOKINGS!$A:$Q,7,FALSE),SETUP_RATES!$A:$H,8,FALSE),0))</f>
        <v/>
      </c>
      <c r="I114" s="38" t="str">
        <f t="shared" si="1"/>
        <v/>
      </c>
      <c r="J114" s="38" t="str">
        <f>IF(A114="","",IFERROR(VLOOKUP(A114,BOOKINGS!$A:$Q,13,FALSE),0))</f>
        <v/>
      </c>
      <c r="K114" s="38" t="str">
        <f t="shared" si="2"/>
        <v/>
      </c>
      <c r="L114" s="38" t="str">
        <f t="shared" si="3"/>
        <v/>
      </c>
    </row>
    <row r="115" ht="15.75" customHeight="1">
      <c r="A115" s="33" t="str">
        <f>IF(BOOKINGS!A115="","",BOOKINGS!A115)</f>
        <v/>
      </c>
      <c r="B115" s="38" t="str">
        <f>IF(A115="","",MAX(VLOOKUP(A115,BOOKINGS!$A:$Q,6,FALSE)*VLOOKUP(VLOOKUP(A115,BOOKINGS!$A:$Q,7,FALSE),SETUP_RATES!$A:$H,3,FALSE),VLOOKUP(VLOOKUP(A115,BOOKINGS!$A:$Q,7,FALSE),SETUP_RATES!$A:$H,2,FALSE)))</f>
        <v/>
      </c>
      <c r="C115" s="38" t="str">
        <f>IF(A115="","",VLOOKUP(A115,BOOKINGS!$A:$Q,10,FALSE)*VLOOKUP(VLOOKUP(A115,BOOKINGS!$A:$Q,7,FALSE),SETUP_RATES!$A:$H,6,FALSE))</f>
        <v/>
      </c>
      <c r="D115" s="38" t="str">
        <f>IF(A115="","",MAX(0,VLOOKUP(A115,TRIP_ACTUALS!$A:$O,8,FALSE)-SETUP_RATES!$K$2)*SETUP_RATES!$K$3)</f>
        <v/>
      </c>
      <c r="E115" s="38" t="str">
        <f>IF(A115="","",VLOOKUP(A115,TRIP_ACTUALS!$A:$O,9,FALSE)*VLOOKUP(VLOOKUP(A115,BOOKINGS!$A:$Q,7,FALSE),SETUP_RATES!$A:$H,5,FALSE))</f>
        <v/>
      </c>
      <c r="F115" s="38" t="str">
        <f>IF(A115="","",IFERROR(VLOOKUP(A115,TRIP_ACTUALS!$A:$O,5,FALSE),0))</f>
        <v/>
      </c>
      <c r="G115" s="38" t="str">
        <f>IF(A115="","",IFERROR(VLOOKUP(A115,TRIP_ACTUALS!$A:$O,6,FALSE),0)+IFERROR(VLOOKUP(A115,TRIP_ACTUALS!$A:$O,7,FALSE),0))</f>
        <v/>
      </c>
      <c r="H115" s="38" t="str">
        <f>IF(A115="","",IFERROR(VLOOKUP(VLOOKUP(A115,BOOKINGS!$A:$Q,7,FALSE),SETUP_RATES!$A:$H,8,FALSE),0))</f>
        <v/>
      </c>
      <c r="I115" s="38" t="str">
        <f t="shared" si="1"/>
        <v/>
      </c>
      <c r="J115" s="38" t="str">
        <f>IF(A115="","",IFERROR(VLOOKUP(A115,BOOKINGS!$A:$Q,13,FALSE),0))</f>
        <v/>
      </c>
      <c r="K115" s="38" t="str">
        <f t="shared" si="2"/>
        <v/>
      </c>
      <c r="L115" s="38" t="str">
        <f t="shared" si="3"/>
        <v/>
      </c>
    </row>
    <row r="116" ht="15.75" customHeight="1">
      <c r="A116" s="33" t="str">
        <f>IF(BOOKINGS!A116="","",BOOKINGS!A116)</f>
        <v/>
      </c>
      <c r="B116" s="38" t="str">
        <f>IF(A116="","",MAX(VLOOKUP(A116,BOOKINGS!$A:$Q,6,FALSE)*VLOOKUP(VLOOKUP(A116,BOOKINGS!$A:$Q,7,FALSE),SETUP_RATES!$A:$H,3,FALSE),VLOOKUP(VLOOKUP(A116,BOOKINGS!$A:$Q,7,FALSE),SETUP_RATES!$A:$H,2,FALSE)))</f>
        <v/>
      </c>
      <c r="C116" s="38" t="str">
        <f>IF(A116="","",VLOOKUP(A116,BOOKINGS!$A:$Q,10,FALSE)*VLOOKUP(VLOOKUP(A116,BOOKINGS!$A:$Q,7,FALSE),SETUP_RATES!$A:$H,6,FALSE))</f>
        <v/>
      </c>
      <c r="D116" s="38" t="str">
        <f>IF(A116="","",MAX(0,VLOOKUP(A116,TRIP_ACTUALS!$A:$O,8,FALSE)-SETUP_RATES!$K$2)*SETUP_RATES!$K$3)</f>
        <v/>
      </c>
      <c r="E116" s="38" t="str">
        <f>IF(A116="","",VLOOKUP(A116,TRIP_ACTUALS!$A:$O,9,FALSE)*VLOOKUP(VLOOKUP(A116,BOOKINGS!$A:$Q,7,FALSE),SETUP_RATES!$A:$H,5,FALSE))</f>
        <v/>
      </c>
      <c r="F116" s="38" t="str">
        <f>IF(A116="","",IFERROR(VLOOKUP(A116,TRIP_ACTUALS!$A:$O,5,FALSE),0))</f>
        <v/>
      </c>
      <c r="G116" s="38" t="str">
        <f>IF(A116="","",IFERROR(VLOOKUP(A116,TRIP_ACTUALS!$A:$O,6,FALSE),0)+IFERROR(VLOOKUP(A116,TRIP_ACTUALS!$A:$O,7,FALSE),0))</f>
        <v/>
      </c>
      <c r="H116" s="38" t="str">
        <f>IF(A116="","",IFERROR(VLOOKUP(VLOOKUP(A116,BOOKINGS!$A:$Q,7,FALSE),SETUP_RATES!$A:$H,8,FALSE),0))</f>
        <v/>
      </c>
      <c r="I116" s="38" t="str">
        <f t="shared" si="1"/>
        <v/>
      </c>
      <c r="J116" s="38" t="str">
        <f>IF(A116="","",IFERROR(VLOOKUP(A116,BOOKINGS!$A:$Q,13,FALSE),0))</f>
        <v/>
      </c>
      <c r="K116" s="38" t="str">
        <f t="shared" si="2"/>
        <v/>
      </c>
      <c r="L116" s="38" t="str">
        <f t="shared" si="3"/>
        <v/>
      </c>
    </row>
    <row r="117" ht="15.75" customHeight="1">
      <c r="A117" s="33" t="str">
        <f>IF(BOOKINGS!A117="","",BOOKINGS!A117)</f>
        <v/>
      </c>
      <c r="B117" s="38" t="str">
        <f>IF(A117="","",MAX(VLOOKUP(A117,BOOKINGS!$A:$Q,6,FALSE)*VLOOKUP(VLOOKUP(A117,BOOKINGS!$A:$Q,7,FALSE),SETUP_RATES!$A:$H,3,FALSE),VLOOKUP(VLOOKUP(A117,BOOKINGS!$A:$Q,7,FALSE),SETUP_RATES!$A:$H,2,FALSE)))</f>
        <v/>
      </c>
      <c r="C117" s="38" t="str">
        <f>IF(A117="","",VLOOKUP(A117,BOOKINGS!$A:$Q,10,FALSE)*VLOOKUP(VLOOKUP(A117,BOOKINGS!$A:$Q,7,FALSE),SETUP_RATES!$A:$H,6,FALSE))</f>
        <v/>
      </c>
      <c r="D117" s="38" t="str">
        <f>IF(A117="","",MAX(0,VLOOKUP(A117,TRIP_ACTUALS!$A:$O,8,FALSE)-SETUP_RATES!$K$2)*SETUP_RATES!$K$3)</f>
        <v/>
      </c>
      <c r="E117" s="38" t="str">
        <f>IF(A117="","",VLOOKUP(A117,TRIP_ACTUALS!$A:$O,9,FALSE)*VLOOKUP(VLOOKUP(A117,BOOKINGS!$A:$Q,7,FALSE),SETUP_RATES!$A:$H,5,FALSE))</f>
        <v/>
      </c>
      <c r="F117" s="38" t="str">
        <f>IF(A117="","",IFERROR(VLOOKUP(A117,TRIP_ACTUALS!$A:$O,5,FALSE),0))</f>
        <v/>
      </c>
      <c r="G117" s="38" t="str">
        <f>IF(A117="","",IFERROR(VLOOKUP(A117,TRIP_ACTUALS!$A:$O,6,FALSE),0)+IFERROR(VLOOKUP(A117,TRIP_ACTUALS!$A:$O,7,FALSE),0))</f>
        <v/>
      </c>
      <c r="H117" s="38" t="str">
        <f>IF(A117="","",IFERROR(VLOOKUP(VLOOKUP(A117,BOOKINGS!$A:$Q,7,FALSE),SETUP_RATES!$A:$H,8,FALSE),0))</f>
        <v/>
      </c>
      <c r="I117" s="38" t="str">
        <f t="shared" si="1"/>
        <v/>
      </c>
      <c r="J117" s="38" t="str">
        <f>IF(A117="","",IFERROR(VLOOKUP(A117,BOOKINGS!$A:$Q,13,FALSE),0))</f>
        <v/>
      </c>
      <c r="K117" s="38" t="str">
        <f t="shared" si="2"/>
        <v/>
      </c>
      <c r="L117" s="38" t="str">
        <f t="shared" si="3"/>
        <v/>
      </c>
    </row>
    <row r="118" ht="15.75" customHeight="1">
      <c r="A118" s="33" t="str">
        <f>IF(BOOKINGS!A118="","",BOOKINGS!A118)</f>
        <v/>
      </c>
      <c r="B118" s="38" t="str">
        <f>IF(A118="","",MAX(VLOOKUP(A118,BOOKINGS!$A:$Q,6,FALSE)*VLOOKUP(VLOOKUP(A118,BOOKINGS!$A:$Q,7,FALSE),SETUP_RATES!$A:$H,3,FALSE),VLOOKUP(VLOOKUP(A118,BOOKINGS!$A:$Q,7,FALSE),SETUP_RATES!$A:$H,2,FALSE)))</f>
        <v/>
      </c>
      <c r="C118" s="38" t="str">
        <f>IF(A118="","",VLOOKUP(A118,BOOKINGS!$A:$Q,10,FALSE)*VLOOKUP(VLOOKUP(A118,BOOKINGS!$A:$Q,7,FALSE),SETUP_RATES!$A:$H,6,FALSE))</f>
        <v/>
      </c>
      <c r="D118" s="38" t="str">
        <f>IF(A118="","",MAX(0,VLOOKUP(A118,TRIP_ACTUALS!$A:$O,8,FALSE)-SETUP_RATES!$K$2)*SETUP_RATES!$K$3)</f>
        <v/>
      </c>
      <c r="E118" s="38" t="str">
        <f>IF(A118="","",VLOOKUP(A118,TRIP_ACTUALS!$A:$O,9,FALSE)*VLOOKUP(VLOOKUP(A118,BOOKINGS!$A:$Q,7,FALSE),SETUP_RATES!$A:$H,5,FALSE))</f>
        <v/>
      </c>
      <c r="F118" s="38" t="str">
        <f>IF(A118="","",IFERROR(VLOOKUP(A118,TRIP_ACTUALS!$A:$O,5,FALSE),0))</f>
        <v/>
      </c>
      <c r="G118" s="38" t="str">
        <f>IF(A118="","",IFERROR(VLOOKUP(A118,TRIP_ACTUALS!$A:$O,6,FALSE),0)+IFERROR(VLOOKUP(A118,TRIP_ACTUALS!$A:$O,7,FALSE),0))</f>
        <v/>
      </c>
      <c r="H118" s="38" t="str">
        <f>IF(A118="","",IFERROR(VLOOKUP(VLOOKUP(A118,BOOKINGS!$A:$Q,7,FALSE),SETUP_RATES!$A:$H,8,FALSE),0))</f>
        <v/>
      </c>
      <c r="I118" s="38" t="str">
        <f t="shared" si="1"/>
        <v/>
      </c>
      <c r="J118" s="38" t="str">
        <f>IF(A118="","",IFERROR(VLOOKUP(A118,BOOKINGS!$A:$Q,13,FALSE),0))</f>
        <v/>
      </c>
      <c r="K118" s="38" t="str">
        <f t="shared" si="2"/>
        <v/>
      </c>
      <c r="L118" s="38" t="str">
        <f t="shared" si="3"/>
        <v/>
      </c>
    </row>
    <row r="119" ht="15.75" customHeight="1">
      <c r="A119" s="33" t="str">
        <f>IF(BOOKINGS!A119="","",BOOKINGS!A119)</f>
        <v/>
      </c>
      <c r="B119" s="38" t="str">
        <f>IF(A119="","",MAX(VLOOKUP(A119,BOOKINGS!$A:$Q,6,FALSE)*VLOOKUP(VLOOKUP(A119,BOOKINGS!$A:$Q,7,FALSE),SETUP_RATES!$A:$H,3,FALSE),VLOOKUP(VLOOKUP(A119,BOOKINGS!$A:$Q,7,FALSE),SETUP_RATES!$A:$H,2,FALSE)))</f>
        <v/>
      </c>
      <c r="C119" s="38" t="str">
        <f>IF(A119="","",VLOOKUP(A119,BOOKINGS!$A:$Q,10,FALSE)*VLOOKUP(VLOOKUP(A119,BOOKINGS!$A:$Q,7,FALSE),SETUP_RATES!$A:$H,6,FALSE))</f>
        <v/>
      </c>
      <c r="D119" s="38" t="str">
        <f>IF(A119="","",MAX(0,VLOOKUP(A119,TRIP_ACTUALS!$A:$O,8,FALSE)-SETUP_RATES!$K$2)*SETUP_RATES!$K$3)</f>
        <v/>
      </c>
      <c r="E119" s="38" t="str">
        <f>IF(A119="","",VLOOKUP(A119,TRIP_ACTUALS!$A:$O,9,FALSE)*VLOOKUP(VLOOKUP(A119,BOOKINGS!$A:$Q,7,FALSE),SETUP_RATES!$A:$H,5,FALSE))</f>
        <v/>
      </c>
      <c r="F119" s="38" t="str">
        <f>IF(A119="","",IFERROR(VLOOKUP(A119,TRIP_ACTUALS!$A:$O,5,FALSE),0))</f>
        <v/>
      </c>
      <c r="G119" s="38" t="str">
        <f>IF(A119="","",IFERROR(VLOOKUP(A119,TRIP_ACTUALS!$A:$O,6,FALSE),0)+IFERROR(VLOOKUP(A119,TRIP_ACTUALS!$A:$O,7,FALSE),0))</f>
        <v/>
      </c>
      <c r="H119" s="38" t="str">
        <f>IF(A119="","",IFERROR(VLOOKUP(VLOOKUP(A119,BOOKINGS!$A:$Q,7,FALSE),SETUP_RATES!$A:$H,8,FALSE),0))</f>
        <v/>
      </c>
      <c r="I119" s="38" t="str">
        <f t="shared" si="1"/>
        <v/>
      </c>
      <c r="J119" s="38" t="str">
        <f>IF(A119="","",IFERROR(VLOOKUP(A119,BOOKINGS!$A:$Q,13,FALSE),0))</f>
        <v/>
      </c>
      <c r="K119" s="38" t="str">
        <f t="shared" si="2"/>
        <v/>
      </c>
      <c r="L119" s="38" t="str">
        <f t="shared" si="3"/>
        <v/>
      </c>
    </row>
    <row r="120" ht="15.75" customHeight="1">
      <c r="A120" s="33" t="str">
        <f>IF(BOOKINGS!A120="","",BOOKINGS!A120)</f>
        <v/>
      </c>
      <c r="B120" s="38" t="str">
        <f>IF(A120="","",MAX(VLOOKUP(A120,BOOKINGS!$A:$Q,6,FALSE)*VLOOKUP(VLOOKUP(A120,BOOKINGS!$A:$Q,7,FALSE),SETUP_RATES!$A:$H,3,FALSE),VLOOKUP(VLOOKUP(A120,BOOKINGS!$A:$Q,7,FALSE),SETUP_RATES!$A:$H,2,FALSE)))</f>
        <v/>
      </c>
      <c r="C120" s="38" t="str">
        <f>IF(A120="","",VLOOKUP(A120,BOOKINGS!$A:$Q,10,FALSE)*VLOOKUP(VLOOKUP(A120,BOOKINGS!$A:$Q,7,FALSE),SETUP_RATES!$A:$H,6,FALSE))</f>
        <v/>
      </c>
      <c r="D120" s="38" t="str">
        <f>IF(A120="","",MAX(0,VLOOKUP(A120,TRIP_ACTUALS!$A:$O,8,FALSE)-SETUP_RATES!$K$2)*SETUP_RATES!$K$3)</f>
        <v/>
      </c>
      <c r="E120" s="38" t="str">
        <f>IF(A120="","",VLOOKUP(A120,TRIP_ACTUALS!$A:$O,9,FALSE)*VLOOKUP(VLOOKUP(A120,BOOKINGS!$A:$Q,7,FALSE),SETUP_RATES!$A:$H,5,FALSE))</f>
        <v/>
      </c>
      <c r="F120" s="38" t="str">
        <f>IF(A120="","",IFERROR(VLOOKUP(A120,TRIP_ACTUALS!$A:$O,5,FALSE),0))</f>
        <v/>
      </c>
      <c r="G120" s="38" t="str">
        <f>IF(A120="","",IFERROR(VLOOKUP(A120,TRIP_ACTUALS!$A:$O,6,FALSE),0)+IFERROR(VLOOKUP(A120,TRIP_ACTUALS!$A:$O,7,FALSE),0))</f>
        <v/>
      </c>
      <c r="H120" s="38" t="str">
        <f>IF(A120="","",IFERROR(VLOOKUP(VLOOKUP(A120,BOOKINGS!$A:$Q,7,FALSE),SETUP_RATES!$A:$H,8,FALSE),0))</f>
        <v/>
      </c>
      <c r="I120" s="38" t="str">
        <f t="shared" si="1"/>
        <v/>
      </c>
      <c r="J120" s="38" t="str">
        <f>IF(A120="","",IFERROR(VLOOKUP(A120,BOOKINGS!$A:$Q,13,FALSE),0))</f>
        <v/>
      </c>
      <c r="K120" s="38" t="str">
        <f t="shared" si="2"/>
        <v/>
      </c>
      <c r="L120" s="38" t="str">
        <f t="shared" si="3"/>
        <v/>
      </c>
    </row>
    <row r="121" ht="15.75" customHeight="1">
      <c r="A121" s="33" t="str">
        <f>IF(BOOKINGS!A121="","",BOOKINGS!A121)</f>
        <v/>
      </c>
      <c r="B121" s="38" t="str">
        <f>IF(A121="","",MAX(VLOOKUP(A121,BOOKINGS!$A:$Q,6,FALSE)*VLOOKUP(VLOOKUP(A121,BOOKINGS!$A:$Q,7,FALSE),SETUP_RATES!$A:$H,3,FALSE),VLOOKUP(VLOOKUP(A121,BOOKINGS!$A:$Q,7,FALSE),SETUP_RATES!$A:$H,2,FALSE)))</f>
        <v/>
      </c>
      <c r="C121" s="38" t="str">
        <f>IF(A121="","",VLOOKUP(A121,BOOKINGS!$A:$Q,10,FALSE)*VLOOKUP(VLOOKUP(A121,BOOKINGS!$A:$Q,7,FALSE),SETUP_RATES!$A:$H,6,FALSE))</f>
        <v/>
      </c>
      <c r="D121" s="38" t="str">
        <f>IF(A121="","",MAX(0,VLOOKUP(A121,TRIP_ACTUALS!$A:$O,8,FALSE)-SETUP_RATES!$K$2)*SETUP_RATES!$K$3)</f>
        <v/>
      </c>
      <c r="E121" s="38" t="str">
        <f>IF(A121="","",VLOOKUP(A121,TRIP_ACTUALS!$A:$O,9,FALSE)*VLOOKUP(VLOOKUP(A121,BOOKINGS!$A:$Q,7,FALSE),SETUP_RATES!$A:$H,5,FALSE))</f>
        <v/>
      </c>
      <c r="F121" s="38" t="str">
        <f>IF(A121="","",IFERROR(VLOOKUP(A121,TRIP_ACTUALS!$A:$O,5,FALSE),0))</f>
        <v/>
      </c>
      <c r="G121" s="38" t="str">
        <f>IF(A121="","",IFERROR(VLOOKUP(A121,TRIP_ACTUALS!$A:$O,6,FALSE),0)+IFERROR(VLOOKUP(A121,TRIP_ACTUALS!$A:$O,7,FALSE),0))</f>
        <v/>
      </c>
      <c r="H121" s="38" t="str">
        <f>IF(A121="","",IFERROR(VLOOKUP(VLOOKUP(A121,BOOKINGS!$A:$Q,7,FALSE),SETUP_RATES!$A:$H,8,FALSE),0))</f>
        <v/>
      </c>
      <c r="I121" s="38" t="str">
        <f t="shared" si="1"/>
        <v/>
      </c>
      <c r="J121" s="38" t="str">
        <f>IF(A121="","",IFERROR(VLOOKUP(A121,BOOKINGS!$A:$Q,13,FALSE),0))</f>
        <v/>
      </c>
      <c r="K121" s="38" t="str">
        <f t="shared" si="2"/>
        <v/>
      </c>
      <c r="L121" s="38" t="str">
        <f t="shared" si="3"/>
        <v/>
      </c>
    </row>
    <row r="122" ht="15.75" customHeight="1">
      <c r="A122" s="33" t="str">
        <f>IF(BOOKINGS!A122="","",BOOKINGS!A122)</f>
        <v/>
      </c>
      <c r="B122" s="38" t="str">
        <f>IF(A122="","",MAX(VLOOKUP(A122,BOOKINGS!$A:$Q,6,FALSE)*VLOOKUP(VLOOKUP(A122,BOOKINGS!$A:$Q,7,FALSE),SETUP_RATES!$A:$H,3,FALSE),VLOOKUP(VLOOKUP(A122,BOOKINGS!$A:$Q,7,FALSE),SETUP_RATES!$A:$H,2,FALSE)))</f>
        <v/>
      </c>
      <c r="C122" s="38" t="str">
        <f>IF(A122="","",VLOOKUP(A122,BOOKINGS!$A:$Q,10,FALSE)*VLOOKUP(VLOOKUP(A122,BOOKINGS!$A:$Q,7,FALSE),SETUP_RATES!$A:$H,6,FALSE))</f>
        <v/>
      </c>
      <c r="D122" s="38" t="str">
        <f>IF(A122="","",MAX(0,VLOOKUP(A122,TRIP_ACTUALS!$A:$O,8,FALSE)-SETUP_RATES!$K$2)*SETUP_RATES!$K$3)</f>
        <v/>
      </c>
      <c r="E122" s="38" t="str">
        <f>IF(A122="","",VLOOKUP(A122,TRIP_ACTUALS!$A:$O,9,FALSE)*VLOOKUP(VLOOKUP(A122,BOOKINGS!$A:$Q,7,FALSE),SETUP_RATES!$A:$H,5,FALSE))</f>
        <v/>
      </c>
      <c r="F122" s="38" t="str">
        <f>IF(A122="","",IFERROR(VLOOKUP(A122,TRIP_ACTUALS!$A:$O,5,FALSE),0))</f>
        <v/>
      </c>
      <c r="G122" s="38" t="str">
        <f>IF(A122="","",IFERROR(VLOOKUP(A122,TRIP_ACTUALS!$A:$O,6,FALSE),0)+IFERROR(VLOOKUP(A122,TRIP_ACTUALS!$A:$O,7,FALSE),0))</f>
        <v/>
      </c>
      <c r="H122" s="38" t="str">
        <f>IF(A122="","",IFERROR(VLOOKUP(VLOOKUP(A122,BOOKINGS!$A:$Q,7,FALSE),SETUP_RATES!$A:$H,8,FALSE),0))</f>
        <v/>
      </c>
      <c r="I122" s="38" t="str">
        <f t="shared" si="1"/>
        <v/>
      </c>
      <c r="J122" s="38" t="str">
        <f>IF(A122="","",IFERROR(VLOOKUP(A122,BOOKINGS!$A:$Q,13,FALSE),0))</f>
        <v/>
      </c>
      <c r="K122" s="38" t="str">
        <f t="shared" si="2"/>
        <v/>
      </c>
      <c r="L122" s="38" t="str">
        <f t="shared" si="3"/>
        <v/>
      </c>
    </row>
    <row r="123" ht="15.75" customHeight="1">
      <c r="A123" s="33" t="str">
        <f>IF(BOOKINGS!A123="","",BOOKINGS!A123)</f>
        <v/>
      </c>
      <c r="B123" s="38" t="str">
        <f>IF(A123="","",MAX(VLOOKUP(A123,BOOKINGS!$A:$Q,6,FALSE)*VLOOKUP(VLOOKUP(A123,BOOKINGS!$A:$Q,7,FALSE),SETUP_RATES!$A:$H,3,FALSE),VLOOKUP(VLOOKUP(A123,BOOKINGS!$A:$Q,7,FALSE),SETUP_RATES!$A:$H,2,FALSE)))</f>
        <v/>
      </c>
      <c r="C123" s="38" t="str">
        <f>IF(A123="","",VLOOKUP(A123,BOOKINGS!$A:$Q,10,FALSE)*VLOOKUP(VLOOKUP(A123,BOOKINGS!$A:$Q,7,FALSE),SETUP_RATES!$A:$H,6,FALSE))</f>
        <v/>
      </c>
      <c r="D123" s="38" t="str">
        <f>IF(A123="","",MAX(0,VLOOKUP(A123,TRIP_ACTUALS!$A:$O,8,FALSE)-SETUP_RATES!$K$2)*SETUP_RATES!$K$3)</f>
        <v/>
      </c>
      <c r="E123" s="38" t="str">
        <f>IF(A123="","",VLOOKUP(A123,TRIP_ACTUALS!$A:$O,9,FALSE)*VLOOKUP(VLOOKUP(A123,BOOKINGS!$A:$Q,7,FALSE),SETUP_RATES!$A:$H,5,FALSE))</f>
        <v/>
      </c>
      <c r="F123" s="38" t="str">
        <f>IF(A123="","",IFERROR(VLOOKUP(A123,TRIP_ACTUALS!$A:$O,5,FALSE),0))</f>
        <v/>
      </c>
      <c r="G123" s="38" t="str">
        <f>IF(A123="","",IFERROR(VLOOKUP(A123,TRIP_ACTUALS!$A:$O,6,FALSE),0)+IFERROR(VLOOKUP(A123,TRIP_ACTUALS!$A:$O,7,FALSE),0))</f>
        <v/>
      </c>
      <c r="H123" s="38" t="str">
        <f>IF(A123="","",IFERROR(VLOOKUP(VLOOKUP(A123,BOOKINGS!$A:$Q,7,FALSE),SETUP_RATES!$A:$H,8,FALSE),0))</f>
        <v/>
      </c>
      <c r="I123" s="38" t="str">
        <f t="shared" si="1"/>
        <v/>
      </c>
      <c r="J123" s="38" t="str">
        <f>IF(A123="","",IFERROR(VLOOKUP(A123,BOOKINGS!$A:$Q,13,FALSE),0))</f>
        <v/>
      </c>
      <c r="K123" s="38" t="str">
        <f t="shared" si="2"/>
        <v/>
      </c>
      <c r="L123" s="38" t="str">
        <f t="shared" si="3"/>
        <v/>
      </c>
    </row>
    <row r="124" ht="15.75" customHeight="1">
      <c r="A124" s="33" t="str">
        <f>IF(BOOKINGS!A124="","",BOOKINGS!A124)</f>
        <v/>
      </c>
      <c r="B124" s="38" t="str">
        <f>IF(A124="","",MAX(VLOOKUP(A124,BOOKINGS!$A:$Q,6,FALSE)*VLOOKUP(VLOOKUP(A124,BOOKINGS!$A:$Q,7,FALSE),SETUP_RATES!$A:$H,3,FALSE),VLOOKUP(VLOOKUP(A124,BOOKINGS!$A:$Q,7,FALSE),SETUP_RATES!$A:$H,2,FALSE)))</f>
        <v/>
      </c>
      <c r="C124" s="38" t="str">
        <f>IF(A124="","",VLOOKUP(A124,BOOKINGS!$A:$Q,10,FALSE)*VLOOKUP(VLOOKUP(A124,BOOKINGS!$A:$Q,7,FALSE),SETUP_RATES!$A:$H,6,FALSE))</f>
        <v/>
      </c>
      <c r="D124" s="38" t="str">
        <f>IF(A124="","",MAX(0,VLOOKUP(A124,TRIP_ACTUALS!$A:$O,8,FALSE)-SETUP_RATES!$K$2)*SETUP_RATES!$K$3)</f>
        <v/>
      </c>
      <c r="E124" s="38" t="str">
        <f>IF(A124="","",VLOOKUP(A124,TRIP_ACTUALS!$A:$O,9,FALSE)*VLOOKUP(VLOOKUP(A124,BOOKINGS!$A:$Q,7,FALSE),SETUP_RATES!$A:$H,5,FALSE))</f>
        <v/>
      </c>
      <c r="F124" s="38" t="str">
        <f>IF(A124="","",IFERROR(VLOOKUP(A124,TRIP_ACTUALS!$A:$O,5,FALSE),0))</f>
        <v/>
      </c>
      <c r="G124" s="38" t="str">
        <f>IF(A124="","",IFERROR(VLOOKUP(A124,TRIP_ACTUALS!$A:$O,6,FALSE),0)+IFERROR(VLOOKUP(A124,TRIP_ACTUALS!$A:$O,7,FALSE),0))</f>
        <v/>
      </c>
      <c r="H124" s="38" t="str">
        <f>IF(A124="","",IFERROR(VLOOKUP(VLOOKUP(A124,BOOKINGS!$A:$Q,7,FALSE),SETUP_RATES!$A:$H,8,FALSE),0))</f>
        <v/>
      </c>
      <c r="I124" s="38" t="str">
        <f t="shared" si="1"/>
        <v/>
      </c>
      <c r="J124" s="38" t="str">
        <f>IF(A124="","",IFERROR(VLOOKUP(A124,BOOKINGS!$A:$Q,13,FALSE),0))</f>
        <v/>
      </c>
      <c r="K124" s="38" t="str">
        <f t="shared" si="2"/>
        <v/>
      </c>
      <c r="L124" s="38" t="str">
        <f t="shared" si="3"/>
        <v/>
      </c>
    </row>
    <row r="125" ht="15.75" customHeight="1">
      <c r="A125" s="33" t="str">
        <f>IF(BOOKINGS!A125="","",BOOKINGS!A125)</f>
        <v/>
      </c>
      <c r="B125" s="38" t="str">
        <f>IF(A125="","",MAX(VLOOKUP(A125,BOOKINGS!$A:$Q,6,FALSE)*VLOOKUP(VLOOKUP(A125,BOOKINGS!$A:$Q,7,FALSE),SETUP_RATES!$A:$H,3,FALSE),VLOOKUP(VLOOKUP(A125,BOOKINGS!$A:$Q,7,FALSE),SETUP_RATES!$A:$H,2,FALSE)))</f>
        <v/>
      </c>
      <c r="C125" s="38" t="str">
        <f>IF(A125="","",VLOOKUP(A125,BOOKINGS!$A:$Q,10,FALSE)*VLOOKUP(VLOOKUP(A125,BOOKINGS!$A:$Q,7,FALSE),SETUP_RATES!$A:$H,6,FALSE))</f>
        <v/>
      </c>
      <c r="D125" s="38" t="str">
        <f>IF(A125="","",MAX(0,VLOOKUP(A125,TRIP_ACTUALS!$A:$O,8,FALSE)-SETUP_RATES!$K$2)*SETUP_RATES!$K$3)</f>
        <v/>
      </c>
      <c r="E125" s="38" t="str">
        <f>IF(A125="","",VLOOKUP(A125,TRIP_ACTUALS!$A:$O,9,FALSE)*VLOOKUP(VLOOKUP(A125,BOOKINGS!$A:$Q,7,FALSE),SETUP_RATES!$A:$H,5,FALSE))</f>
        <v/>
      </c>
      <c r="F125" s="38" t="str">
        <f>IF(A125="","",IFERROR(VLOOKUP(A125,TRIP_ACTUALS!$A:$O,5,FALSE),0))</f>
        <v/>
      </c>
      <c r="G125" s="38" t="str">
        <f>IF(A125="","",IFERROR(VLOOKUP(A125,TRIP_ACTUALS!$A:$O,6,FALSE),0)+IFERROR(VLOOKUP(A125,TRIP_ACTUALS!$A:$O,7,FALSE),0))</f>
        <v/>
      </c>
      <c r="H125" s="38" t="str">
        <f>IF(A125="","",IFERROR(VLOOKUP(VLOOKUP(A125,BOOKINGS!$A:$Q,7,FALSE),SETUP_RATES!$A:$H,8,FALSE),0))</f>
        <v/>
      </c>
      <c r="I125" s="38" t="str">
        <f t="shared" si="1"/>
        <v/>
      </c>
      <c r="J125" s="38" t="str">
        <f>IF(A125="","",IFERROR(VLOOKUP(A125,BOOKINGS!$A:$Q,13,FALSE),0))</f>
        <v/>
      </c>
      <c r="K125" s="38" t="str">
        <f t="shared" si="2"/>
        <v/>
      </c>
      <c r="L125" s="38" t="str">
        <f t="shared" si="3"/>
        <v/>
      </c>
    </row>
    <row r="126" ht="15.75" customHeight="1">
      <c r="A126" s="33" t="str">
        <f>IF(BOOKINGS!A126="","",BOOKINGS!A126)</f>
        <v/>
      </c>
      <c r="B126" s="38" t="str">
        <f>IF(A126="","",MAX(VLOOKUP(A126,BOOKINGS!$A:$Q,6,FALSE)*VLOOKUP(VLOOKUP(A126,BOOKINGS!$A:$Q,7,FALSE),SETUP_RATES!$A:$H,3,FALSE),VLOOKUP(VLOOKUP(A126,BOOKINGS!$A:$Q,7,FALSE),SETUP_RATES!$A:$H,2,FALSE)))</f>
        <v/>
      </c>
      <c r="C126" s="38" t="str">
        <f>IF(A126="","",VLOOKUP(A126,BOOKINGS!$A:$Q,10,FALSE)*VLOOKUP(VLOOKUP(A126,BOOKINGS!$A:$Q,7,FALSE),SETUP_RATES!$A:$H,6,FALSE))</f>
        <v/>
      </c>
      <c r="D126" s="38" t="str">
        <f>IF(A126="","",MAX(0,VLOOKUP(A126,TRIP_ACTUALS!$A:$O,8,FALSE)-SETUP_RATES!$K$2)*SETUP_RATES!$K$3)</f>
        <v/>
      </c>
      <c r="E126" s="38" t="str">
        <f>IF(A126="","",VLOOKUP(A126,TRIP_ACTUALS!$A:$O,9,FALSE)*VLOOKUP(VLOOKUP(A126,BOOKINGS!$A:$Q,7,FALSE),SETUP_RATES!$A:$H,5,FALSE))</f>
        <v/>
      </c>
      <c r="F126" s="38" t="str">
        <f>IF(A126="","",IFERROR(VLOOKUP(A126,TRIP_ACTUALS!$A:$O,5,FALSE),0))</f>
        <v/>
      </c>
      <c r="G126" s="38" t="str">
        <f>IF(A126="","",IFERROR(VLOOKUP(A126,TRIP_ACTUALS!$A:$O,6,FALSE),0)+IFERROR(VLOOKUP(A126,TRIP_ACTUALS!$A:$O,7,FALSE),0))</f>
        <v/>
      </c>
      <c r="H126" s="38" t="str">
        <f>IF(A126="","",IFERROR(VLOOKUP(VLOOKUP(A126,BOOKINGS!$A:$Q,7,FALSE),SETUP_RATES!$A:$H,8,FALSE),0))</f>
        <v/>
      </c>
      <c r="I126" s="38" t="str">
        <f t="shared" si="1"/>
        <v/>
      </c>
      <c r="J126" s="38" t="str">
        <f>IF(A126="","",IFERROR(VLOOKUP(A126,BOOKINGS!$A:$Q,13,FALSE),0))</f>
        <v/>
      </c>
      <c r="K126" s="38" t="str">
        <f t="shared" si="2"/>
        <v/>
      </c>
      <c r="L126" s="38" t="str">
        <f t="shared" si="3"/>
        <v/>
      </c>
    </row>
    <row r="127" ht="15.75" customHeight="1">
      <c r="A127" s="33" t="str">
        <f>IF(BOOKINGS!A127="","",BOOKINGS!A127)</f>
        <v/>
      </c>
      <c r="B127" s="38" t="str">
        <f>IF(A127="","",MAX(VLOOKUP(A127,BOOKINGS!$A:$Q,6,FALSE)*VLOOKUP(VLOOKUP(A127,BOOKINGS!$A:$Q,7,FALSE),SETUP_RATES!$A:$H,3,FALSE),VLOOKUP(VLOOKUP(A127,BOOKINGS!$A:$Q,7,FALSE),SETUP_RATES!$A:$H,2,FALSE)))</f>
        <v/>
      </c>
      <c r="C127" s="38" t="str">
        <f>IF(A127="","",VLOOKUP(A127,BOOKINGS!$A:$Q,10,FALSE)*VLOOKUP(VLOOKUP(A127,BOOKINGS!$A:$Q,7,FALSE),SETUP_RATES!$A:$H,6,FALSE))</f>
        <v/>
      </c>
      <c r="D127" s="38" t="str">
        <f>IF(A127="","",MAX(0,VLOOKUP(A127,TRIP_ACTUALS!$A:$O,8,FALSE)-SETUP_RATES!$K$2)*SETUP_RATES!$K$3)</f>
        <v/>
      </c>
      <c r="E127" s="38" t="str">
        <f>IF(A127="","",VLOOKUP(A127,TRIP_ACTUALS!$A:$O,9,FALSE)*VLOOKUP(VLOOKUP(A127,BOOKINGS!$A:$Q,7,FALSE),SETUP_RATES!$A:$H,5,FALSE))</f>
        <v/>
      </c>
      <c r="F127" s="38" t="str">
        <f>IF(A127="","",IFERROR(VLOOKUP(A127,TRIP_ACTUALS!$A:$O,5,FALSE),0))</f>
        <v/>
      </c>
      <c r="G127" s="38" t="str">
        <f>IF(A127="","",IFERROR(VLOOKUP(A127,TRIP_ACTUALS!$A:$O,6,FALSE),0)+IFERROR(VLOOKUP(A127,TRIP_ACTUALS!$A:$O,7,FALSE),0))</f>
        <v/>
      </c>
      <c r="H127" s="38" t="str">
        <f>IF(A127="","",IFERROR(VLOOKUP(VLOOKUP(A127,BOOKINGS!$A:$Q,7,FALSE),SETUP_RATES!$A:$H,8,FALSE),0))</f>
        <v/>
      </c>
      <c r="I127" s="38" t="str">
        <f t="shared" si="1"/>
        <v/>
      </c>
      <c r="J127" s="38" t="str">
        <f>IF(A127="","",IFERROR(VLOOKUP(A127,BOOKINGS!$A:$Q,13,FALSE),0))</f>
        <v/>
      </c>
      <c r="K127" s="38" t="str">
        <f t="shared" si="2"/>
        <v/>
      </c>
      <c r="L127" s="38" t="str">
        <f t="shared" si="3"/>
        <v/>
      </c>
    </row>
    <row r="128" ht="15.75" customHeight="1">
      <c r="A128" s="33" t="str">
        <f>IF(BOOKINGS!A128="","",BOOKINGS!A128)</f>
        <v/>
      </c>
      <c r="B128" s="38" t="str">
        <f>IF(A128="","",MAX(VLOOKUP(A128,BOOKINGS!$A:$Q,6,FALSE)*VLOOKUP(VLOOKUP(A128,BOOKINGS!$A:$Q,7,FALSE),SETUP_RATES!$A:$H,3,FALSE),VLOOKUP(VLOOKUP(A128,BOOKINGS!$A:$Q,7,FALSE),SETUP_RATES!$A:$H,2,FALSE)))</f>
        <v/>
      </c>
      <c r="C128" s="38" t="str">
        <f>IF(A128="","",VLOOKUP(A128,BOOKINGS!$A:$Q,10,FALSE)*VLOOKUP(VLOOKUP(A128,BOOKINGS!$A:$Q,7,FALSE),SETUP_RATES!$A:$H,6,FALSE))</f>
        <v/>
      </c>
      <c r="D128" s="38" t="str">
        <f>IF(A128="","",MAX(0,VLOOKUP(A128,TRIP_ACTUALS!$A:$O,8,FALSE)-SETUP_RATES!$K$2)*SETUP_RATES!$K$3)</f>
        <v/>
      </c>
      <c r="E128" s="38" t="str">
        <f>IF(A128="","",VLOOKUP(A128,TRIP_ACTUALS!$A:$O,9,FALSE)*VLOOKUP(VLOOKUP(A128,BOOKINGS!$A:$Q,7,FALSE),SETUP_RATES!$A:$H,5,FALSE))</f>
        <v/>
      </c>
      <c r="F128" s="38" t="str">
        <f>IF(A128="","",IFERROR(VLOOKUP(A128,TRIP_ACTUALS!$A:$O,5,FALSE),0))</f>
        <v/>
      </c>
      <c r="G128" s="38" t="str">
        <f>IF(A128="","",IFERROR(VLOOKUP(A128,TRIP_ACTUALS!$A:$O,6,FALSE),0)+IFERROR(VLOOKUP(A128,TRIP_ACTUALS!$A:$O,7,FALSE),0))</f>
        <v/>
      </c>
      <c r="H128" s="38" t="str">
        <f>IF(A128="","",IFERROR(VLOOKUP(VLOOKUP(A128,BOOKINGS!$A:$Q,7,FALSE),SETUP_RATES!$A:$H,8,FALSE),0))</f>
        <v/>
      </c>
      <c r="I128" s="38" t="str">
        <f t="shared" si="1"/>
        <v/>
      </c>
      <c r="J128" s="38" t="str">
        <f>IF(A128="","",IFERROR(VLOOKUP(A128,BOOKINGS!$A:$Q,13,FALSE),0))</f>
        <v/>
      </c>
      <c r="K128" s="38" t="str">
        <f t="shared" si="2"/>
        <v/>
      </c>
      <c r="L128" s="38" t="str">
        <f t="shared" si="3"/>
        <v/>
      </c>
    </row>
    <row r="129" ht="15.75" customHeight="1">
      <c r="A129" s="33" t="str">
        <f>IF(BOOKINGS!A129="","",BOOKINGS!A129)</f>
        <v/>
      </c>
      <c r="B129" s="38" t="str">
        <f>IF(A129="","",MAX(VLOOKUP(A129,BOOKINGS!$A:$Q,6,FALSE)*VLOOKUP(VLOOKUP(A129,BOOKINGS!$A:$Q,7,FALSE),SETUP_RATES!$A:$H,3,FALSE),VLOOKUP(VLOOKUP(A129,BOOKINGS!$A:$Q,7,FALSE),SETUP_RATES!$A:$H,2,FALSE)))</f>
        <v/>
      </c>
      <c r="C129" s="38" t="str">
        <f>IF(A129="","",VLOOKUP(A129,BOOKINGS!$A:$Q,10,FALSE)*VLOOKUP(VLOOKUP(A129,BOOKINGS!$A:$Q,7,FALSE),SETUP_RATES!$A:$H,6,FALSE))</f>
        <v/>
      </c>
      <c r="D129" s="38" t="str">
        <f>IF(A129="","",MAX(0,VLOOKUP(A129,TRIP_ACTUALS!$A:$O,8,FALSE)-SETUP_RATES!$K$2)*SETUP_RATES!$K$3)</f>
        <v/>
      </c>
      <c r="E129" s="38" t="str">
        <f>IF(A129="","",VLOOKUP(A129,TRIP_ACTUALS!$A:$O,9,FALSE)*VLOOKUP(VLOOKUP(A129,BOOKINGS!$A:$Q,7,FALSE),SETUP_RATES!$A:$H,5,FALSE))</f>
        <v/>
      </c>
      <c r="F129" s="38" t="str">
        <f>IF(A129="","",IFERROR(VLOOKUP(A129,TRIP_ACTUALS!$A:$O,5,FALSE),0))</f>
        <v/>
      </c>
      <c r="G129" s="38" t="str">
        <f>IF(A129="","",IFERROR(VLOOKUP(A129,TRIP_ACTUALS!$A:$O,6,FALSE),0)+IFERROR(VLOOKUP(A129,TRIP_ACTUALS!$A:$O,7,FALSE),0))</f>
        <v/>
      </c>
      <c r="H129" s="38" t="str">
        <f>IF(A129="","",IFERROR(VLOOKUP(VLOOKUP(A129,BOOKINGS!$A:$Q,7,FALSE),SETUP_RATES!$A:$H,8,FALSE),0))</f>
        <v/>
      </c>
      <c r="I129" s="38" t="str">
        <f t="shared" si="1"/>
        <v/>
      </c>
      <c r="J129" s="38" t="str">
        <f>IF(A129="","",IFERROR(VLOOKUP(A129,BOOKINGS!$A:$Q,13,FALSE),0))</f>
        <v/>
      </c>
      <c r="K129" s="38" t="str">
        <f t="shared" si="2"/>
        <v/>
      </c>
      <c r="L129" s="38" t="str">
        <f t="shared" si="3"/>
        <v/>
      </c>
    </row>
    <row r="130" ht="15.75" customHeight="1">
      <c r="A130" s="33" t="str">
        <f>IF(BOOKINGS!A130="","",BOOKINGS!A130)</f>
        <v/>
      </c>
      <c r="B130" s="38" t="str">
        <f>IF(A130="","",MAX(VLOOKUP(A130,BOOKINGS!$A:$Q,6,FALSE)*VLOOKUP(VLOOKUP(A130,BOOKINGS!$A:$Q,7,FALSE),SETUP_RATES!$A:$H,3,FALSE),VLOOKUP(VLOOKUP(A130,BOOKINGS!$A:$Q,7,FALSE),SETUP_RATES!$A:$H,2,FALSE)))</f>
        <v/>
      </c>
      <c r="C130" s="38" t="str">
        <f>IF(A130="","",VLOOKUP(A130,BOOKINGS!$A:$Q,10,FALSE)*VLOOKUP(VLOOKUP(A130,BOOKINGS!$A:$Q,7,FALSE),SETUP_RATES!$A:$H,6,FALSE))</f>
        <v/>
      </c>
      <c r="D130" s="38" t="str">
        <f>IF(A130="","",MAX(0,VLOOKUP(A130,TRIP_ACTUALS!$A:$O,8,FALSE)-SETUP_RATES!$K$2)*SETUP_RATES!$K$3)</f>
        <v/>
      </c>
      <c r="E130" s="38" t="str">
        <f>IF(A130="","",VLOOKUP(A130,TRIP_ACTUALS!$A:$O,9,FALSE)*VLOOKUP(VLOOKUP(A130,BOOKINGS!$A:$Q,7,FALSE),SETUP_RATES!$A:$H,5,FALSE))</f>
        <v/>
      </c>
      <c r="F130" s="38" t="str">
        <f>IF(A130="","",IFERROR(VLOOKUP(A130,TRIP_ACTUALS!$A:$O,5,FALSE),0))</f>
        <v/>
      </c>
      <c r="G130" s="38" t="str">
        <f>IF(A130="","",IFERROR(VLOOKUP(A130,TRIP_ACTUALS!$A:$O,6,FALSE),0)+IFERROR(VLOOKUP(A130,TRIP_ACTUALS!$A:$O,7,FALSE),0))</f>
        <v/>
      </c>
      <c r="H130" s="38" t="str">
        <f>IF(A130="","",IFERROR(VLOOKUP(VLOOKUP(A130,BOOKINGS!$A:$Q,7,FALSE),SETUP_RATES!$A:$H,8,FALSE),0))</f>
        <v/>
      </c>
      <c r="I130" s="38" t="str">
        <f t="shared" si="1"/>
        <v/>
      </c>
      <c r="J130" s="38" t="str">
        <f>IF(A130="","",IFERROR(VLOOKUP(A130,BOOKINGS!$A:$Q,13,FALSE),0))</f>
        <v/>
      </c>
      <c r="K130" s="38" t="str">
        <f t="shared" si="2"/>
        <v/>
      </c>
      <c r="L130" s="38" t="str">
        <f t="shared" si="3"/>
        <v/>
      </c>
    </row>
    <row r="131" ht="15.75" customHeight="1">
      <c r="A131" s="33" t="str">
        <f>IF(BOOKINGS!A131="","",BOOKINGS!A131)</f>
        <v/>
      </c>
      <c r="B131" s="38" t="str">
        <f>IF(A131="","",MAX(VLOOKUP(A131,BOOKINGS!$A:$Q,6,FALSE)*VLOOKUP(VLOOKUP(A131,BOOKINGS!$A:$Q,7,FALSE),SETUP_RATES!$A:$H,3,FALSE),VLOOKUP(VLOOKUP(A131,BOOKINGS!$A:$Q,7,FALSE),SETUP_RATES!$A:$H,2,FALSE)))</f>
        <v/>
      </c>
      <c r="C131" s="38" t="str">
        <f>IF(A131="","",VLOOKUP(A131,BOOKINGS!$A:$Q,10,FALSE)*VLOOKUP(VLOOKUP(A131,BOOKINGS!$A:$Q,7,FALSE),SETUP_RATES!$A:$H,6,FALSE))</f>
        <v/>
      </c>
      <c r="D131" s="38" t="str">
        <f>IF(A131="","",MAX(0,VLOOKUP(A131,TRIP_ACTUALS!$A:$O,8,FALSE)-SETUP_RATES!$K$2)*SETUP_RATES!$K$3)</f>
        <v/>
      </c>
      <c r="E131" s="38" t="str">
        <f>IF(A131="","",VLOOKUP(A131,TRIP_ACTUALS!$A:$O,9,FALSE)*VLOOKUP(VLOOKUP(A131,BOOKINGS!$A:$Q,7,FALSE),SETUP_RATES!$A:$H,5,FALSE))</f>
        <v/>
      </c>
      <c r="F131" s="38" t="str">
        <f>IF(A131="","",IFERROR(VLOOKUP(A131,TRIP_ACTUALS!$A:$O,5,FALSE),0))</f>
        <v/>
      </c>
      <c r="G131" s="38" t="str">
        <f>IF(A131="","",IFERROR(VLOOKUP(A131,TRIP_ACTUALS!$A:$O,6,FALSE),0)+IFERROR(VLOOKUP(A131,TRIP_ACTUALS!$A:$O,7,FALSE),0))</f>
        <v/>
      </c>
      <c r="H131" s="38" t="str">
        <f>IF(A131="","",IFERROR(VLOOKUP(VLOOKUP(A131,BOOKINGS!$A:$Q,7,FALSE),SETUP_RATES!$A:$H,8,FALSE),0))</f>
        <v/>
      </c>
      <c r="I131" s="38" t="str">
        <f t="shared" si="1"/>
        <v/>
      </c>
      <c r="J131" s="38" t="str">
        <f>IF(A131="","",IFERROR(VLOOKUP(A131,BOOKINGS!$A:$Q,13,FALSE),0))</f>
        <v/>
      </c>
      <c r="K131" s="38" t="str">
        <f t="shared" si="2"/>
        <v/>
      </c>
      <c r="L131" s="38" t="str">
        <f t="shared" si="3"/>
        <v/>
      </c>
    </row>
    <row r="132" ht="15.75" customHeight="1">
      <c r="A132" s="33" t="str">
        <f>IF(BOOKINGS!A132="","",BOOKINGS!A132)</f>
        <v/>
      </c>
      <c r="B132" s="38" t="str">
        <f>IF(A132="","",MAX(VLOOKUP(A132,BOOKINGS!$A:$Q,6,FALSE)*VLOOKUP(VLOOKUP(A132,BOOKINGS!$A:$Q,7,FALSE),SETUP_RATES!$A:$H,3,FALSE),VLOOKUP(VLOOKUP(A132,BOOKINGS!$A:$Q,7,FALSE),SETUP_RATES!$A:$H,2,FALSE)))</f>
        <v/>
      </c>
      <c r="C132" s="38" t="str">
        <f>IF(A132="","",VLOOKUP(A132,BOOKINGS!$A:$Q,10,FALSE)*VLOOKUP(VLOOKUP(A132,BOOKINGS!$A:$Q,7,FALSE),SETUP_RATES!$A:$H,6,FALSE))</f>
        <v/>
      </c>
      <c r="D132" s="38" t="str">
        <f>IF(A132="","",MAX(0,VLOOKUP(A132,TRIP_ACTUALS!$A:$O,8,FALSE)-SETUP_RATES!$K$2)*SETUP_RATES!$K$3)</f>
        <v/>
      </c>
      <c r="E132" s="38" t="str">
        <f>IF(A132="","",VLOOKUP(A132,TRIP_ACTUALS!$A:$O,9,FALSE)*VLOOKUP(VLOOKUP(A132,BOOKINGS!$A:$Q,7,FALSE),SETUP_RATES!$A:$H,5,FALSE))</f>
        <v/>
      </c>
      <c r="F132" s="38" t="str">
        <f>IF(A132="","",IFERROR(VLOOKUP(A132,TRIP_ACTUALS!$A:$O,5,FALSE),0))</f>
        <v/>
      </c>
      <c r="G132" s="38" t="str">
        <f>IF(A132="","",IFERROR(VLOOKUP(A132,TRIP_ACTUALS!$A:$O,6,FALSE),0)+IFERROR(VLOOKUP(A132,TRIP_ACTUALS!$A:$O,7,FALSE),0))</f>
        <v/>
      </c>
      <c r="H132" s="38" t="str">
        <f>IF(A132="","",IFERROR(VLOOKUP(VLOOKUP(A132,BOOKINGS!$A:$Q,7,FALSE),SETUP_RATES!$A:$H,8,FALSE),0))</f>
        <v/>
      </c>
      <c r="I132" s="38" t="str">
        <f t="shared" si="1"/>
        <v/>
      </c>
      <c r="J132" s="38" t="str">
        <f>IF(A132="","",IFERROR(VLOOKUP(A132,BOOKINGS!$A:$Q,13,FALSE),0))</f>
        <v/>
      </c>
      <c r="K132" s="38" t="str">
        <f t="shared" si="2"/>
        <v/>
      </c>
      <c r="L132" s="38" t="str">
        <f t="shared" si="3"/>
        <v/>
      </c>
    </row>
    <row r="133" ht="15.75" customHeight="1">
      <c r="A133" s="33" t="str">
        <f>IF(BOOKINGS!A133="","",BOOKINGS!A133)</f>
        <v/>
      </c>
      <c r="B133" s="38" t="str">
        <f>IF(A133="","",MAX(VLOOKUP(A133,BOOKINGS!$A:$Q,6,FALSE)*VLOOKUP(VLOOKUP(A133,BOOKINGS!$A:$Q,7,FALSE),SETUP_RATES!$A:$H,3,FALSE),VLOOKUP(VLOOKUP(A133,BOOKINGS!$A:$Q,7,FALSE),SETUP_RATES!$A:$H,2,FALSE)))</f>
        <v/>
      </c>
      <c r="C133" s="38" t="str">
        <f>IF(A133="","",VLOOKUP(A133,BOOKINGS!$A:$Q,10,FALSE)*VLOOKUP(VLOOKUP(A133,BOOKINGS!$A:$Q,7,FALSE),SETUP_RATES!$A:$H,6,FALSE))</f>
        <v/>
      </c>
      <c r="D133" s="38" t="str">
        <f>IF(A133="","",MAX(0,VLOOKUP(A133,TRIP_ACTUALS!$A:$O,8,FALSE)-SETUP_RATES!$K$2)*SETUP_RATES!$K$3)</f>
        <v/>
      </c>
      <c r="E133" s="38" t="str">
        <f>IF(A133="","",VLOOKUP(A133,TRIP_ACTUALS!$A:$O,9,FALSE)*VLOOKUP(VLOOKUP(A133,BOOKINGS!$A:$Q,7,FALSE),SETUP_RATES!$A:$H,5,FALSE))</f>
        <v/>
      </c>
      <c r="F133" s="38" t="str">
        <f>IF(A133="","",IFERROR(VLOOKUP(A133,TRIP_ACTUALS!$A:$O,5,FALSE),0))</f>
        <v/>
      </c>
      <c r="G133" s="38" t="str">
        <f>IF(A133="","",IFERROR(VLOOKUP(A133,TRIP_ACTUALS!$A:$O,6,FALSE),0)+IFERROR(VLOOKUP(A133,TRIP_ACTUALS!$A:$O,7,FALSE),0))</f>
        <v/>
      </c>
      <c r="H133" s="38" t="str">
        <f>IF(A133="","",IFERROR(VLOOKUP(VLOOKUP(A133,BOOKINGS!$A:$Q,7,FALSE),SETUP_RATES!$A:$H,8,FALSE),0))</f>
        <v/>
      </c>
      <c r="I133" s="38" t="str">
        <f t="shared" si="1"/>
        <v/>
      </c>
      <c r="J133" s="38" t="str">
        <f>IF(A133="","",IFERROR(VLOOKUP(A133,BOOKINGS!$A:$Q,13,FALSE),0))</f>
        <v/>
      </c>
      <c r="K133" s="38" t="str">
        <f t="shared" si="2"/>
        <v/>
      </c>
      <c r="L133" s="38" t="str">
        <f t="shared" si="3"/>
        <v/>
      </c>
    </row>
    <row r="134" ht="15.75" customHeight="1">
      <c r="A134" s="33" t="str">
        <f>IF(BOOKINGS!A134="","",BOOKINGS!A134)</f>
        <v/>
      </c>
      <c r="B134" s="38" t="str">
        <f>IF(A134="","",MAX(VLOOKUP(A134,BOOKINGS!$A:$Q,6,FALSE)*VLOOKUP(VLOOKUP(A134,BOOKINGS!$A:$Q,7,FALSE),SETUP_RATES!$A:$H,3,FALSE),VLOOKUP(VLOOKUP(A134,BOOKINGS!$A:$Q,7,FALSE),SETUP_RATES!$A:$H,2,FALSE)))</f>
        <v/>
      </c>
      <c r="C134" s="38" t="str">
        <f>IF(A134="","",VLOOKUP(A134,BOOKINGS!$A:$Q,10,FALSE)*VLOOKUP(VLOOKUP(A134,BOOKINGS!$A:$Q,7,FALSE),SETUP_RATES!$A:$H,6,FALSE))</f>
        <v/>
      </c>
      <c r="D134" s="38" t="str">
        <f>IF(A134="","",MAX(0,VLOOKUP(A134,TRIP_ACTUALS!$A:$O,8,FALSE)-SETUP_RATES!$K$2)*SETUP_RATES!$K$3)</f>
        <v/>
      </c>
      <c r="E134" s="38" t="str">
        <f>IF(A134="","",VLOOKUP(A134,TRIP_ACTUALS!$A:$O,9,FALSE)*VLOOKUP(VLOOKUP(A134,BOOKINGS!$A:$Q,7,FALSE),SETUP_RATES!$A:$H,5,FALSE))</f>
        <v/>
      </c>
      <c r="F134" s="38" t="str">
        <f>IF(A134="","",IFERROR(VLOOKUP(A134,TRIP_ACTUALS!$A:$O,5,FALSE),0))</f>
        <v/>
      </c>
      <c r="G134" s="38" t="str">
        <f>IF(A134="","",IFERROR(VLOOKUP(A134,TRIP_ACTUALS!$A:$O,6,FALSE),0)+IFERROR(VLOOKUP(A134,TRIP_ACTUALS!$A:$O,7,FALSE),0))</f>
        <v/>
      </c>
      <c r="H134" s="38" t="str">
        <f>IF(A134="","",IFERROR(VLOOKUP(VLOOKUP(A134,BOOKINGS!$A:$Q,7,FALSE),SETUP_RATES!$A:$H,8,FALSE),0))</f>
        <v/>
      </c>
      <c r="I134" s="38" t="str">
        <f t="shared" si="1"/>
        <v/>
      </c>
      <c r="J134" s="38" t="str">
        <f>IF(A134="","",IFERROR(VLOOKUP(A134,BOOKINGS!$A:$Q,13,FALSE),0))</f>
        <v/>
      </c>
      <c r="K134" s="38" t="str">
        <f t="shared" si="2"/>
        <v/>
      </c>
      <c r="L134" s="38" t="str">
        <f t="shared" si="3"/>
        <v/>
      </c>
    </row>
    <row r="135" ht="15.75" customHeight="1">
      <c r="A135" s="33" t="str">
        <f>IF(BOOKINGS!A135="","",BOOKINGS!A135)</f>
        <v/>
      </c>
      <c r="B135" s="38" t="str">
        <f>IF(A135="","",MAX(VLOOKUP(A135,BOOKINGS!$A:$Q,6,FALSE)*VLOOKUP(VLOOKUP(A135,BOOKINGS!$A:$Q,7,FALSE),SETUP_RATES!$A:$H,3,FALSE),VLOOKUP(VLOOKUP(A135,BOOKINGS!$A:$Q,7,FALSE),SETUP_RATES!$A:$H,2,FALSE)))</f>
        <v/>
      </c>
      <c r="C135" s="38" t="str">
        <f>IF(A135="","",VLOOKUP(A135,BOOKINGS!$A:$Q,10,FALSE)*VLOOKUP(VLOOKUP(A135,BOOKINGS!$A:$Q,7,FALSE),SETUP_RATES!$A:$H,6,FALSE))</f>
        <v/>
      </c>
      <c r="D135" s="38" t="str">
        <f>IF(A135="","",MAX(0,VLOOKUP(A135,TRIP_ACTUALS!$A:$O,8,FALSE)-SETUP_RATES!$K$2)*SETUP_RATES!$K$3)</f>
        <v/>
      </c>
      <c r="E135" s="38" t="str">
        <f>IF(A135="","",VLOOKUP(A135,TRIP_ACTUALS!$A:$O,9,FALSE)*VLOOKUP(VLOOKUP(A135,BOOKINGS!$A:$Q,7,FALSE),SETUP_RATES!$A:$H,5,FALSE))</f>
        <v/>
      </c>
      <c r="F135" s="38" t="str">
        <f>IF(A135="","",IFERROR(VLOOKUP(A135,TRIP_ACTUALS!$A:$O,5,FALSE),0))</f>
        <v/>
      </c>
      <c r="G135" s="38" t="str">
        <f>IF(A135="","",IFERROR(VLOOKUP(A135,TRIP_ACTUALS!$A:$O,6,FALSE),0)+IFERROR(VLOOKUP(A135,TRIP_ACTUALS!$A:$O,7,FALSE),0))</f>
        <v/>
      </c>
      <c r="H135" s="38" t="str">
        <f>IF(A135="","",IFERROR(VLOOKUP(VLOOKUP(A135,BOOKINGS!$A:$Q,7,FALSE),SETUP_RATES!$A:$H,8,FALSE),0))</f>
        <v/>
      </c>
      <c r="I135" s="38" t="str">
        <f t="shared" si="1"/>
        <v/>
      </c>
      <c r="J135" s="38" t="str">
        <f>IF(A135="","",IFERROR(VLOOKUP(A135,BOOKINGS!$A:$Q,13,FALSE),0))</f>
        <v/>
      </c>
      <c r="K135" s="38" t="str">
        <f t="shared" si="2"/>
        <v/>
      </c>
      <c r="L135" s="38" t="str">
        <f t="shared" si="3"/>
        <v/>
      </c>
    </row>
    <row r="136" ht="15.75" customHeight="1">
      <c r="A136" s="33" t="str">
        <f>IF(BOOKINGS!A136="","",BOOKINGS!A136)</f>
        <v/>
      </c>
      <c r="B136" s="38" t="str">
        <f>IF(A136="","",MAX(VLOOKUP(A136,BOOKINGS!$A:$Q,6,FALSE)*VLOOKUP(VLOOKUP(A136,BOOKINGS!$A:$Q,7,FALSE),SETUP_RATES!$A:$H,3,FALSE),VLOOKUP(VLOOKUP(A136,BOOKINGS!$A:$Q,7,FALSE),SETUP_RATES!$A:$H,2,FALSE)))</f>
        <v/>
      </c>
      <c r="C136" s="38" t="str">
        <f>IF(A136="","",VLOOKUP(A136,BOOKINGS!$A:$Q,10,FALSE)*VLOOKUP(VLOOKUP(A136,BOOKINGS!$A:$Q,7,FALSE),SETUP_RATES!$A:$H,6,FALSE))</f>
        <v/>
      </c>
      <c r="D136" s="38" t="str">
        <f>IF(A136="","",MAX(0,VLOOKUP(A136,TRIP_ACTUALS!$A:$O,8,FALSE)-SETUP_RATES!$K$2)*SETUP_RATES!$K$3)</f>
        <v/>
      </c>
      <c r="E136" s="38" t="str">
        <f>IF(A136="","",VLOOKUP(A136,TRIP_ACTUALS!$A:$O,9,FALSE)*VLOOKUP(VLOOKUP(A136,BOOKINGS!$A:$Q,7,FALSE),SETUP_RATES!$A:$H,5,FALSE))</f>
        <v/>
      </c>
      <c r="F136" s="38" t="str">
        <f>IF(A136="","",IFERROR(VLOOKUP(A136,TRIP_ACTUALS!$A:$O,5,FALSE),0))</f>
        <v/>
      </c>
      <c r="G136" s="38" t="str">
        <f>IF(A136="","",IFERROR(VLOOKUP(A136,TRIP_ACTUALS!$A:$O,6,FALSE),0)+IFERROR(VLOOKUP(A136,TRIP_ACTUALS!$A:$O,7,FALSE),0))</f>
        <v/>
      </c>
      <c r="H136" s="38" t="str">
        <f>IF(A136="","",IFERROR(VLOOKUP(VLOOKUP(A136,BOOKINGS!$A:$Q,7,FALSE),SETUP_RATES!$A:$H,8,FALSE),0))</f>
        <v/>
      </c>
      <c r="I136" s="38" t="str">
        <f t="shared" si="1"/>
        <v/>
      </c>
      <c r="J136" s="38" t="str">
        <f>IF(A136="","",IFERROR(VLOOKUP(A136,BOOKINGS!$A:$Q,13,FALSE),0))</f>
        <v/>
      </c>
      <c r="K136" s="38" t="str">
        <f t="shared" si="2"/>
        <v/>
      </c>
      <c r="L136" s="38" t="str">
        <f t="shared" si="3"/>
        <v/>
      </c>
    </row>
    <row r="137" ht="15.75" customHeight="1">
      <c r="A137" s="33" t="str">
        <f>IF(BOOKINGS!A137="","",BOOKINGS!A137)</f>
        <v/>
      </c>
      <c r="B137" s="38" t="str">
        <f>IF(A137="","",MAX(VLOOKUP(A137,BOOKINGS!$A:$Q,6,FALSE)*VLOOKUP(VLOOKUP(A137,BOOKINGS!$A:$Q,7,FALSE),SETUP_RATES!$A:$H,3,FALSE),VLOOKUP(VLOOKUP(A137,BOOKINGS!$A:$Q,7,FALSE),SETUP_RATES!$A:$H,2,FALSE)))</f>
        <v/>
      </c>
      <c r="C137" s="38" t="str">
        <f>IF(A137="","",VLOOKUP(A137,BOOKINGS!$A:$Q,10,FALSE)*VLOOKUP(VLOOKUP(A137,BOOKINGS!$A:$Q,7,FALSE),SETUP_RATES!$A:$H,6,FALSE))</f>
        <v/>
      </c>
      <c r="D137" s="38" t="str">
        <f>IF(A137="","",MAX(0,VLOOKUP(A137,TRIP_ACTUALS!$A:$O,8,FALSE)-SETUP_RATES!$K$2)*SETUP_RATES!$K$3)</f>
        <v/>
      </c>
      <c r="E137" s="38" t="str">
        <f>IF(A137="","",VLOOKUP(A137,TRIP_ACTUALS!$A:$O,9,FALSE)*VLOOKUP(VLOOKUP(A137,BOOKINGS!$A:$Q,7,FALSE),SETUP_RATES!$A:$H,5,FALSE))</f>
        <v/>
      </c>
      <c r="F137" s="38" t="str">
        <f>IF(A137="","",IFERROR(VLOOKUP(A137,TRIP_ACTUALS!$A:$O,5,FALSE),0))</f>
        <v/>
      </c>
      <c r="G137" s="38" t="str">
        <f>IF(A137="","",IFERROR(VLOOKUP(A137,TRIP_ACTUALS!$A:$O,6,FALSE),0)+IFERROR(VLOOKUP(A137,TRIP_ACTUALS!$A:$O,7,FALSE),0))</f>
        <v/>
      </c>
      <c r="H137" s="38" t="str">
        <f>IF(A137="","",IFERROR(VLOOKUP(VLOOKUP(A137,BOOKINGS!$A:$Q,7,FALSE),SETUP_RATES!$A:$H,8,FALSE),0))</f>
        <v/>
      </c>
      <c r="I137" s="38" t="str">
        <f t="shared" si="1"/>
        <v/>
      </c>
      <c r="J137" s="38" t="str">
        <f>IF(A137="","",IFERROR(VLOOKUP(A137,BOOKINGS!$A:$Q,13,FALSE),0))</f>
        <v/>
      </c>
      <c r="K137" s="38" t="str">
        <f t="shared" si="2"/>
        <v/>
      </c>
      <c r="L137" s="38" t="str">
        <f t="shared" si="3"/>
        <v/>
      </c>
    </row>
    <row r="138" ht="15.75" customHeight="1">
      <c r="A138" s="33" t="str">
        <f>IF(BOOKINGS!A138="","",BOOKINGS!A138)</f>
        <v/>
      </c>
      <c r="B138" s="38" t="str">
        <f>IF(A138="","",MAX(VLOOKUP(A138,BOOKINGS!$A:$Q,6,FALSE)*VLOOKUP(VLOOKUP(A138,BOOKINGS!$A:$Q,7,FALSE),SETUP_RATES!$A:$H,3,FALSE),VLOOKUP(VLOOKUP(A138,BOOKINGS!$A:$Q,7,FALSE),SETUP_RATES!$A:$H,2,FALSE)))</f>
        <v/>
      </c>
      <c r="C138" s="38" t="str">
        <f>IF(A138="","",VLOOKUP(A138,BOOKINGS!$A:$Q,10,FALSE)*VLOOKUP(VLOOKUP(A138,BOOKINGS!$A:$Q,7,FALSE),SETUP_RATES!$A:$H,6,FALSE))</f>
        <v/>
      </c>
      <c r="D138" s="38" t="str">
        <f>IF(A138="","",MAX(0,VLOOKUP(A138,TRIP_ACTUALS!$A:$O,8,FALSE)-SETUP_RATES!$K$2)*SETUP_RATES!$K$3)</f>
        <v/>
      </c>
      <c r="E138" s="38" t="str">
        <f>IF(A138="","",VLOOKUP(A138,TRIP_ACTUALS!$A:$O,9,FALSE)*VLOOKUP(VLOOKUP(A138,BOOKINGS!$A:$Q,7,FALSE),SETUP_RATES!$A:$H,5,FALSE))</f>
        <v/>
      </c>
      <c r="F138" s="38" t="str">
        <f>IF(A138="","",IFERROR(VLOOKUP(A138,TRIP_ACTUALS!$A:$O,5,FALSE),0))</f>
        <v/>
      </c>
      <c r="G138" s="38" t="str">
        <f>IF(A138="","",IFERROR(VLOOKUP(A138,TRIP_ACTUALS!$A:$O,6,FALSE),0)+IFERROR(VLOOKUP(A138,TRIP_ACTUALS!$A:$O,7,FALSE),0))</f>
        <v/>
      </c>
      <c r="H138" s="38" t="str">
        <f>IF(A138="","",IFERROR(VLOOKUP(VLOOKUP(A138,BOOKINGS!$A:$Q,7,FALSE),SETUP_RATES!$A:$H,8,FALSE),0))</f>
        <v/>
      </c>
      <c r="I138" s="38" t="str">
        <f t="shared" si="1"/>
        <v/>
      </c>
      <c r="J138" s="38" t="str">
        <f>IF(A138="","",IFERROR(VLOOKUP(A138,BOOKINGS!$A:$Q,13,FALSE),0))</f>
        <v/>
      </c>
      <c r="K138" s="38" t="str">
        <f t="shared" si="2"/>
        <v/>
      </c>
      <c r="L138" s="38" t="str">
        <f t="shared" si="3"/>
        <v/>
      </c>
    </row>
    <row r="139" ht="15.75" customHeight="1">
      <c r="A139" s="33" t="str">
        <f>IF(BOOKINGS!A139="","",BOOKINGS!A139)</f>
        <v/>
      </c>
      <c r="B139" s="38" t="str">
        <f>IF(A139="","",MAX(VLOOKUP(A139,BOOKINGS!$A:$Q,6,FALSE)*VLOOKUP(VLOOKUP(A139,BOOKINGS!$A:$Q,7,FALSE),SETUP_RATES!$A:$H,3,FALSE),VLOOKUP(VLOOKUP(A139,BOOKINGS!$A:$Q,7,FALSE),SETUP_RATES!$A:$H,2,FALSE)))</f>
        <v/>
      </c>
      <c r="C139" s="38" t="str">
        <f>IF(A139="","",VLOOKUP(A139,BOOKINGS!$A:$Q,10,FALSE)*VLOOKUP(VLOOKUP(A139,BOOKINGS!$A:$Q,7,FALSE),SETUP_RATES!$A:$H,6,FALSE))</f>
        <v/>
      </c>
      <c r="D139" s="38" t="str">
        <f>IF(A139="","",MAX(0,VLOOKUP(A139,TRIP_ACTUALS!$A:$O,8,FALSE)-SETUP_RATES!$K$2)*SETUP_RATES!$K$3)</f>
        <v/>
      </c>
      <c r="E139" s="38" t="str">
        <f>IF(A139="","",VLOOKUP(A139,TRIP_ACTUALS!$A:$O,9,FALSE)*VLOOKUP(VLOOKUP(A139,BOOKINGS!$A:$Q,7,FALSE),SETUP_RATES!$A:$H,5,FALSE))</f>
        <v/>
      </c>
      <c r="F139" s="38" t="str">
        <f>IF(A139="","",IFERROR(VLOOKUP(A139,TRIP_ACTUALS!$A:$O,5,FALSE),0))</f>
        <v/>
      </c>
      <c r="G139" s="38" t="str">
        <f>IF(A139="","",IFERROR(VLOOKUP(A139,TRIP_ACTUALS!$A:$O,6,FALSE),0)+IFERROR(VLOOKUP(A139,TRIP_ACTUALS!$A:$O,7,FALSE),0))</f>
        <v/>
      </c>
      <c r="H139" s="38" t="str">
        <f>IF(A139="","",IFERROR(VLOOKUP(VLOOKUP(A139,BOOKINGS!$A:$Q,7,FALSE),SETUP_RATES!$A:$H,8,FALSE),0))</f>
        <v/>
      </c>
      <c r="I139" s="38" t="str">
        <f t="shared" si="1"/>
        <v/>
      </c>
      <c r="J139" s="38" t="str">
        <f>IF(A139="","",IFERROR(VLOOKUP(A139,BOOKINGS!$A:$Q,13,FALSE),0))</f>
        <v/>
      </c>
      <c r="K139" s="38" t="str">
        <f t="shared" si="2"/>
        <v/>
      </c>
      <c r="L139" s="38" t="str">
        <f t="shared" si="3"/>
        <v/>
      </c>
    </row>
    <row r="140" ht="15.75" customHeight="1">
      <c r="A140" s="33" t="str">
        <f>IF(BOOKINGS!A140="","",BOOKINGS!A140)</f>
        <v/>
      </c>
      <c r="B140" s="38" t="str">
        <f>IF(A140="","",MAX(VLOOKUP(A140,BOOKINGS!$A:$Q,6,FALSE)*VLOOKUP(VLOOKUP(A140,BOOKINGS!$A:$Q,7,FALSE),SETUP_RATES!$A:$H,3,FALSE),VLOOKUP(VLOOKUP(A140,BOOKINGS!$A:$Q,7,FALSE),SETUP_RATES!$A:$H,2,FALSE)))</f>
        <v/>
      </c>
      <c r="C140" s="38" t="str">
        <f>IF(A140="","",VLOOKUP(A140,BOOKINGS!$A:$Q,10,FALSE)*VLOOKUP(VLOOKUP(A140,BOOKINGS!$A:$Q,7,FALSE),SETUP_RATES!$A:$H,6,FALSE))</f>
        <v/>
      </c>
      <c r="D140" s="38" t="str">
        <f>IF(A140="","",MAX(0,VLOOKUP(A140,TRIP_ACTUALS!$A:$O,8,FALSE)-SETUP_RATES!$K$2)*SETUP_RATES!$K$3)</f>
        <v/>
      </c>
      <c r="E140" s="38" t="str">
        <f>IF(A140="","",VLOOKUP(A140,TRIP_ACTUALS!$A:$O,9,FALSE)*VLOOKUP(VLOOKUP(A140,BOOKINGS!$A:$Q,7,FALSE),SETUP_RATES!$A:$H,5,FALSE))</f>
        <v/>
      </c>
      <c r="F140" s="38" t="str">
        <f>IF(A140="","",IFERROR(VLOOKUP(A140,TRIP_ACTUALS!$A:$O,5,FALSE),0))</f>
        <v/>
      </c>
      <c r="G140" s="38" t="str">
        <f>IF(A140="","",IFERROR(VLOOKUP(A140,TRIP_ACTUALS!$A:$O,6,FALSE),0)+IFERROR(VLOOKUP(A140,TRIP_ACTUALS!$A:$O,7,FALSE),0))</f>
        <v/>
      </c>
      <c r="H140" s="38" t="str">
        <f>IF(A140="","",IFERROR(VLOOKUP(VLOOKUP(A140,BOOKINGS!$A:$Q,7,FALSE),SETUP_RATES!$A:$H,8,FALSE),0))</f>
        <v/>
      </c>
      <c r="I140" s="38" t="str">
        <f t="shared" si="1"/>
        <v/>
      </c>
      <c r="J140" s="38" t="str">
        <f>IF(A140="","",IFERROR(VLOOKUP(A140,BOOKINGS!$A:$Q,13,FALSE),0))</f>
        <v/>
      </c>
      <c r="K140" s="38" t="str">
        <f t="shared" si="2"/>
        <v/>
      </c>
      <c r="L140" s="38" t="str">
        <f t="shared" si="3"/>
        <v/>
      </c>
    </row>
    <row r="141" ht="15.75" customHeight="1">
      <c r="A141" s="33" t="str">
        <f>IF(BOOKINGS!A141="","",BOOKINGS!A141)</f>
        <v/>
      </c>
      <c r="B141" s="38" t="str">
        <f>IF(A141="","",MAX(VLOOKUP(A141,BOOKINGS!$A:$Q,6,FALSE)*VLOOKUP(VLOOKUP(A141,BOOKINGS!$A:$Q,7,FALSE),SETUP_RATES!$A:$H,3,FALSE),VLOOKUP(VLOOKUP(A141,BOOKINGS!$A:$Q,7,FALSE),SETUP_RATES!$A:$H,2,FALSE)))</f>
        <v/>
      </c>
      <c r="C141" s="38" t="str">
        <f>IF(A141="","",VLOOKUP(A141,BOOKINGS!$A:$Q,10,FALSE)*VLOOKUP(VLOOKUP(A141,BOOKINGS!$A:$Q,7,FALSE),SETUP_RATES!$A:$H,6,FALSE))</f>
        <v/>
      </c>
      <c r="D141" s="38" t="str">
        <f>IF(A141="","",MAX(0,VLOOKUP(A141,TRIP_ACTUALS!$A:$O,8,FALSE)-SETUP_RATES!$K$2)*SETUP_RATES!$K$3)</f>
        <v/>
      </c>
      <c r="E141" s="38" t="str">
        <f>IF(A141="","",VLOOKUP(A141,TRIP_ACTUALS!$A:$O,9,FALSE)*VLOOKUP(VLOOKUP(A141,BOOKINGS!$A:$Q,7,FALSE),SETUP_RATES!$A:$H,5,FALSE))</f>
        <v/>
      </c>
      <c r="F141" s="38" t="str">
        <f>IF(A141="","",IFERROR(VLOOKUP(A141,TRIP_ACTUALS!$A:$O,5,FALSE),0))</f>
        <v/>
      </c>
      <c r="G141" s="38" t="str">
        <f>IF(A141="","",IFERROR(VLOOKUP(A141,TRIP_ACTUALS!$A:$O,6,FALSE),0)+IFERROR(VLOOKUP(A141,TRIP_ACTUALS!$A:$O,7,FALSE),0))</f>
        <v/>
      </c>
      <c r="H141" s="38" t="str">
        <f>IF(A141="","",IFERROR(VLOOKUP(VLOOKUP(A141,BOOKINGS!$A:$Q,7,FALSE),SETUP_RATES!$A:$H,8,FALSE),0))</f>
        <v/>
      </c>
      <c r="I141" s="38" t="str">
        <f t="shared" si="1"/>
        <v/>
      </c>
      <c r="J141" s="38" t="str">
        <f>IF(A141="","",IFERROR(VLOOKUP(A141,BOOKINGS!$A:$Q,13,FALSE),0))</f>
        <v/>
      </c>
      <c r="K141" s="38" t="str">
        <f t="shared" si="2"/>
        <v/>
      </c>
      <c r="L141" s="38" t="str">
        <f t="shared" si="3"/>
        <v/>
      </c>
    </row>
    <row r="142" ht="15.75" customHeight="1">
      <c r="A142" s="33" t="str">
        <f>IF(BOOKINGS!A142="","",BOOKINGS!A142)</f>
        <v/>
      </c>
      <c r="B142" s="38" t="str">
        <f>IF(A142="","",MAX(VLOOKUP(A142,BOOKINGS!$A:$Q,6,FALSE)*VLOOKUP(VLOOKUP(A142,BOOKINGS!$A:$Q,7,FALSE),SETUP_RATES!$A:$H,3,FALSE),VLOOKUP(VLOOKUP(A142,BOOKINGS!$A:$Q,7,FALSE),SETUP_RATES!$A:$H,2,FALSE)))</f>
        <v/>
      </c>
      <c r="C142" s="38" t="str">
        <f>IF(A142="","",VLOOKUP(A142,BOOKINGS!$A:$Q,10,FALSE)*VLOOKUP(VLOOKUP(A142,BOOKINGS!$A:$Q,7,FALSE),SETUP_RATES!$A:$H,6,FALSE))</f>
        <v/>
      </c>
      <c r="D142" s="38" t="str">
        <f>IF(A142="","",MAX(0,VLOOKUP(A142,TRIP_ACTUALS!$A:$O,8,FALSE)-SETUP_RATES!$K$2)*SETUP_RATES!$K$3)</f>
        <v/>
      </c>
      <c r="E142" s="38" t="str">
        <f>IF(A142="","",VLOOKUP(A142,TRIP_ACTUALS!$A:$O,9,FALSE)*VLOOKUP(VLOOKUP(A142,BOOKINGS!$A:$Q,7,FALSE),SETUP_RATES!$A:$H,5,FALSE))</f>
        <v/>
      </c>
      <c r="F142" s="38" t="str">
        <f>IF(A142="","",IFERROR(VLOOKUP(A142,TRIP_ACTUALS!$A:$O,5,FALSE),0))</f>
        <v/>
      </c>
      <c r="G142" s="38" t="str">
        <f>IF(A142="","",IFERROR(VLOOKUP(A142,TRIP_ACTUALS!$A:$O,6,FALSE),0)+IFERROR(VLOOKUP(A142,TRIP_ACTUALS!$A:$O,7,FALSE),0))</f>
        <v/>
      </c>
      <c r="H142" s="38" t="str">
        <f>IF(A142="","",IFERROR(VLOOKUP(VLOOKUP(A142,BOOKINGS!$A:$Q,7,FALSE),SETUP_RATES!$A:$H,8,FALSE),0))</f>
        <v/>
      </c>
      <c r="I142" s="38" t="str">
        <f t="shared" si="1"/>
        <v/>
      </c>
      <c r="J142" s="38" t="str">
        <f>IF(A142="","",IFERROR(VLOOKUP(A142,BOOKINGS!$A:$Q,13,FALSE),0))</f>
        <v/>
      </c>
      <c r="K142" s="38" t="str">
        <f t="shared" si="2"/>
        <v/>
      </c>
      <c r="L142" s="38" t="str">
        <f t="shared" si="3"/>
        <v/>
      </c>
    </row>
    <row r="143" ht="15.75" customHeight="1">
      <c r="A143" s="33" t="str">
        <f>IF(BOOKINGS!A143="","",BOOKINGS!A143)</f>
        <v/>
      </c>
      <c r="B143" s="38" t="str">
        <f>IF(A143="","",MAX(VLOOKUP(A143,BOOKINGS!$A:$Q,6,FALSE)*VLOOKUP(VLOOKUP(A143,BOOKINGS!$A:$Q,7,FALSE),SETUP_RATES!$A:$H,3,FALSE),VLOOKUP(VLOOKUP(A143,BOOKINGS!$A:$Q,7,FALSE),SETUP_RATES!$A:$H,2,FALSE)))</f>
        <v/>
      </c>
      <c r="C143" s="38" t="str">
        <f>IF(A143="","",VLOOKUP(A143,BOOKINGS!$A:$Q,10,FALSE)*VLOOKUP(VLOOKUP(A143,BOOKINGS!$A:$Q,7,FALSE),SETUP_RATES!$A:$H,6,FALSE))</f>
        <v/>
      </c>
      <c r="D143" s="38" t="str">
        <f>IF(A143="","",MAX(0,VLOOKUP(A143,TRIP_ACTUALS!$A:$O,8,FALSE)-SETUP_RATES!$K$2)*SETUP_RATES!$K$3)</f>
        <v/>
      </c>
      <c r="E143" s="38" t="str">
        <f>IF(A143="","",VLOOKUP(A143,TRIP_ACTUALS!$A:$O,9,FALSE)*VLOOKUP(VLOOKUP(A143,BOOKINGS!$A:$Q,7,FALSE),SETUP_RATES!$A:$H,5,FALSE))</f>
        <v/>
      </c>
      <c r="F143" s="38" t="str">
        <f>IF(A143="","",IFERROR(VLOOKUP(A143,TRIP_ACTUALS!$A:$O,5,FALSE),0))</f>
        <v/>
      </c>
      <c r="G143" s="38" t="str">
        <f>IF(A143="","",IFERROR(VLOOKUP(A143,TRIP_ACTUALS!$A:$O,6,FALSE),0)+IFERROR(VLOOKUP(A143,TRIP_ACTUALS!$A:$O,7,FALSE),0))</f>
        <v/>
      </c>
      <c r="H143" s="38" t="str">
        <f>IF(A143="","",IFERROR(VLOOKUP(VLOOKUP(A143,BOOKINGS!$A:$Q,7,FALSE),SETUP_RATES!$A:$H,8,FALSE),0))</f>
        <v/>
      </c>
      <c r="I143" s="38" t="str">
        <f t="shared" si="1"/>
        <v/>
      </c>
      <c r="J143" s="38" t="str">
        <f>IF(A143="","",IFERROR(VLOOKUP(A143,BOOKINGS!$A:$Q,13,FALSE),0))</f>
        <v/>
      </c>
      <c r="K143" s="38" t="str">
        <f t="shared" si="2"/>
        <v/>
      </c>
      <c r="L143" s="38" t="str">
        <f t="shared" si="3"/>
        <v/>
      </c>
    </row>
    <row r="144" ht="15.75" customHeight="1">
      <c r="A144" s="33" t="str">
        <f>IF(BOOKINGS!A144="","",BOOKINGS!A144)</f>
        <v/>
      </c>
      <c r="B144" s="38" t="str">
        <f>IF(A144="","",MAX(VLOOKUP(A144,BOOKINGS!$A:$Q,6,FALSE)*VLOOKUP(VLOOKUP(A144,BOOKINGS!$A:$Q,7,FALSE),SETUP_RATES!$A:$H,3,FALSE),VLOOKUP(VLOOKUP(A144,BOOKINGS!$A:$Q,7,FALSE),SETUP_RATES!$A:$H,2,FALSE)))</f>
        <v/>
      </c>
      <c r="C144" s="38" t="str">
        <f>IF(A144="","",VLOOKUP(A144,BOOKINGS!$A:$Q,10,FALSE)*VLOOKUP(VLOOKUP(A144,BOOKINGS!$A:$Q,7,FALSE),SETUP_RATES!$A:$H,6,FALSE))</f>
        <v/>
      </c>
      <c r="D144" s="38" t="str">
        <f>IF(A144="","",MAX(0,VLOOKUP(A144,TRIP_ACTUALS!$A:$O,8,FALSE)-SETUP_RATES!$K$2)*SETUP_RATES!$K$3)</f>
        <v/>
      </c>
      <c r="E144" s="38" t="str">
        <f>IF(A144="","",VLOOKUP(A144,TRIP_ACTUALS!$A:$O,9,FALSE)*VLOOKUP(VLOOKUP(A144,BOOKINGS!$A:$Q,7,FALSE),SETUP_RATES!$A:$H,5,FALSE))</f>
        <v/>
      </c>
      <c r="F144" s="38" t="str">
        <f>IF(A144="","",IFERROR(VLOOKUP(A144,TRIP_ACTUALS!$A:$O,5,FALSE),0))</f>
        <v/>
      </c>
      <c r="G144" s="38" t="str">
        <f>IF(A144="","",IFERROR(VLOOKUP(A144,TRIP_ACTUALS!$A:$O,6,FALSE),0)+IFERROR(VLOOKUP(A144,TRIP_ACTUALS!$A:$O,7,FALSE),0))</f>
        <v/>
      </c>
      <c r="H144" s="38" t="str">
        <f>IF(A144="","",IFERROR(VLOOKUP(VLOOKUP(A144,BOOKINGS!$A:$Q,7,FALSE),SETUP_RATES!$A:$H,8,FALSE),0))</f>
        <v/>
      </c>
      <c r="I144" s="38" t="str">
        <f t="shared" si="1"/>
        <v/>
      </c>
      <c r="J144" s="38" t="str">
        <f>IF(A144="","",IFERROR(VLOOKUP(A144,BOOKINGS!$A:$Q,13,FALSE),0))</f>
        <v/>
      </c>
      <c r="K144" s="38" t="str">
        <f t="shared" si="2"/>
        <v/>
      </c>
      <c r="L144" s="38" t="str">
        <f t="shared" si="3"/>
        <v/>
      </c>
    </row>
    <row r="145" ht="15.75" customHeight="1">
      <c r="A145" s="33" t="str">
        <f>IF(BOOKINGS!A145="","",BOOKINGS!A145)</f>
        <v/>
      </c>
      <c r="B145" s="38" t="str">
        <f>IF(A145="","",MAX(VLOOKUP(A145,BOOKINGS!$A:$Q,6,FALSE)*VLOOKUP(VLOOKUP(A145,BOOKINGS!$A:$Q,7,FALSE),SETUP_RATES!$A:$H,3,FALSE),VLOOKUP(VLOOKUP(A145,BOOKINGS!$A:$Q,7,FALSE),SETUP_RATES!$A:$H,2,FALSE)))</f>
        <v/>
      </c>
      <c r="C145" s="38" t="str">
        <f>IF(A145="","",VLOOKUP(A145,BOOKINGS!$A:$Q,10,FALSE)*VLOOKUP(VLOOKUP(A145,BOOKINGS!$A:$Q,7,FALSE),SETUP_RATES!$A:$H,6,FALSE))</f>
        <v/>
      </c>
      <c r="D145" s="38" t="str">
        <f>IF(A145="","",MAX(0,VLOOKUP(A145,TRIP_ACTUALS!$A:$O,8,FALSE)-SETUP_RATES!$K$2)*SETUP_RATES!$K$3)</f>
        <v/>
      </c>
      <c r="E145" s="38" t="str">
        <f>IF(A145="","",VLOOKUP(A145,TRIP_ACTUALS!$A:$O,9,FALSE)*VLOOKUP(VLOOKUP(A145,BOOKINGS!$A:$Q,7,FALSE),SETUP_RATES!$A:$H,5,FALSE))</f>
        <v/>
      </c>
      <c r="F145" s="38" t="str">
        <f>IF(A145="","",IFERROR(VLOOKUP(A145,TRIP_ACTUALS!$A:$O,5,FALSE),0))</f>
        <v/>
      </c>
      <c r="G145" s="38" t="str">
        <f>IF(A145="","",IFERROR(VLOOKUP(A145,TRIP_ACTUALS!$A:$O,6,FALSE),0)+IFERROR(VLOOKUP(A145,TRIP_ACTUALS!$A:$O,7,FALSE),0))</f>
        <v/>
      </c>
      <c r="H145" s="38" t="str">
        <f>IF(A145="","",IFERROR(VLOOKUP(VLOOKUP(A145,BOOKINGS!$A:$Q,7,FALSE),SETUP_RATES!$A:$H,8,FALSE),0))</f>
        <v/>
      </c>
      <c r="I145" s="38" t="str">
        <f t="shared" si="1"/>
        <v/>
      </c>
      <c r="J145" s="38" t="str">
        <f>IF(A145="","",IFERROR(VLOOKUP(A145,BOOKINGS!$A:$Q,13,FALSE),0))</f>
        <v/>
      </c>
      <c r="K145" s="38" t="str">
        <f t="shared" si="2"/>
        <v/>
      </c>
      <c r="L145" s="38" t="str">
        <f t="shared" si="3"/>
        <v/>
      </c>
    </row>
    <row r="146" ht="15.75" customHeight="1">
      <c r="A146" s="33" t="str">
        <f>IF(BOOKINGS!A146="","",BOOKINGS!A146)</f>
        <v/>
      </c>
      <c r="B146" s="38" t="str">
        <f>IF(A146="","",MAX(VLOOKUP(A146,BOOKINGS!$A:$Q,6,FALSE)*VLOOKUP(VLOOKUP(A146,BOOKINGS!$A:$Q,7,FALSE),SETUP_RATES!$A:$H,3,FALSE),VLOOKUP(VLOOKUP(A146,BOOKINGS!$A:$Q,7,FALSE),SETUP_RATES!$A:$H,2,FALSE)))</f>
        <v/>
      </c>
      <c r="C146" s="38" t="str">
        <f>IF(A146="","",VLOOKUP(A146,BOOKINGS!$A:$Q,10,FALSE)*VLOOKUP(VLOOKUP(A146,BOOKINGS!$A:$Q,7,FALSE),SETUP_RATES!$A:$H,6,FALSE))</f>
        <v/>
      </c>
      <c r="D146" s="38" t="str">
        <f>IF(A146="","",MAX(0,VLOOKUP(A146,TRIP_ACTUALS!$A:$O,8,FALSE)-SETUP_RATES!$K$2)*SETUP_RATES!$K$3)</f>
        <v/>
      </c>
      <c r="E146" s="38" t="str">
        <f>IF(A146="","",VLOOKUP(A146,TRIP_ACTUALS!$A:$O,9,FALSE)*VLOOKUP(VLOOKUP(A146,BOOKINGS!$A:$Q,7,FALSE),SETUP_RATES!$A:$H,5,FALSE))</f>
        <v/>
      </c>
      <c r="F146" s="38" t="str">
        <f>IF(A146="","",IFERROR(VLOOKUP(A146,TRIP_ACTUALS!$A:$O,5,FALSE),0))</f>
        <v/>
      </c>
      <c r="G146" s="38" t="str">
        <f>IF(A146="","",IFERROR(VLOOKUP(A146,TRIP_ACTUALS!$A:$O,6,FALSE),0)+IFERROR(VLOOKUP(A146,TRIP_ACTUALS!$A:$O,7,FALSE),0))</f>
        <v/>
      </c>
      <c r="H146" s="38" t="str">
        <f>IF(A146="","",IFERROR(VLOOKUP(VLOOKUP(A146,BOOKINGS!$A:$Q,7,FALSE),SETUP_RATES!$A:$H,8,FALSE),0))</f>
        <v/>
      </c>
      <c r="I146" s="38" t="str">
        <f t="shared" si="1"/>
        <v/>
      </c>
      <c r="J146" s="38" t="str">
        <f>IF(A146="","",IFERROR(VLOOKUP(A146,BOOKINGS!$A:$Q,13,FALSE),0))</f>
        <v/>
      </c>
      <c r="K146" s="38" t="str">
        <f t="shared" si="2"/>
        <v/>
      </c>
      <c r="L146" s="38" t="str">
        <f t="shared" si="3"/>
        <v/>
      </c>
    </row>
    <row r="147" ht="15.75" customHeight="1">
      <c r="A147" s="33" t="str">
        <f>IF(BOOKINGS!A147="","",BOOKINGS!A147)</f>
        <v/>
      </c>
      <c r="B147" s="38" t="str">
        <f>IF(A147="","",MAX(VLOOKUP(A147,BOOKINGS!$A:$Q,6,FALSE)*VLOOKUP(VLOOKUP(A147,BOOKINGS!$A:$Q,7,FALSE),SETUP_RATES!$A:$H,3,FALSE),VLOOKUP(VLOOKUP(A147,BOOKINGS!$A:$Q,7,FALSE),SETUP_RATES!$A:$H,2,FALSE)))</f>
        <v/>
      </c>
      <c r="C147" s="38" t="str">
        <f>IF(A147="","",VLOOKUP(A147,BOOKINGS!$A:$Q,10,FALSE)*VLOOKUP(VLOOKUP(A147,BOOKINGS!$A:$Q,7,FALSE),SETUP_RATES!$A:$H,6,FALSE))</f>
        <v/>
      </c>
      <c r="D147" s="38" t="str">
        <f>IF(A147="","",MAX(0,VLOOKUP(A147,TRIP_ACTUALS!$A:$O,8,FALSE)-SETUP_RATES!$K$2)*SETUP_RATES!$K$3)</f>
        <v/>
      </c>
      <c r="E147" s="38" t="str">
        <f>IF(A147="","",VLOOKUP(A147,TRIP_ACTUALS!$A:$O,9,FALSE)*VLOOKUP(VLOOKUP(A147,BOOKINGS!$A:$Q,7,FALSE),SETUP_RATES!$A:$H,5,FALSE))</f>
        <v/>
      </c>
      <c r="F147" s="38" t="str">
        <f>IF(A147="","",IFERROR(VLOOKUP(A147,TRIP_ACTUALS!$A:$O,5,FALSE),0))</f>
        <v/>
      </c>
      <c r="G147" s="38" t="str">
        <f>IF(A147="","",IFERROR(VLOOKUP(A147,TRIP_ACTUALS!$A:$O,6,FALSE),0)+IFERROR(VLOOKUP(A147,TRIP_ACTUALS!$A:$O,7,FALSE),0))</f>
        <v/>
      </c>
      <c r="H147" s="38" t="str">
        <f>IF(A147="","",IFERROR(VLOOKUP(VLOOKUP(A147,BOOKINGS!$A:$Q,7,FALSE),SETUP_RATES!$A:$H,8,FALSE),0))</f>
        <v/>
      </c>
      <c r="I147" s="38" t="str">
        <f t="shared" si="1"/>
        <v/>
      </c>
      <c r="J147" s="38" t="str">
        <f>IF(A147="","",IFERROR(VLOOKUP(A147,BOOKINGS!$A:$Q,13,FALSE),0))</f>
        <v/>
      </c>
      <c r="K147" s="38" t="str">
        <f t="shared" si="2"/>
        <v/>
      </c>
      <c r="L147" s="38" t="str">
        <f t="shared" si="3"/>
        <v/>
      </c>
    </row>
    <row r="148" ht="15.75" customHeight="1">
      <c r="A148" s="33" t="str">
        <f>IF(BOOKINGS!A148="","",BOOKINGS!A148)</f>
        <v/>
      </c>
      <c r="B148" s="38" t="str">
        <f>IF(A148="","",MAX(VLOOKUP(A148,BOOKINGS!$A:$Q,6,FALSE)*VLOOKUP(VLOOKUP(A148,BOOKINGS!$A:$Q,7,FALSE),SETUP_RATES!$A:$H,3,FALSE),VLOOKUP(VLOOKUP(A148,BOOKINGS!$A:$Q,7,FALSE),SETUP_RATES!$A:$H,2,FALSE)))</f>
        <v/>
      </c>
      <c r="C148" s="38" t="str">
        <f>IF(A148="","",VLOOKUP(A148,BOOKINGS!$A:$Q,10,FALSE)*VLOOKUP(VLOOKUP(A148,BOOKINGS!$A:$Q,7,FALSE),SETUP_RATES!$A:$H,6,FALSE))</f>
        <v/>
      </c>
      <c r="D148" s="38" t="str">
        <f>IF(A148="","",MAX(0,VLOOKUP(A148,TRIP_ACTUALS!$A:$O,8,FALSE)-SETUP_RATES!$K$2)*SETUP_RATES!$K$3)</f>
        <v/>
      </c>
      <c r="E148" s="38" t="str">
        <f>IF(A148="","",VLOOKUP(A148,TRIP_ACTUALS!$A:$O,9,FALSE)*VLOOKUP(VLOOKUP(A148,BOOKINGS!$A:$Q,7,FALSE),SETUP_RATES!$A:$H,5,FALSE))</f>
        <v/>
      </c>
      <c r="F148" s="38" t="str">
        <f>IF(A148="","",IFERROR(VLOOKUP(A148,TRIP_ACTUALS!$A:$O,5,FALSE),0))</f>
        <v/>
      </c>
      <c r="G148" s="38" t="str">
        <f>IF(A148="","",IFERROR(VLOOKUP(A148,TRIP_ACTUALS!$A:$O,6,FALSE),0)+IFERROR(VLOOKUP(A148,TRIP_ACTUALS!$A:$O,7,FALSE),0))</f>
        <v/>
      </c>
      <c r="H148" s="38" t="str">
        <f>IF(A148="","",IFERROR(VLOOKUP(VLOOKUP(A148,BOOKINGS!$A:$Q,7,FALSE),SETUP_RATES!$A:$H,8,FALSE),0))</f>
        <v/>
      </c>
      <c r="I148" s="38" t="str">
        <f t="shared" si="1"/>
        <v/>
      </c>
      <c r="J148" s="38" t="str">
        <f>IF(A148="","",IFERROR(VLOOKUP(A148,BOOKINGS!$A:$Q,13,FALSE),0))</f>
        <v/>
      </c>
      <c r="K148" s="38" t="str">
        <f t="shared" si="2"/>
        <v/>
      </c>
      <c r="L148" s="38" t="str">
        <f t="shared" si="3"/>
        <v/>
      </c>
    </row>
    <row r="149" ht="15.75" customHeight="1">
      <c r="A149" s="33" t="str">
        <f>IF(BOOKINGS!A149="","",BOOKINGS!A149)</f>
        <v/>
      </c>
      <c r="B149" s="38" t="str">
        <f>IF(A149="","",MAX(VLOOKUP(A149,BOOKINGS!$A:$Q,6,FALSE)*VLOOKUP(VLOOKUP(A149,BOOKINGS!$A:$Q,7,FALSE),SETUP_RATES!$A:$H,3,FALSE),VLOOKUP(VLOOKUP(A149,BOOKINGS!$A:$Q,7,FALSE),SETUP_RATES!$A:$H,2,FALSE)))</f>
        <v/>
      </c>
      <c r="C149" s="38" t="str">
        <f>IF(A149="","",VLOOKUP(A149,BOOKINGS!$A:$Q,10,FALSE)*VLOOKUP(VLOOKUP(A149,BOOKINGS!$A:$Q,7,FALSE),SETUP_RATES!$A:$H,6,FALSE))</f>
        <v/>
      </c>
      <c r="D149" s="38" t="str">
        <f>IF(A149="","",MAX(0,VLOOKUP(A149,TRIP_ACTUALS!$A:$O,8,FALSE)-SETUP_RATES!$K$2)*SETUP_RATES!$K$3)</f>
        <v/>
      </c>
      <c r="E149" s="38" t="str">
        <f>IF(A149="","",VLOOKUP(A149,TRIP_ACTUALS!$A:$O,9,FALSE)*VLOOKUP(VLOOKUP(A149,BOOKINGS!$A:$Q,7,FALSE),SETUP_RATES!$A:$H,5,FALSE))</f>
        <v/>
      </c>
      <c r="F149" s="38" t="str">
        <f>IF(A149="","",IFERROR(VLOOKUP(A149,TRIP_ACTUALS!$A:$O,5,FALSE),0))</f>
        <v/>
      </c>
      <c r="G149" s="38" t="str">
        <f>IF(A149="","",IFERROR(VLOOKUP(A149,TRIP_ACTUALS!$A:$O,6,FALSE),0)+IFERROR(VLOOKUP(A149,TRIP_ACTUALS!$A:$O,7,FALSE),0))</f>
        <v/>
      </c>
      <c r="H149" s="38" t="str">
        <f>IF(A149="","",IFERROR(VLOOKUP(VLOOKUP(A149,BOOKINGS!$A:$Q,7,FALSE),SETUP_RATES!$A:$H,8,FALSE),0))</f>
        <v/>
      </c>
      <c r="I149" s="38" t="str">
        <f t="shared" si="1"/>
        <v/>
      </c>
      <c r="J149" s="38" t="str">
        <f>IF(A149="","",IFERROR(VLOOKUP(A149,BOOKINGS!$A:$Q,13,FALSE),0))</f>
        <v/>
      </c>
      <c r="K149" s="38" t="str">
        <f t="shared" si="2"/>
        <v/>
      </c>
      <c r="L149" s="38" t="str">
        <f t="shared" si="3"/>
        <v/>
      </c>
    </row>
    <row r="150" ht="15.75" customHeight="1">
      <c r="A150" s="33" t="str">
        <f>IF(BOOKINGS!A150="","",BOOKINGS!A150)</f>
        <v/>
      </c>
      <c r="B150" s="38" t="str">
        <f>IF(A150="","",MAX(VLOOKUP(A150,BOOKINGS!$A:$Q,6,FALSE)*VLOOKUP(VLOOKUP(A150,BOOKINGS!$A:$Q,7,FALSE),SETUP_RATES!$A:$H,3,FALSE),VLOOKUP(VLOOKUP(A150,BOOKINGS!$A:$Q,7,FALSE),SETUP_RATES!$A:$H,2,FALSE)))</f>
        <v/>
      </c>
      <c r="C150" s="38" t="str">
        <f>IF(A150="","",VLOOKUP(A150,BOOKINGS!$A:$Q,10,FALSE)*VLOOKUP(VLOOKUP(A150,BOOKINGS!$A:$Q,7,FALSE),SETUP_RATES!$A:$H,6,FALSE))</f>
        <v/>
      </c>
      <c r="D150" s="38" t="str">
        <f>IF(A150="","",MAX(0,VLOOKUP(A150,TRIP_ACTUALS!$A:$O,8,FALSE)-SETUP_RATES!$K$2)*SETUP_RATES!$K$3)</f>
        <v/>
      </c>
      <c r="E150" s="38" t="str">
        <f>IF(A150="","",VLOOKUP(A150,TRIP_ACTUALS!$A:$O,9,FALSE)*VLOOKUP(VLOOKUP(A150,BOOKINGS!$A:$Q,7,FALSE),SETUP_RATES!$A:$H,5,FALSE))</f>
        <v/>
      </c>
      <c r="F150" s="38" t="str">
        <f>IF(A150="","",IFERROR(VLOOKUP(A150,TRIP_ACTUALS!$A:$O,5,FALSE),0))</f>
        <v/>
      </c>
      <c r="G150" s="38" t="str">
        <f>IF(A150="","",IFERROR(VLOOKUP(A150,TRIP_ACTUALS!$A:$O,6,FALSE),0)+IFERROR(VLOOKUP(A150,TRIP_ACTUALS!$A:$O,7,FALSE),0))</f>
        <v/>
      </c>
      <c r="H150" s="38" t="str">
        <f>IF(A150="","",IFERROR(VLOOKUP(VLOOKUP(A150,BOOKINGS!$A:$Q,7,FALSE),SETUP_RATES!$A:$H,8,FALSE),0))</f>
        <v/>
      </c>
      <c r="I150" s="38" t="str">
        <f t="shared" si="1"/>
        <v/>
      </c>
      <c r="J150" s="38" t="str">
        <f>IF(A150="","",IFERROR(VLOOKUP(A150,BOOKINGS!$A:$Q,13,FALSE),0))</f>
        <v/>
      </c>
      <c r="K150" s="38" t="str">
        <f t="shared" si="2"/>
        <v/>
      </c>
      <c r="L150" s="38" t="str">
        <f t="shared" si="3"/>
        <v/>
      </c>
    </row>
    <row r="151" ht="15.75" customHeight="1">
      <c r="A151" s="33" t="str">
        <f>IF(BOOKINGS!A151="","",BOOKINGS!A151)</f>
        <v/>
      </c>
      <c r="B151" s="38" t="str">
        <f>IF(A151="","",MAX(VLOOKUP(A151,BOOKINGS!$A:$Q,6,FALSE)*VLOOKUP(VLOOKUP(A151,BOOKINGS!$A:$Q,7,FALSE),SETUP_RATES!$A:$H,3,FALSE),VLOOKUP(VLOOKUP(A151,BOOKINGS!$A:$Q,7,FALSE),SETUP_RATES!$A:$H,2,FALSE)))</f>
        <v/>
      </c>
      <c r="C151" s="38" t="str">
        <f>IF(A151="","",VLOOKUP(A151,BOOKINGS!$A:$Q,10,FALSE)*VLOOKUP(VLOOKUP(A151,BOOKINGS!$A:$Q,7,FALSE),SETUP_RATES!$A:$H,6,FALSE))</f>
        <v/>
      </c>
      <c r="D151" s="38" t="str">
        <f>IF(A151="","",MAX(0,VLOOKUP(A151,TRIP_ACTUALS!$A:$O,8,FALSE)-SETUP_RATES!$K$2)*SETUP_RATES!$K$3)</f>
        <v/>
      </c>
      <c r="E151" s="38" t="str">
        <f>IF(A151="","",VLOOKUP(A151,TRIP_ACTUALS!$A:$O,9,FALSE)*VLOOKUP(VLOOKUP(A151,BOOKINGS!$A:$Q,7,FALSE),SETUP_RATES!$A:$H,5,FALSE))</f>
        <v/>
      </c>
      <c r="F151" s="38" t="str">
        <f>IF(A151="","",IFERROR(VLOOKUP(A151,TRIP_ACTUALS!$A:$O,5,FALSE),0))</f>
        <v/>
      </c>
      <c r="G151" s="38" t="str">
        <f>IF(A151="","",IFERROR(VLOOKUP(A151,TRIP_ACTUALS!$A:$O,6,FALSE),0)+IFERROR(VLOOKUP(A151,TRIP_ACTUALS!$A:$O,7,FALSE),0))</f>
        <v/>
      </c>
      <c r="H151" s="38" t="str">
        <f>IF(A151="","",IFERROR(VLOOKUP(VLOOKUP(A151,BOOKINGS!$A:$Q,7,FALSE),SETUP_RATES!$A:$H,8,FALSE),0))</f>
        <v/>
      </c>
      <c r="I151" s="38" t="str">
        <f t="shared" si="1"/>
        <v/>
      </c>
      <c r="J151" s="38" t="str">
        <f>IF(A151="","",IFERROR(VLOOKUP(A151,BOOKINGS!$A:$Q,13,FALSE),0))</f>
        <v/>
      </c>
      <c r="K151" s="38" t="str">
        <f t="shared" si="2"/>
        <v/>
      </c>
      <c r="L151" s="38" t="str">
        <f t="shared" si="3"/>
        <v/>
      </c>
    </row>
    <row r="152" ht="15.75" customHeight="1">
      <c r="A152" s="33" t="str">
        <f>IF(BOOKINGS!A152="","",BOOKINGS!A152)</f>
        <v/>
      </c>
      <c r="B152" s="38" t="str">
        <f>IF(A152="","",MAX(VLOOKUP(A152,BOOKINGS!$A:$Q,6,FALSE)*VLOOKUP(VLOOKUP(A152,BOOKINGS!$A:$Q,7,FALSE),SETUP_RATES!$A:$H,3,FALSE),VLOOKUP(VLOOKUP(A152,BOOKINGS!$A:$Q,7,FALSE),SETUP_RATES!$A:$H,2,FALSE)))</f>
        <v/>
      </c>
      <c r="C152" s="38" t="str">
        <f>IF(A152="","",VLOOKUP(A152,BOOKINGS!$A:$Q,10,FALSE)*VLOOKUP(VLOOKUP(A152,BOOKINGS!$A:$Q,7,FALSE),SETUP_RATES!$A:$H,6,FALSE))</f>
        <v/>
      </c>
      <c r="D152" s="38" t="str">
        <f>IF(A152="","",MAX(0,VLOOKUP(A152,TRIP_ACTUALS!$A:$O,8,FALSE)-SETUP_RATES!$K$2)*SETUP_RATES!$K$3)</f>
        <v/>
      </c>
      <c r="E152" s="38" t="str">
        <f>IF(A152="","",VLOOKUP(A152,TRIP_ACTUALS!$A:$O,9,FALSE)*VLOOKUP(VLOOKUP(A152,BOOKINGS!$A:$Q,7,FALSE),SETUP_RATES!$A:$H,5,FALSE))</f>
        <v/>
      </c>
      <c r="F152" s="38" t="str">
        <f>IF(A152="","",IFERROR(VLOOKUP(A152,TRIP_ACTUALS!$A:$O,5,FALSE),0))</f>
        <v/>
      </c>
      <c r="G152" s="38" t="str">
        <f>IF(A152="","",IFERROR(VLOOKUP(A152,TRIP_ACTUALS!$A:$O,6,FALSE),0)+IFERROR(VLOOKUP(A152,TRIP_ACTUALS!$A:$O,7,FALSE),0))</f>
        <v/>
      </c>
      <c r="H152" s="38" t="str">
        <f>IF(A152="","",IFERROR(VLOOKUP(VLOOKUP(A152,BOOKINGS!$A:$Q,7,FALSE),SETUP_RATES!$A:$H,8,FALSE),0))</f>
        <v/>
      </c>
      <c r="I152" s="38" t="str">
        <f t="shared" si="1"/>
        <v/>
      </c>
      <c r="J152" s="38" t="str">
        <f>IF(A152="","",IFERROR(VLOOKUP(A152,BOOKINGS!$A:$Q,13,FALSE),0))</f>
        <v/>
      </c>
      <c r="K152" s="38" t="str">
        <f t="shared" si="2"/>
        <v/>
      </c>
      <c r="L152" s="38" t="str">
        <f t="shared" si="3"/>
        <v/>
      </c>
    </row>
    <row r="153" ht="15.75" customHeight="1">
      <c r="A153" s="33" t="str">
        <f>IF(BOOKINGS!A153="","",BOOKINGS!A153)</f>
        <v/>
      </c>
      <c r="B153" s="38" t="str">
        <f>IF(A153="","",MAX(VLOOKUP(A153,BOOKINGS!$A:$Q,6,FALSE)*VLOOKUP(VLOOKUP(A153,BOOKINGS!$A:$Q,7,FALSE),SETUP_RATES!$A:$H,3,FALSE),VLOOKUP(VLOOKUP(A153,BOOKINGS!$A:$Q,7,FALSE),SETUP_RATES!$A:$H,2,FALSE)))</f>
        <v/>
      </c>
      <c r="C153" s="38" t="str">
        <f>IF(A153="","",VLOOKUP(A153,BOOKINGS!$A:$Q,10,FALSE)*VLOOKUP(VLOOKUP(A153,BOOKINGS!$A:$Q,7,FALSE),SETUP_RATES!$A:$H,6,FALSE))</f>
        <v/>
      </c>
      <c r="D153" s="38" t="str">
        <f>IF(A153="","",MAX(0,VLOOKUP(A153,TRIP_ACTUALS!$A:$O,8,FALSE)-SETUP_RATES!$K$2)*SETUP_RATES!$K$3)</f>
        <v/>
      </c>
      <c r="E153" s="38" t="str">
        <f>IF(A153="","",VLOOKUP(A153,TRIP_ACTUALS!$A:$O,9,FALSE)*VLOOKUP(VLOOKUP(A153,BOOKINGS!$A:$Q,7,FALSE),SETUP_RATES!$A:$H,5,FALSE))</f>
        <v/>
      </c>
      <c r="F153" s="38" t="str">
        <f>IF(A153="","",IFERROR(VLOOKUP(A153,TRIP_ACTUALS!$A:$O,5,FALSE),0))</f>
        <v/>
      </c>
      <c r="G153" s="38" t="str">
        <f>IF(A153="","",IFERROR(VLOOKUP(A153,TRIP_ACTUALS!$A:$O,6,FALSE),0)+IFERROR(VLOOKUP(A153,TRIP_ACTUALS!$A:$O,7,FALSE),0))</f>
        <v/>
      </c>
      <c r="H153" s="38" t="str">
        <f>IF(A153="","",IFERROR(VLOOKUP(VLOOKUP(A153,BOOKINGS!$A:$Q,7,FALSE),SETUP_RATES!$A:$H,8,FALSE),0))</f>
        <v/>
      </c>
      <c r="I153" s="38" t="str">
        <f t="shared" si="1"/>
        <v/>
      </c>
      <c r="J153" s="38" t="str">
        <f>IF(A153="","",IFERROR(VLOOKUP(A153,BOOKINGS!$A:$Q,13,FALSE),0))</f>
        <v/>
      </c>
      <c r="K153" s="38" t="str">
        <f t="shared" si="2"/>
        <v/>
      </c>
      <c r="L153" s="38" t="str">
        <f t="shared" si="3"/>
        <v/>
      </c>
    </row>
    <row r="154" ht="15.75" customHeight="1">
      <c r="A154" s="33" t="str">
        <f>IF(BOOKINGS!A154="","",BOOKINGS!A154)</f>
        <v/>
      </c>
      <c r="B154" s="38" t="str">
        <f>IF(A154="","",MAX(VLOOKUP(A154,BOOKINGS!$A:$Q,6,FALSE)*VLOOKUP(VLOOKUP(A154,BOOKINGS!$A:$Q,7,FALSE),SETUP_RATES!$A:$H,3,FALSE),VLOOKUP(VLOOKUP(A154,BOOKINGS!$A:$Q,7,FALSE),SETUP_RATES!$A:$H,2,FALSE)))</f>
        <v/>
      </c>
      <c r="C154" s="38" t="str">
        <f>IF(A154="","",VLOOKUP(A154,BOOKINGS!$A:$Q,10,FALSE)*VLOOKUP(VLOOKUP(A154,BOOKINGS!$A:$Q,7,FALSE),SETUP_RATES!$A:$H,6,FALSE))</f>
        <v/>
      </c>
      <c r="D154" s="38" t="str">
        <f>IF(A154="","",MAX(0,VLOOKUP(A154,TRIP_ACTUALS!$A:$O,8,FALSE)-SETUP_RATES!$K$2)*SETUP_RATES!$K$3)</f>
        <v/>
      </c>
      <c r="E154" s="38" t="str">
        <f>IF(A154="","",VLOOKUP(A154,TRIP_ACTUALS!$A:$O,9,FALSE)*VLOOKUP(VLOOKUP(A154,BOOKINGS!$A:$Q,7,FALSE),SETUP_RATES!$A:$H,5,FALSE))</f>
        <v/>
      </c>
      <c r="F154" s="38" t="str">
        <f>IF(A154="","",IFERROR(VLOOKUP(A154,TRIP_ACTUALS!$A:$O,5,FALSE),0))</f>
        <v/>
      </c>
      <c r="G154" s="38" t="str">
        <f>IF(A154="","",IFERROR(VLOOKUP(A154,TRIP_ACTUALS!$A:$O,6,FALSE),0)+IFERROR(VLOOKUP(A154,TRIP_ACTUALS!$A:$O,7,FALSE),0))</f>
        <v/>
      </c>
      <c r="H154" s="38" t="str">
        <f>IF(A154="","",IFERROR(VLOOKUP(VLOOKUP(A154,BOOKINGS!$A:$Q,7,FALSE),SETUP_RATES!$A:$H,8,FALSE),0))</f>
        <v/>
      </c>
      <c r="I154" s="38" t="str">
        <f t="shared" si="1"/>
        <v/>
      </c>
      <c r="J154" s="38" t="str">
        <f>IF(A154="","",IFERROR(VLOOKUP(A154,BOOKINGS!$A:$Q,13,FALSE),0))</f>
        <v/>
      </c>
      <c r="K154" s="38" t="str">
        <f t="shared" si="2"/>
        <v/>
      </c>
      <c r="L154" s="38" t="str">
        <f t="shared" si="3"/>
        <v/>
      </c>
    </row>
    <row r="155" ht="15.75" customHeight="1">
      <c r="A155" s="33" t="str">
        <f>IF(BOOKINGS!A155="","",BOOKINGS!A155)</f>
        <v/>
      </c>
      <c r="B155" s="38" t="str">
        <f>IF(A155="","",MAX(VLOOKUP(A155,BOOKINGS!$A:$Q,6,FALSE)*VLOOKUP(VLOOKUP(A155,BOOKINGS!$A:$Q,7,FALSE),SETUP_RATES!$A:$H,3,FALSE),VLOOKUP(VLOOKUP(A155,BOOKINGS!$A:$Q,7,FALSE),SETUP_RATES!$A:$H,2,FALSE)))</f>
        <v/>
      </c>
      <c r="C155" s="38" t="str">
        <f>IF(A155="","",VLOOKUP(A155,BOOKINGS!$A:$Q,10,FALSE)*VLOOKUP(VLOOKUP(A155,BOOKINGS!$A:$Q,7,FALSE),SETUP_RATES!$A:$H,6,FALSE))</f>
        <v/>
      </c>
      <c r="D155" s="38" t="str">
        <f>IF(A155="","",MAX(0,VLOOKUP(A155,TRIP_ACTUALS!$A:$O,8,FALSE)-SETUP_RATES!$K$2)*SETUP_RATES!$K$3)</f>
        <v/>
      </c>
      <c r="E155" s="38" t="str">
        <f>IF(A155="","",VLOOKUP(A155,TRIP_ACTUALS!$A:$O,9,FALSE)*VLOOKUP(VLOOKUP(A155,BOOKINGS!$A:$Q,7,FALSE),SETUP_RATES!$A:$H,5,FALSE))</f>
        <v/>
      </c>
      <c r="F155" s="38" t="str">
        <f>IF(A155="","",IFERROR(VLOOKUP(A155,TRIP_ACTUALS!$A:$O,5,FALSE),0))</f>
        <v/>
      </c>
      <c r="G155" s="38" t="str">
        <f>IF(A155="","",IFERROR(VLOOKUP(A155,TRIP_ACTUALS!$A:$O,6,FALSE),0)+IFERROR(VLOOKUP(A155,TRIP_ACTUALS!$A:$O,7,FALSE),0))</f>
        <v/>
      </c>
      <c r="H155" s="38" t="str">
        <f>IF(A155="","",IFERROR(VLOOKUP(VLOOKUP(A155,BOOKINGS!$A:$Q,7,FALSE),SETUP_RATES!$A:$H,8,FALSE),0))</f>
        <v/>
      </c>
      <c r="I155" s="38" t="str">
        <f t="shared" si="1"/>
        <v/>
      </c>
      <c r="J155" s="38" t="str">
        <f>IF(A155="","",IFERROR(VLOOKUP(A155,BOOKINGS!$A:$Q,13,FALSE),0))</f>
        <v/>
      </c>
      <c r="K155" s="38" t="str">
        <f t="shared" si="2"/>
        <v/>
      </c>
      <c r="L155" s="38" t="str">
        <f t="shared" si="3"/>
        <v/>
      </c>
    </row>
    <row r="156" ht="15.75" customHeight="1">
      <c r="A156" s="33" t="str">
        <f>IF(BOOKINGS!A156="","",BOOKINGS!A156)</f>
        <v/>
      </c>
      <c r="B156" s="38" t="str">
        <f>IF(A156="","",MAX(VLOOKUP(A156,BOOKINGS!$A:$Q,6,FALSE)*VLOOKUP(VLOOKUP(A156,BOOKINGS!$A:$Q,7,FALSE),SETUP_RATES!$A:$H,3,FALSE),VLOOKUP(VLOOKUP(A156,BOOKINGS!$A:$Q,7,FALSE),SETUP_RATES!$A:$H,2,FALSE)))</f>
        <v/>
      </c>
      <c r="C156" s="38" t="str">
        <f>IF(A156="","",VLOOKUP(A156,BOOKINGS!$A:$Q,10,FALSE)*VLOOKUP(VLOOKUP(A156,BOOKINGS!$A:$Q,7,FALSE),SETUP_RATES!$A:$H,6,FALSE))</f>
        <v/>
      </c>
      <c r="D156" s="38" t="str">
        <f>IF(A156="","",MAX(0,VLOOKUP(A156,TRIP_ACTUALS!$A:$O,8,FALSE)-SETUP_RATES!$K$2)*SETUP_RATES!$K$3)</f>
        <v/>
      </c>
      <c r="E156" s="38" t="str">
        <f>IF(A156="","",VLOOKUP(A156,TRIP_ACTUALS!$A:$O,9,FALSE)*VLOOKUP(VLOOKUP(A156,BOOKINGS!$A:$Q,7,FALSE),SETUP_RATES!$A:$H,5,FALSE))</f>
        <v/>
      </c>
      <c r="F156" s="38" t="str">
        <f>IF(A156="","",IFERROR(VLOOKUP(A156,TRIP_ACTUALS!$A:$O,5,FALSE),0))</f>
        <v/>
      </c>
      <c r="G156" s="38" t="str">
        <f>IF(A156="","",IFERROR(VLOOKUP(A156,TRIP_ACTUALS!$A:$O,6,FALSE),0)+IFERROR(VLOOKUP(A156,TRIP_ACTUALS!$A:$O,7,FALSE),0))</f>
        <v/>
      </c>
      <c r="H156" s="38" t="str">
        <f>IF(A156="","",IFERROR(VLOOKUP(VLOOKUP(A156,BOOKINGS!$A:$Q,7,FALSE),SETUP_RATES!$A:$H,8,FALSE),0))</f>
        <v/>
      </c>
      <c r="I156" s="38" t="str">
        <f t="shared" si="1"/>
        <v/>
      </c>
      <c r="J156" s="38" t="str">
        <f>IF(A156="","",IFERROR(VLOOKUP(A156,BOOKINGS!$A:$Q,13,FALSE),0))</f>
        <v/>
      </c>
      <c r="K156" s="38" t="str">
        <f t="shared" si="2"/>
        <v/>
      </c>
      <c r="L156" s="38" t="str">
        <f t="shared" si="3"/>
        <v/>
      </c>
    </row>
    <row r="157" ht="15.75" customHeight="1">
      <c r="A157" s="33" t="str">
        <f>IF(BOOKINGS!A157="","",BOOKINGS!A157)</f>
        <v/>
      </c>
      <c r="B157" s="38" t="str">
        <f>IF(A157="","",MAX(VLOOKUP(A157,BOOKINGS!$A:$Q,6,FALSE)*VLOOKUP(VLOOKUP(A157,BOOKINGS!$A:$Q,7,FALSE),SETUP_RATES!$A:$H,3,FALSE),VLOOKUP(VLOOKUP(A157,BOOKINGS!$A:$Q,7,FALSE),SETUP_RATES!$A:$H,2,FALSE)))</f>
        <v/>
      </c>
      <c r="C157" s="38" t="str">
        <f>IF(A157="","",VLOOKUP(A157,BOOKINGS!$A:$Q,10,FALSE)*VLOOKUP(VLOOKUP(A157,BOOKINGS!$A:$Q,7,FALSE),SETUP_RATES!$A:$H,6,FALSE))</f>
        <v/>
      </c>
      <c r="D157" s="38" t="str">
        <f>IF(A157="","",MAX(0,VLOOKUP(A157,TRIP_ACTUALS!$A:$O,8,FALSE)-SETUP_RATES!$K$2)*SETUP_RATES!$K$3)</f>
        <v/>
      </c>
      <c r="E157" s="38" t="str">
        <f>IF(A157="","",VLOOKUP(A157,TRIP_ACTUALS!$A:$O,9,FALSE)*VLOOKUP(VLOOKUP(A157,BOOKINGS!$A:$Q,7,FALSE),SETUP_RATES!$A:$H,5,FALSE))</f>
        <v/>
      </c>
      <c r="F157" s="38" t="str">
        <f>IF(A157="","",IFERROR(VLOOKUP(A157,TRIP_ACTUALS!$A:$O,5,FALSE),0))</f>
        <v/>
      </c>
      <c r="G157" s="38" t="str">
        <f>IF(A157="","",IFERROR(VLOOKUP(A157,TRIP_ACTUALS!$A:$O,6,FALSE),0)+IFERROR(VLOOKUP(A157,TRIP_ACTUALS!$A:$O,7,FALSE),0))</f>
        <v/>
      </c>
      <c r="H157" s="38" t="str">
        <f>IF(A157="","",IFERROR(VLOOKUP(VLOOKUP(A157,BOOKINGS!$A:$Q,7,FALSE),SETUP_RATES!$A:$H,8,FALSE),0))</f>
        <v/>
      </c>
      <c r="I157" s="38" t="str">
        <f t="shared" si="1"/>
        <v/>
      </c>
      <c r="J157" s="38" t="str">
        <f>IF(A157="","",IFERROR(VLOOKUP(A157,BOOKINGS!$A:$Q,13,FALSE),0))</f>
        <v/>
      </c>
      <c r="K157" s="38" t="str">
        <f t="shared" si="2"/>
        <v/>
      </c>
      <c r="L157" s="38" t="str">
        <f t="shared" si="3"/>
        <v/>
      </c>
    </row>
    <row r="158" ht="15.75" customHeight="1">
      <c r="A158" s="33" t="str">
        <f>IF(BOOKINGS!A158="","",BOOKINGS!A158)</f>
        <v/>
      </c>
      <c r="B158" s="38" t="str">
        <f>IF(A158="","",MAX(VLOOKUP(A158,BOOKINGS!$A:$Q,6,FALSE)*VLOOKUP(VLOOKUP(A158,BOOKINGS!$A:$Q,7,FALSE),SETUP_RATES!$A:$H,3,FALSE),VLOOKUP(VLOOKUP(A158,BOOKINGS!$A:$Q,7,FALSE),SETUP_RATES!$A:$H,2,FALSE)))</f>
        <v/>
      </c>
      <c r="C158" s="38" t="str">
        <f>IF(A158="","",VLOOKUP(A158,BOOKINGS!$A:$Q,10,FALSE)*VLOOKUP(VLOOKUP(A158,BOOKINGS!$A:$Q,7,FALSE),SETUP_RATES!$A:$H,6,FALSE))</f>
        <v/>
      </c>
      <c r="D158" s="38" t="str">
        <f>IF(A158="","",MAX(0,VLOOKUP(A158,TRIP_ACTUALS!$A:$O,8,FALSE)-SETUP_RATES!$K$2)*SETUP_RATES!$K$3)</f>
        <v/>
      </c>
      <c r="E158" s="38" t="str">
        <f>IF(A158="","",VLOOKUP(A158,TRIP_ACTUALS!$A:$O,9,FALSE)*VLOOKUP(VLOOKUP(A158,BOOKINGS!$A:$Q,7,FALSE),SETUP_RATES!$A:$H,5,FALSE))</f>
        <v/>
      </c>
      <c r="F158" s="38" t="str">
        <f>IF(A158="","",IFERROR(VLOOKUP(A158,TRIP_ACTUALS!$A:$O,5,FALSE),0))</f>
        <v/>
      </c>
      <c r="G158" s="38" t="str">
        <f>IF(A158="","",IFERROR(VLOOKUP(A158,TRIP_ACTUALS!$A:$O,6,FALSE),0)+IFERROR(VLOOKUP(A158,TRIP_ACTUALS!$A:$O,7,FALSE),0))</f>
        <v/>
      </c>
      <c r="H158" s="38" t="str">
        <f>IF(A158="","",IFERROR(VLOOKUP(VLOOKUP(A158,BOOKINGS!$A:$Q,7,FALSE),SETUP_RATES!$A:$H,8,FALSE),0))</f>
        <v/>
      </c>
      <c r="I158" s="38" t="str">
        <f t="shared" si="1"/>
        <v/>
      </c>
      <c r="J158" s="38" t="str">
        <f>IF(A158="","",IFERROR(VLOOKUP(A158,BOOKINGS!$A:$Q,13,FALSE),0))</f>
        <v/>
      </c>
      <c r="K158" s="38" t="str">
        <f t="shared" si="2"/>
        <v/>
      </c>
      <c r="L158" s="38" t="str">
        <f t="shared" si="3"/>
        <v/>
      </c>
    </row>
    <row r="159" ht="15.75" customHeight="1">
      <c r="A159" s="33" t="str">
        <f>IF(BOOKINGS!A159="","",BOOKINGS!A159)</f>
        <v/>
      </c>
      <c r="B159" s="38" t="str">
        <f>IF(A159="","",MAX(VLOOKUP(A159,BOOKINGS!$A:$Q,6,FALSE)*VLOOKUP(VLOOKUP(A159,BOOKINGS!$A:$Q,7,FALSE),SETUP_RATES!$A:$H,3,FALSE),VLOOKUP(VLOOKUP(A159,BOOKINGS!$A:$Q,7,FALSE),SETUP_RATES!$A:$H,2,FALSE)))</f>
        <v/>
      </c>
      <c r="C159" s="38" t="str">
        <f>IF(A159="","",VLOOKUP(A159,BOOKINGS!$A:$Q,10,FALSE)*VLOOKUP(VLOOKUP(A159,BOOKINGS!$A:$Q,7,FALSE),SETUP_RATES!$A:$H,6,FALSE))</f>
        <v/>
      </c>
      <c r="D159" s="38" t="str">
        <f>IF(A159="","",MAX(0,VLOOKUP(A159,TRIP_ACTUALS!$A:$O,8,FALSE)-SETUP_RATES!$K$2)*SETUP_RATES!$K$3)</f>
        <v/>
      </c>
      <c r="E159" s="38" t="str">
        <f>IF(A159="","",VLOOKUP(A159,TRIP_ACTUALS!$A:$O,9,FALSE)*VLOOKUP(VLOOKUP(A159,BOOKINGS!$A:$Q,7,FALSE),SETUP_RATES!$A:$H,5,FALSE))</f>
        <v/>
      </c>
      <c r="F159" s="38" t="str">
        <f>IF(A159="","",IFERROR(VLOOKUP(A159,TRIP_ACTUALS!$A:$O,5,FALSE),0))</f>
        <v/>
      </c>
      <c r="G159" s="38" t="str">
        <f>IF(A159="","",IFERROR(VLOOKUP(A159,TRIP_ACTUALS!$A:$O,6,FALSE),0)+IFERROR(VLOOKUP(A159,TRIP_ACTUALS!$A:$O,7,FALSE),0))</f>
        <v/>
      </c>
      <c r="H159" s="38" t="str">
        <f>IF(A159="","",IFERROR(VLOOKUP(VLOOKUP(A159,BOOKINGS!$A:$Q,7,FALSE),SETUP_RATES!$A:$H,8,FALSE),0))</f>
        <v/>
      </c>
      <c r="I159" s="38" t="str">
        <f t="shared" si="1"/>
        <v/>
      </c>
      <c r="J159" s="38" t="str">
        <f>IF(A159="","",IFERROR(VLOOKUP(A159,BOOKINGS!$A:$Q,13,FALSE),0))</f>
        <v/>
      </c>
      <c r="K159" s="38" t="str">
        <f t="shared" si="2"/>
        <v/>
      </c>
      <c r="L159" s="38" t="str">
        <f t="shared" si="3"/>
        <v/>
      </c>
    </row>
    <row r="160" ht="15.75" customHeight="1">
      <c r="A160" s="33" t="str">
        <f>IF(BOOKINGS!A160="","",BOOKINGS!A160)</f>
        <v/>
      </c>
      <c r="B160" s="38" t="str">
        <f>IF(A160="","",MAX(VLOOKUP(A160,BOOKINGS!$A:$Q,6,FALSE)*VLOOKUP(VLOOKUP(A160,BOOKINGS!$A:$Q,7,FALSE),SETUP_RATES!$A:$H,3,FALSE),VLOOKUP(VLOOKUP(A160,BOOKINGS!$A:$Q,7,FALSE),SETUP_RATES!$A:$H,2,FALSE)))</f>
        <v/>
      </c>
      <c r="C160" s="38" t="str">
        <f>IF(A160="","",VLOOKUP(A160,BOOKINGS!$A:$Q,10,FALSE)*VLOOKUP(VLOOKUP(A160,BOOKINGS!$A:$Q,7,FALSE),SETUP_RATES!$A:$H,6,FALSE))</f>
        <v/>
      </c>
      <c r="D160" s="38" t="str">
        <f>IF(A160="","",MAX(0,VLOOKUP(A160,TRIP_ACTUALS!$A:$O,8,FALSE)-SETUP_RATES!$K$2)*SETUP_RATES!$K$3)</f>
        <v/>
      </c>
      <c r="E160" s="38" t="str">
        <f>IF(A160="","",VLOOKUP(A160,TRIP_ACTUALS!$A:$O,9,FALSE)*VLOOKUP(VLOOKUP(A160,BOOKINGS!$A:$Q,7,FALSE),SETUP_RATES!$A:$H,5,FALSE))</f>
        <v/>
      </c>
      <c r="F160" s="38" t="str">
        <f>IF(A160="","",IFERROR(VLOOKUP(A160,TRIP_ACTUALS!$A:$O,5,FALSE),0))</f>
        <v/>
      </c>
      <c r="G160" s="38" t="str">
        <f>IF(A160="","",IFERROR(VLOOKUP(A160,TRIP_ACTUALS!$A:$O,6,FALSE),0)+IFERROR(VLOOKUP(A160,TRIP_ACTUALS!$A:$O,7,FALSE),0))</f>
        <v/>
      </c>
      <c r="H160" s="38" t="str">
        <f>IF(A160="","",IFERROR(VLOOKUP(VLOOKUP(A160,BOOKINGS!$A:$Q,7,FALSE),SETUP_RATES!$A:$H,8,FALSE),0))</f>
        <v/>
      </c>
      <c r="I160" s="38" t="str">
        <f t="shared" si="1"/>
        <v/>
      </c>
      <c r="J160" s="38" t="str">
        <f>IF(A160="","",IFERROR(VLOOKUP(A160,BOOKINGS!$A:$Q,13,FALSE),0))</f>
        <v/>
      </c>
      <c r="K160" s="38" t="str">
        <f t="shared" si="2"/>
        <v/>
      </c>
      <c r="L160" s="38" t="str">
        <f t="shared" si="3"/>
        <v/>
      </c>
    </row>
    <row r="161" ht="15.75" customHeight="1">
      <c r="A161" s="33" t="str">
        <f>IF(BOOKINGS!A161="","",BOOKINGS!A161)</f>
        <v/>
      </c>
      <c r="B161" s="38" t="str">
        <f>IF(A161="","",MAX(VLOOKUP(A161,BOOKINGS!$A:$Q,6,FALSE)*VLOOKUP(VLOOKUP(A161,BOOKINGS!$A:$Q,7,FALSE),SETUP_RATES!$A:$H,3,FALSE),VLOOKUP(VLOOKUP(A161,BOOKINGS!$A:$Q,7,FALSE),SETUP_RATES!$A:$H,2,FALSE)))</f>
        <v/>
      </c>
      <c r="C161" s="38" t="str">
        <f>IF(A161="","",VLOOKUP(A161,BOOKINGS!$A:$Q,10,FALSE)*VLOOKUP(VLOOKUP(A161,BOOKINGS!$A:$Q,7,FALSE),SETUP_RATES!$A:$H,6,FALSE))</f>
        <v/>
      </c>
      <c r="D161" s="38" t="str">
        <f>IF(A161="","",MAX(0,VLOOKUP(A161,TRIP_ACTUALS!$A:$O,8,FALSE)-SETUP_RATES!$K$2)*SETUP_RATES!$K$3)</f>
        <v/>
      </c>
      <c r="E161" s="38" t="str">
        <f>IF(A161="","",VLOOKUP(A161,TRIP_ACTUALS!$A:$O,9,FALSE)*VLOOKUP(VLOOKUP(A161,BOOKINGS!$A:$Q,7,FALSE),SETUP_RATES!$A:$H,5,FALSE))</f>
        <v/>
      </c>
      <c r="F161" s="38" t="str">
        <f>IF(A161="","",IFERROR(VLOOKUP(A161,TRIP_ACTUALS!$A:$O,5,FALSE),0))</f>
        <v/>
      </c>
      <c r="G161" s="38" t="str">
        <f>IF(A161="","",IFERROR(VLOOKUP(A161,TRIP_ACTUALS!$A:$O,6,FALSE),0)+IFERROR(VLOOKUP(A161,TRIP_ACTUALS!$A:$O,7,FALSE),0))</f>
        <v/>
      </c>
      <c r="H161" s="38" t="str">
        <f>IF(A161="","",IFERROR(VLOOKUP(VLOOKUP(A161,BOOKINGS!$A:$Q,7,FALSE),SETUP_RATES!$A:$H,8,FALSE),0))</f>
        <v/>
      </c>
      <c r="I161" s="38" t="str">
        <f t="shared" si="1"/>
        <v/>
      </c>
      <c r="J161" s="38" t="str">
        <f>IF(A161="","",IFERROR(VLOOKUP(A161,BOOKINGS!$A:$Q,13,FALSE),0))</f>
        <v/>
      </c>
      <c r="K161" s="38" t="str">
        <f t="shared" si="2"/>
        <v/>
      </c>
      <c r="L161" s="38" t="str">
        <f t="shared" si="3"/>
        <v/>
      </c>
    </row>
    <row r="162" ht="15.75" customHeight="1">
      <c r="A162" s="33" t="str">
        <f>IF(BOOKINGS!A162="","",BOOKINGS!A162)</f>
        <v/>
      </c>
      <c r="B162" s="38" t="str">
        <f>IF(A162="","",MAX(VLOOKUP(A162,BOOKINGS!$A:$Q,6,FALSE)*VLOOKUP(VLOOKUP(A162,BOOKINGS!$A:$Q,7,FALSE),SETUP_RATES!$A:$H,3,FALSE),VLOOKUP(VLOOKUP(A162,BOOKINGS!$A:$Q,7,FALSE),SETUP_RATES!$A:$H,2,FALSE)))</f>
        <v/>
      </c>
      <c r="C162" s="38" t="str">
        <f>IF(A162="","",VLOOKUP(A162,BOOKINGS!$A:$Q,10,FALSE)*VLOOKUP(VLOOKUP(A162,BOOKINGS!$A:$Q,7,FALSE),SETUP_RATES!$A:$H,6,FALSE))</f>
        <v/>
      </c>
      <c r="D162" s="38" t="str">
        <f>IF(A162="","",MAX(0,VLOOKUP(A162,TRIP_ACTUALS!$A:$O,8,FALSE)-SETUP_RATES!$K$2)*SETUP_RATES!$K$3)</f>
        <v/>
      </c>
      <c r="E162" s="38" t="str">
        <f>IF(A162="","",VLOOKUP(A162,TRIP_ACTUALS!$A:$O,9,FALSE)*VLOOKUP(VLOOKUP(A162,BOOKINGS!$A:$Q,7,FALSE),SETUP_RATES!$A:$H,5,FALSE))</f>
        <v/>
      </c>
      <c r="F162" s="38" t="str">
        <f>IF(A162="","",IFERROR(VLOOKUP(A162,TRIP_ACTUALS!$A:$O,5,FALSE),0))</f>
        <v/>
      </c>
      <c r="G162" s="38" t="str">
        <f>IF(A162="","",IFERROR(VLOOKUP(A162,TRIP_ACTUALS!$A:$O,6,FALSE),0)+IFERROR(VLOOKUP(A162,TRIP_ACTUALS!$A:$O,7,FALSE),0))</f>
        <v/>
      </c>
      <c r="H162" s="38" t="str">
        <f>IF(A162="","",IFERROR(VLOOKUP(VLOOKUP(A162,BOOKINGS!$A:$Q,7,FALSE),SETUP_RATES!$A:$H,8,FALSE),0))</f>
        <v/>
      </c>
      <c r="I162" s="38" t="str">
        <f t="shared" si="1"/>
        <v/>
      </c>
      <c r="J162" s="38" t="str">
        <f>IF(A162="","",IFERROR(VLOOKUP(A162,BOOKINGS!$A:$Q,13,FALSE),0))</f>
        <v/>
      </c>
      <c r="K162" s="38" t="str">
        <f t="shared" si="2"/>
        <v/>
      </c>
      <c r="L162" s="38" t="str">
        <f t="shared" si="3"/>
        <v/>
      </c>
    </row>
    <row r="163" ht="15.75" customHeight="1">
      <c r="A163" s="33" t="str">
        <f>IF(BOOKINGS!A163="","",BOOKINGS!A163)</f>
        <v/>
      </c>
      <c r="B163" s="38" t="str">
        <f>IF(A163="","",MAX(VLOOKUP(A163,BOOKINGS!$A:$Q,6,FALSE)*VLOOKUP(VLOOKUP(A163,BOOKINGS!$A:$Q,7,FALSE),SETUP_RATES!$A:$H,3,FALSE),VLOOKUP(VLOOKUP(A163,BOOKINGS!$A:$Q,7,FALSE),SETUP_RATES!$A:$H,2,FALSE)))</f>
        <v/>
      </c>
      <c r="C163" s="38" t="str">
        <f>IF(A163="","",VLOOKUP(A163,BOOKINGS!$A:$Q,10,FALSE)*VLOOKUP(VLOOKUP(A163,BOOKINGS!$A:$Q,7,FALSE),SETUP_RATES!$A:$H,6,FALSE))</f>
        <v/>
      </c>
      <c r="D163" s="38" t="str">
        <f>IF(A163="","",MAX(0,VLOOKUP(A163,TRIP_ACTUALS!$A:$O,8,FALSE)-SETUP_RATES!$K$2)*SETUP_RATES!$K$3)</f>
        <v/>
      </c>
      <c r="E163" s="38" t="str">
        <f>IF(A163="","",VLOOKUP(A163,TRIP_ACTUALS!$A:$O,9,FALSE)*VLOOKUP(VLOOKUP(A163,BOOKINGS!$A:$Q,7,FALSE),SETUP_RATES!$A:$H,5,FALSE))</f>
        <v/>
      </c>
      <c r="F163" s="38" t="str">
        <f>IF(A163="","",IFERROR(VLOOKUP(A163,TRIP_ACTUALS!$A:$O,5,FALSE),0))</f>
        <v/>
      </c>
      <c r="G163" s="38" t="str">
        <f>IF(A163="","",IFERROR(VLOOKUP(A163,TRIP_ACTUALS!$A:$O,6,FALSE),0)+IFERROR(VLOOKUP(A163,TRIP_ACTUALS!$A:$O,7,FALSE),0))</f>
        <v/>
      </c>
      <c r="H163" s="38" t="str">
        <f>IF(A163="","",IFERROR(VLOOKUP(VLOOKUP(A163,BOOKINGS!$A:$Q,7,FALSE),SETUP_RATES!$A:$H,8,FALSE),0))</f>
        <v/>
      </c>
      <c r="I163" s="38" t="str">
        <f t="shared" si="1"/>
        <v/>
      </c>
      <c r="J163" s="38" t="str">
        <f>IF(A163="","",IFERROR(VLOOKUP(A163,BOOKINGS!$A:$Q,13,FALSE),0))</f>
        <v/>
      </c>
      <c r="K163" s="38" t="str">
        <f t="shared" si="2"/>
        <v/>
      </c>
      <c r="L163" s="38" t="str">
        <f t="shared" si="3"/>
        <v/>
      </c>
    </row>
    <row r="164" ht="15.75" customHeight="1">
      <c r="A164" s="33" t="str">
        <f>IF(BOOKINGS!A164="","",BOOKINGS!A164)</f>
        <v/>
      </c>
      <c r="B164" s="38" t="str">
        <f>IF(A164="","",MAX(VLOOKUP(A164,BOOKINGS!$A:$Q,6,FALSE)*VLOOKUP(VLOOKUP(A164,BOOKINGS!$A:$Q,7,FALSE),SETUP_RATES!$A:$H,3,FALSE),VLOOKUP(VLOOKUP(A164,BOOKINGS!$A:$Q,7,FALSE),SETUP_RATES!$A:$H,2,FALSE)))</f>
        <v/>
      </c>
      <c r="C164" s="38" t="str">
        <f>IF(A164="","",VLOOKUP(A164,BOOKINGS!$A:$Q,10,FALSE)*VLOOKUP(VLOOKUP(A164,BOOKINGS!$A:$Q,7,FALSE),SETUP_RATES!$A:$H,6,FALSE))</f>
        <v/>
      </c>
      <c r="D164" s="38" t="str">
        <f>IF(A164="","",MAX(0,VLOOKUP(A164,TRIP_ACTUALS!$A:$O,8,FALSE)-SETUP_RATES!$K$2)*SETUP_RATES!$K$3)</f>
        <v/>
      </c>
      <c r="E164" s="38" t="str">
        <f>IF(A164="","",VLOOKUP(A164,TRIP_ACTUALS!$A:$O,9,FALSE)*VLOOKUP(VLOOKUP(A164,BOOKINGS!$A:$Q,7,FALSE),SETUP_RATES!$A:$H,5,FALSE))</f>
        <v/>
      </c>
      <c r="F164" s="38" t="str">
        <f>IF(A164="","",IFERROR(VLOOKUP(A164,TRIP_ACTUALS!$A:$O,5,FALSE),0))</f>
        <v/>
      </c>
      <c r="G164" s="38" t="str">
        <f>IF(A164="","",IFERROR(VLOOKUP(A164,TRIP_ACTUALS!$A:$O,6,FALSE),0)+IFERROR(VLOOKUP(A164,TRIP_ACTUALS!$A:$O,7,FALSE),0))</f>
        <v/>
      </c>
      <c r="H164" s="38" t="str">
        <f>IF(A164="","",IFERROR(VLOOKUP(VLOOKUP(A164,BOOKINGS!$A:$Q,7,FALSE),SETUP_RATES!$A:$H,8,FALSE),0))</f>
        <v/>
      </c>
      <c r="I164" s="38" t="str">
        <f t="shared" si="1"/>
        <v/>
      </c>
      <c r="J164" s="38" t="str">
        <f>IF(A164="","",IFERROR(VLOOKUP(A164,BOOKINGS!$A:$Q,13,FALSE),0))</f>
        <v/>
      </c>
      <c r="K164" s="38" t="str">
        <f t="shared" si="2"/>
        <v/>
      </c>
      <c r="L164" s="38" t="str">
        <f t="shared" si="3"/>
        <v/>
      </c>
    </row>
    <row r="165" ht="15.75" customHeight="1">
      <c r="A165" s="33" t="str">
        <f>IF(BOOKINGS!A165="","",BOOKINGS!A165)</f>
        <v/>
      </c>
      <c r="B165" s="38" t="str">
        <f>IF(A165="","",MAX(VLOOKUP(A165,BOOKINGS!$A:$Q,6,FALSE)*VLOOKUP(VLOOKUP(A165,BOOKINGS!$A:$Q,7,FALSE),SETUP_RATES!$A:$H,3,FALSE),VLOOKUP(VLOOKUP(A165,BOOKINGS!$A:$Q,7,FALSE),SETUP_RATES!$A:$H,2,FALSE)))</f>
        <v/>
      </c>
      <c r="C165" s="38" t="str">
        <f>IF(A165="","",VLOOKUP(A165,BOOKINGS!$A:$Q,10,FALSE)*VLOOKUP(VLOOKUP(A165,BOOKINGS!$A:$Q,7,FALSE),SETUP_RATES!$A:$H,6,FALSE))</f>
        <v/>
      </c>
      <c r="D165" s="38" t="str">
        <f>IF(A165="","",MAX(0,VLOOKUP(A165,TRIP_ACTUALS!$A:$O,8,FALSE)-SETUP_RATES!$K$2)*SETUP_RATES!$K$3)</f>
        <v/>
      </c>
      <c r="E165" s="38" t="str">
        <f>IF(A165="","",VLOOKUP(A165,TRIP_ACTUALS!$A:$O,9,FALSE)*VLOOKUP(VLOOKUP(A165,BOOKINGS!$A:$Q,7,FALSE),SETUP_RATES!$A:$H,5,FALSE))</f>
        <v/>
      </c>
      <c r="F165" s="38" t="str">
        <f>IF(A165="","",IFERROR(VLOOKUP(A165,TRIP_ACTUALS!$A:$O,5,FALSE),0))</f>
        <v/>
      </c>
      <c r="G165" s="38" t="str">
        <f>IF(A165="","",IFERROR(VLOOKUP(A165,TRIP_ACTUALS!$A:$O,6,FALSE),0)+IFERROR(VLOOKUP(A165,TRIP_ACTUALS!$A:$O,7,FALSE),0))</f>
        <v/>
      </c>
      <c r="H165" s="38" t="str">
        <f>IF(A165="","",IFERROR(VLOOKUP(VLOOKUP(A165,BOOKINGS!$A:$Q,7,FALSE),SETUP_RATES!$A:$H,8,FALSE),0))</f>
        <v/>
      </c>
      <c r="I165" s="38" t="str">
        <f t="shared" si="1"/>
        <v/>
      </c>
      <c r="J165" s="38" t="str">
        <f>IF(A165="","",IFERROR(VLOOKUP(A165,BOOKINGS!$A:$Q,13,FALSE),0))</f>
        <v/>
      </c>
      <c r="K165" s="38" t="str">
        <f t="shared" si="2"/>
        <v/>
      </c>
      <c r="L165" s="38" t="str">
        <f t="shared" si="3"/>
        <v/>
      </c>
    </row>
    <row r="166" ht="15.75" customHeight="1">
      <c r="A166" s="33" t="str">
        <f>IF(BOOKINGS!A166="","",BOOKINGS!A166)</f>
        <v/>
      </c>
      <c r="B166" s="38" t="str">
        <f>IF(A166="","",MAX(VLOOKUP(A166,BOOKINGS!$A:$Q,6,FALSE)*VLOOKUP(VLOOKUP(A166,BOOKINGS!$A:$Q,7,FALSE),SETUP_RATES!$A:$H,3,FALSE),VLOOKUP(VLOOKUP(A166,BOOKINGS!$A:$Q,7,FALSE),SETUP_RATES!$A:$H,2,FALSE)))</f>
        <v/>
      </c>
      <c r="C166" s="38" t="str">
        <f>IF(A166="","",VLOOKUP(A166,BOOKINGS!$A:$Q,10,FALSE)*VLOOKUP(VLOOKUP(A166,BOOKINGS!$A:$Q,7,FALSE),SETUP_RATES!$A:$H,6,FALSE))</f>
        <v/>
      </c>
      <c r="D166" s="38" t="str">
        <f>IF(A166="","",MAX(0,VLOOKUP(A166,TRIP_ACTUALS!$A:$O,8,FALSE)-SETUP_RATES!$K$2)*SETUP_RATES!$K$3)</f>
        <v/>
      </c>
      <c r="E166" s="38" t="str">
        <f>IF(A166="","",VLOOKUP(A166,TRIP_ACTUALS!$A:$O,9,FALSE)*VLOOKUP(VLOOKUP(A166,BOOKINGS!$A:$Q,7,FALSE),SETUP_RATES!$A:$H,5,FALSE))</f>
        <v/>
      </c>
      <c r="F166" s="38" t="str">
        <f>IF(A166="","",IFERROR(VLOOKUP(A166,TRIP_ACTUALS!$A:$O,5,FALSE),0))</f>
        <v/>
      </c>
      <c r="G166" s="38" t="str">
        <f>IF(A166="","",IFERROR(VLOOKUP(A166,TRIP_ACTUALS!$A:$O,6,FALSE),0)+IFERROR(VLOOKUP(A166,TRIP_ACTUALS!$A:$O,7,FALSE),0))</f>
        <v/>
      </c>
      <c r="H166" s="38" t="str">
        <f>IF(A166="","",IFERROR(VLOOKUP(VLOOKUP(A166,BOOKINGS!$A:$Q,7,FALSE),SETUP_RATES!$A:$H,8,FALSE),0))</f>
        <v/>
      </c>
      <c r="I166" s="38" t="str">
        <f t="shared" si="1"/>
        <v/>
      </c>
      <c r="J166" s="38" t="str">
        <f>IF(A166="","",IFERROR(VLOOKUP(A166,BOOKINGS!$A:$Q,13,FALSE),0))</f>
        <v/>
      </c>
      <c r="K166" s="38" t="str">
        <f t="shared" si="2"/>
        <v/>
      </c>
      <c r="L166" s="38" t="str">
        <f t="shared" si="3"/>
        <v/>
      </c>
    </row>
    <row r="167" ht="15.75" customHeight="1">
      <c r="A167" s="33" t="str">
        <f>IF(BOOKINGS!A167="","",BOOKINGS!A167)</f>
        <v/>
      </c>
      <c r="B167" s="38" t="str">
        <f>IF(A167="","",MAX(VLOOKUP(A167,BOOKINGS!$A:$Q,6,FALSE)*VLOOKUP(VLOOKUP(A167,BOOKINGS!$A:$Q,7,FALSE),SETUP_RATES!$A:$H,3,FALSE),VLOOKUP(VLOOKUP(A167,BOOKINGS!$A:$Q,7,FALSE),SETUP_RATES!$A:$H,2,FALSE)))</f>
        <v/>
      </c>
      <c r="C167" s="38" t="str">
        <f>IF(A167="","",VLOOKUP(A167,BOOKINGS!$A:$Q,10,FALSE)*VLOOKUP(VLOOKUP(A167,BOOKINGS!$A:$Q,7,FALSE),SETUP_RATES!$A:$H,6,FALSE))</f>
        <v/>
      </c>
      <c r="D167" s="38" t="str">
        <f>IF(A167="","",MAX(0,VLOOKUP(A167,TRIP_ACTUALS!$A:$O,8,FALSE)-SETUP_RATES!$K$2)*SETUP_RATES!$K$3)</f>
        <v/>
      </c>
      <c r="E167" s="38" t="str">
        <f>IF(A167="","",VLOOKUP(A167,TRIP_ACTUALS!$A:$O,9,FALSE)*VLOOKUP(VLOOKUP(A167,BOOKINGS!$A:$Q,7,FALSE),SETUP_RATES!$A:$H,5,FALSE))</f>
        <v/>
      </c>
      <c r="F167" s="38" t="str">
        <f>IF(A167="","",IFERROR(VLOOKUP(A167,TRIP_ACTUALS!$A:$O,5,FALSE),0))</f>
        <v/>
      </c>
      <c r="G167" s="38" t="str">
        <f>IF(A167="","",IFERROR(VLOOKUP(A167,TRIP_ACTUALS!$A:$O,6,FALSE),0)+IFERROR(VLOOKUP(A167,TRIP_ACTUALS!$A:$O,7,FALSE),0))</f>
        <v/>
      </c>
      <c r="H167" s="38" t="str">
        <f>IF(A167="","",IFERROR(VLOOKUP(VLOOKUP(A167,BOOKINGS!$A:$Q,7,FALSE),SETUP_RATES!$A:$H,8,FALSE),0))</f>
        <v/>
      </c>
      <c r="I167" s="38" t="str">
        <f t="shared" si="1"/>
        <v/>
      </c>
      <c r="J167" s="38" t="str">
        <f>IF(A167="","",IFERROR(VLOOKUP(A167,BOOKINGS!$A:$Q,13,FALSE),0))</f>
        <v/>
      </c>
      <c r="K167" s="38" t="str">
        <f t="shared" si="2"/>
        <v/>
      </c>
      <c r="L167" s="38" t="str">
        <f t="shared" si="3"/>
        <v/>
      </c>
    </row>
    <row r="168" ht="15.75" customHeight="1">
      <c r="A168" s="33" t="str">
        <f>IF(BOOKINGS!A168="","",BOOKINGS!A168)</f>
        <v/>
      </c>
      <c r="B168" s="38" t="str">
        <f>IF(A168="","",MAX(VLOOKUP(A168,BOOKINGS!$A:$Q,6,FALSE)*VLOOKUP(VLOOKUP(A168,BOOKINGS!$A:$Q,7,FALSE),SETUP_RATES!$A:$H,3,FALSE),VLOOKUP(VLOOKUP(A168,BOOKINGS!$A:$Q,7,FALSE),SETUP_RATES!$A:$H,2,FALSE)))</f>
        <v/>
      </c>
      <c r="C168" s="38" t="str">
        <f>IF(A168="","",VLOOKUP(A168,BOOKINGS!$A:$Q,10,FALSE)*VLOOKUP(VLOOKUP(A168,BOOKINGS!$A:$Q,7,FALSE),SETUP_RATES!$A:$H,6,FALSE))</f>
        <v/>
      </c>
      <c r="D168" s="38" t="str">
        <f>IF(A168="","",MAX(0,VLOOKUP(A168,TRIP_ACTUALS!$A:$O,8,FALSE)-SETUP_RATES!$K$2)*SETUP_RATES!$K$3)</f>
        <v/>
      </c>
      <c r="E168" s="38" t="str">
        <f>IF(A168="","",VLOOKUP(A168,TRIP_ACTUALS!$A:$O,9,FALSE)*VLOOKUP(VLOOKUP(A168,BOOKINGS!$A:$Q,7,FALSE),SETUP_RATES!$A:$H,5,FALSE))</f>
        <v/>
      </c>
      <c r="F168" s="38" t="str">
        <f>IF(A168="","",IFERROR(VLOOKUP(A168,TRIP_ACTUALS!$A:$O,5,FALSE),0))</f>
        <v/>
      </c>
      <c r="G168" s="38" t="str">
        <f>IF(A168="","",IFERROR(VLOOKUP(A168,TRIP_ACTUALS!$A:$O,6,FALSE),0)+IFERROR(VLOOKUP(A168,TRIP_ACTUALS!$A:$O,7,FALSE),0))</f>
        <v/>
      </c>
      <c r="H168" s="38" t="str">
        <f>IF(A168="","",IFERROR(VLOOKUP(VLOOKUP(A168,BOOKINGS!$A:$Q,7,FALSE),SETUP_RATES!$A:$H,8,FALSE),0))</f>
        <v/>
      </c>
      <c r="I168" s="38" t="str">
        <f t="shared" si="1"/>
        <v/>
      </c>
      <c r="J168" s="38" t="str">
        <f>IF(A168="","",IFERROR(VLOOKUP(A168,BOOKINGS!$A:$Q,13,FALSE),0))</f>
        <v/>
      </c>
      <c r="K168" s="38" t="str">
        <f t="shared" si="2"/>
        <v/>
      </c>
      <c r="L168" s="38" t="str">
        <f t="shared" si="3"/>
        <v/>
      </c>
    </row>
    <row r="169" ht="15.75" customHeight="1">
      <c r="A169" s="33" t="str">
        <f>IF(BOOKINGS!A169="","",BOOKINGS!A169)</f>
        <v/>
      </c>
      <c r="B169" s="38" t="str">
        <f>IF(A169="","",MAX(VLOOKUP(A169,BOOKINGS!$A:$Q,6,FALSE)*VLOOKUP(VLOOKUP(A169,BOOKINGS!$A:$Q,7,FALSE),SETUP_RATES!$A:$H,3,FALSE),VLOOKUP(VLOOKUP(A169,BOOKINGS!$A:$Q,7,FALSE),SETUP_RATES!$A:$H,2,FALSE)))</f>
        <v/>
      </c>
      <c r="C169" s="38" t="str">
        <f>IF(A169="","",VLOOKUP(A169,BOOKINGS!$A:$Q,10,FALSE)*VLOOKUP(VLOOKUP(A169,BOOKINGS!$A:$Q,7,FALSE),SETUP_RATES!$A:$H,6,FALSE))</f>
        <v/>
      </c>
      <c r="D169" s="38" t="str">
        <f>IF(A169="","",MAX(0,VLOOKUP(A169,TRIP_ACTUALS!$A:$O,8,FALSE)-SETUP_RATES!$K$2)*SETUP_RATES!$K$3)</f>
        <v/>
      </c>
      <c r="E169" s="38" t="str">
        <f>IF(A169="","",VLOOKUP(A169,TRIP_ACTUALS!$A:$O,9,FALSE)*VLOOKUP(VLOOKUP(A169,BOOKINGS!$A:$Q,7,FALSE),SETUP_RATES!$A:$H,5,FALSE))</f>
        <v/>
      </c>
      <c r="F169" s="38" t="str">
        <f>IF(A169="","",IFERROR(VLOOKUP(A169,TRIP_ACTUALS!$A:$O,5,FALSE),0))</f>
        <v/>
      </c>
      <c r="G169" s="38" t="str">
        <f>IF(A169="","",IFERROR(VLOOKUP(A169,TRIP_ACTUALS!$A:$O,6,FALSE),0)+IFERROR(VLOOKUP(A169,TRIP_ACTUALS!$A:$O,7,FALSE),0))</f>
        <v/>
      </c>
      <c r="H169" s="38" t="str">
        <f>IF(A169="","",IFERROR(VLOOKUP(VLOOKUP(A169,BOOKINGS!$A:$Q,7,FALSE),SETUP_RATES!$A:$H,8,FALSE),0))</f>
        <v/>
      </c>
      <c r="I169" s="38" t="str">
        <f t="shared" si="1"/>
        <v/>
      </c>
      <c r="J169" s="38" t="str">
        <f>IF(A169="","",IFERROR(VLOOKUP(A169,BOOKINGS!$A:$Q,13,FALSE),0))</f>
        <v/>
      </c>
      <c r="K169" s="38" t="str">
        <f t="shared" si="2"/>
        <v/>
      </c>
      <c r="L169" s="38" t="str">
        <f t="shared" si="3"/>
        <v/>
      </c>
    </row>
    <row r="170" ht="15.75" customHeight="1">
      <c r="A170" s="33" t="str">
        <f>IF(BOOKINGS!A170="","",BOOKINGS!A170)</f>
        <v/>
      </c>
      <c r="B170" s="38" t="str">
        <f>IF(A170="","",MAX(VLOOKUP(A170,BOOKINGS!$A:$Q,6,FALSE)*VLOOKUP(VLOOKUP(A170,BOOKINGS!$A:$Q,7,FALSE),SETUP_RATES!$A:$H,3,FALSE),VLOOKUP(VLOOKUP(A170,BOOKINGS!$A:$Q,7,FALSE),SETUP_RATES!$A:$H,2,FALSE)))</f>
        <v/>
      </c>
      <c r="C170" s="38" t="str">
        <f>IF(A170="","",VLOOKUP(A170,BOOKINGS!$A:$Q,10,FALSE)*VLOOKUP(VLOOKUP(A170,BOOKINGS!$A:$Q,7,FALSE),SETUP_RATES!$A:$H,6,FALSE))</f>
        <v/>
      </c>
      <c r="D170" s="38" t="str">
        <f>IF(A170="","",MAX(0,VLOOKUP(A170,TRIP_ACTUALS!$A:$O,8,FALSE)-SETUP_RATES!$K$2)*SETUP_RATES!$K$3)</f>
        <v/>
      </c>
      <c r="E170" s="38" t="str">
        <f>IF(A170="","",VLOOKUP(A170,TRIP_ACTUALS!$A:$O,9,FALSE)*VLOOKUP(VLOOKUP(A170,BOOKINGS!$A:$Q,7,FALSE),SETUP_RATES!$A:$H,5,FALSE))</f>
        <v/>
      </c>
      <c r="F170" s="38" t="str">
        <f>IF(A170="","",IFERROR(VLOOKUP(A170,TRIP_ACTUALS!$A:$O,5,FALSE),0))</f>
        <v/>
      </c>
      <c r="G170" s="38" t="str">
        <f>IF(A170="","",IFERROR(VLOOKUP(A170,TRIP_ACTUALS!$A:$O,6,FALSE),0)+IFERROR(VLOOKUP(A170,TRIP_ACTUALS!$A:$O,7,FALSE),0))</f>
        <v/>
      </c>
      <c r="H170" s="38" t="str">
        <f>IF(A170="","",IFERROR(VLOOKUP(VLOOKUP(A170,BOOKINGS!$A:$Q,7,FALSE),SETUP_RATES!$A:$H,8,FALSE),0))</f>
        <v/>
      </c>
      <c r="I170" s="38" t="str">
        <f t="shared" si="1"/>
        <v/>
      </c>
      <c r="J170" s="38" t="str">
        <f>IF(A170="","",IFERROR(VLOOKUP(A170,BOOKINGS!$A:$Q,13,FALSE),0))</f>
        <v/>
      </c>
      <c r="K170" s="38" t="str">
        <f t="shared" si="2"/>
        <v/>
      </c>
      <c r="L170" s="38" t="str">
        <f t="shared" si="3"/>
        <v/>
      </c>
    </row>
    <row r="171" ht="15.75" customHeight="1">
      <c r="A171" s="33" t="str">
        <f>IF(BOOKINGS!A171="","",BOOKINGS!A171)</f>
        <v/>
      </c>
      <c r="B171" s="38" t="str">
        <f>IF(A171="","",MAX(VLOOKUP(A171,BOOKINGS!$A:$Q,6,FALSE)*VLOOKUP(VLOOKUP(A171,BOOKINGS!$A:$Q,7,FALSE),SETUP_RATES!$A:$H,3,FALSE),VLOOKUP(VLOOKUP(A171,BOOKINGS!$A:$Q,7,FALSE),SETUP_RATES!$A:$H,2,FALSE)))</f>
        <v/>
      </c>
      <c r="C171" s="38" t="str">
        <f>IF(A171="","",VLOOKUP(A171,BOOKINGS!$A:$Q,10,FALSE)*VLOOKUP(VLOOKUP(A171,BOOKINGS!$A:$Q,7,FALSE),SETUP_RATES!$A:$H,6,FALSE))</f>
        <v/>
      </c>
      <c r="D171" s="38" t="str">
        <f>IF(A171="","",MAX(0,VLOOKUP(A171,TRIP_ACTUALS!$A:$O,8,FALSE)-SETUP_RATES!$K$2)*SETUP_RATES!$K$3)</f>
        <v/>
      </c>
      <c r="E171" s="38" t="str">
        <f>IF(A171="","",VLOOKUP(A171,TRIP_ACTUALS!$A:$O,9,FALSE)*VLOOKUP(VLOOKUP(A171,BOOKINGS!$A:$Q,7,FALSE),SETUP_RATES!$A:$H,5,FALSE))</f>
        <v/>
      </c>
      <c r="F171" s="38" t="str">
        <f>IF(A171="","",IFERROR(VLOOKUP(A171,TRIP_ACTUALS!$A:$O,5,FALSE),0))</f>
        <v/>
      </c>
      <c r="G171" s="38" t="str">
        <f>IF(A171="","",IFERROR(VLOOKUP(A171,TRIP_ACTUALS!$A:$O,6,FALSE),0)+IFERROR(VLOOKUP(A171,TRIP_ACTUALS!$A:$O,7,FALSE),0))</f>
        <v/>
      </c>
      <c r="H171" s="38" t="str">
        <f>IF(A171="","",IFERROR(VLOOKUP(VLOOKUP(A171,BOOKINGS!$A:$Q,7,FALSE),SETUP_RATES!$A:$H,8,FALSE),0))</f>
        <v/>
      </c>
      <c r="I171" s="38" t="str">
        <f t="shared" si="1"/>
        <v/>
      </c>
      <c r="J171" s="38" t="str">
        <f>IF(A171="","",IFERROR(VLOOKUP(A171,BOOKINGS!$A:$Q,13,FALSE),0))</f>
        <v/>
      </c>
      <c r="K171" s="38" t="str">
        <f t="shared" si="2"/>
        <v/>
      </c>
      <c r="L171" s="38" t="str">
        <f t="shared" si="3"/>
        <v/>
      </c>
    </row>
    <row r="172" ht="15.75" customHeight="1">
      <c r="A172" s="33" t="str">
        <f>IF(BOOKINGS!A172="","",BOOKINGS!A172)</f>
        <v/>
      </c>
      <c r="B172" s="38" t="str">
        <f>IF(A172="","",MAX(VLOOKUP(A172,BOOKINGS!$A:$Q,6,FALSE)*VLOOKUP(VLOOKUP(A172,BOOKINGS!$A:$Q,7,FALSE),SETUP_RATES!$A:$H,3,FALSE),VLOOKUP(VLOOKUP(A172,BOOKINGS!$A:$Q,7,FALSE),SETUP_RATES!$A:$H,2,FALSE)))</f>
        <v/>
      </c>
      <c r="C172" s="38" t="str">
        <f>IF(A172="","",VLOOKUP(A172,BOOKINGS!$A:$Q,10,FALSE)*VLOOKUP(VLOOKUP(A172,BOOKINGS!$A:$Q,7,FALSE),SETUP_RATES!$A:$H,6,FALSE))</f>
        <v/>
      </c>
      <c r="D172" s="38" t="str">
        <f>IF(A172="","",MAX(0,VLOOKUP(A172,TRIP_ACTUALS!$A:$O,8,FALSE)-SETUP_RATES!$K$2)*SETUP_RATES!$K$3)</f>
        <v/>
      </c>
      <c r="E172" s="38" t="str">
        <f>IF(A172="","",VLOOKUP(A172,TRIP_ACTUALS!$A:$O,9,FALSE)*VLOOKUP(VLOOKUP(A172,BOOKINGS!$A:$Q,7,FALSE),SETUP_RATES!$A:$H,5,FALSE))</f>
        <v/>
      </c>
      <c r="F172" s="38" t="str">
        <f>IF(A172="","",IFERROR(VLOOKUP(A172,TRIP_ACTUALS!$A:$O,5,FALSE),0))</f>
        <v/>
      </c>
      <c r="G172" s="38" t="str">
        <f>IF(A172="","",IFERROR(VLOOKUP(A172,TRIP_ACTUALS!$A:$O,6,FALSE),0)+IFERROR(VLOOKUP(A172,TRIP_ACTUALS!$A:$O,7,FALSE),0))</f>
        <v/>
      </c>
      <c r="H172" s="38" t="str">
        <f>IF(A172="","",IFERROR(VLOOKUP(VLOOKUP(A172,BOOKINGS!$A:$Q,7,FALSE),SETUP_RATES!$A:$H,8,FALSE),0))</f>
        <v/>
      </c>
      <c r="I172" s="38" t="str">
        <f t="shared" si="1"/>
        <v/>
      </c>
      <c r="J172" s="38" t="str">
        <f>IF(A172="","",IFERROR(VLOOKUP(A172,BOOKINGS!$A:$Q,13,FALSE),0))</f>
        <v/>
      </c>
      <c r="K172" s="38" t="str">
        <f t="shared" si="2"/>
        <v/>
      </c>
      <c r="L172" s="38" t="str">
        <f t="shared" si="3"/>
        <v/>
      </c>
    </row>
    <row r="173" ht="15.75" customHeight="1">
      <c r="A173" s="33" t="str">
        <f>IF(BOOKINGS!A173="","",BOOKINGS!A173)</f>
        <v/>
      </c>
      <c r="B173" s="38" t="str">
        <f>IF(A173="","",MAX(VLOOKUP(A173,BOOKINGS!$A:$Q,6,FALSE)*VLOOKUP(VLOOKUP(A173,BOOKINGS!$A:$Q,7,FALSE),SETUP_RATES!$A:$H,3,FALSE),VLOOKUP(VLOOKUP(A173,BOOKINGS!$A:$Q,7,FALSE),SETUP_RATES!$A:$H,2,FALSE)))</f>
        <v/>
      </c>
      <c r="C173" s="38" t="str">
        <f>IF(A173="","",VLOOKUP(A173,BOOKINGS!$A:$Q,10,FALSE)*VLOOKUP(VLOOKUP(A173,BOOKINGS!$A:$Q,7,FALSE),SETUP_RATES!$A:$H,6,FALSE))</f>
        <v/>
      </c>
      <c r="D173" s="38" t="str">
        <f>IF(A173="","",MAX(0,VLOOKUP(A173,TRIP_ACTUALS!$A:$O,8,FALSE)-SETUP_RATES!$K$2)*SETUP_RATES!$K$3)</f>
        <v/>
      </c>
      <c r="E173" s="38" t="str">
        <f>IF(A173="","",VLOOKUP(A173,TRIP_ACTUALS!$A:$O,9,FALSE)*VLOOKUP(VLOOKUP(A173,BOOKINGS!$A:$Q,7,FALSE),SETUP_RATES!$A:$H,5,FALSE))</f>
        <v/>
      </c>
      <c r="F173" s="38" t="str">
        <f>IF(A173="","",IFERROR(VLOOKUP(A173,TRIP_ACTUALS!$A:$O,5,FALSE),0))</f>
        <v/>
      </c>
      <c r="G173" s="38" t="str">
        <f>IF(A173="","",IFERROR(VLOOKUP(A173,TRIP_ACTUALS!$A:$O,6,FALSE),0)+IFERROR(VLOOKUP(A173,TRIP_ACTUALS!$A:$O,7,FALSE),0))</f>
        <v/>
      </c>
      <c r="H173" s="38" t="str">
        <f>IF(A173="","",IFERROR(VLOOKUP(VLOOKUP(A173,BOOKINGS!$A:$Q,7,FALSE),SETUP_RATES!$A:$H,8,FALSE),0))</f>
        <v/>
      </c>
      <c r="I173" s="38" t="str">
        <f t="shared" si="1"/>
        <v/>
      </c>
      <c r="J173" s="38" t="str">
        <f>IF(A173="","",IFERROR(VLOOKUP(A173,BOOKINGS!$A:$Q,13,FALSE),0))</f>
        <v/>
      </c>
      <c r="K173" s="38" t="str">
        <f t="shared" si="2"/>
        <v/>
      </c>
      <c r="L173" s="38" t="str">
        <f t="shared" si="3"/>
        <v/>
      </c>
    </row>
    <row r="174" ht="15.75" customHeight="1">
      <c r="A174" s="33" t="str">
        <f>IF(BOOKINGS!A174="","",BOOKINGS!A174)</f>
        <v/>
      </c>
      <c r="B174" s="38" t="str">
        <f>IF(A174="","",MAX(VLOOKUP(A174,BOOKINGS!$A:$Q,6,FALSE)*VLOOKUP(VLOOKUP(A174,BOOKINGS!$A:$Q,7,FALSE),SETUP_RATES!$A:$H,3,FALSE),VLOOKUP(VLOOKUP(A174,BOOKINGS!$A:$Q,7,FALSE),SETUP_RATES!$A:$H,2,FALSE)))</f>
        <v/>
      </c>
      <c r="C174" s="38" t="str">
        <f>IF(A174="","",VLOOKUP(A174,BOOKINGS!$A:$Q,10,FALSE)*VLOOKUP(VLOOKUP(A174,BOOKINGS!$A:$Q,7,FALSE),SETUP_RATES!$A:$H,6,FALSE))</f>
        <v/>
      </c>
      <c r="D174" s="38" t="str">
        <f>IF(A174="","",MAX(0,VLOOKUP(A174,TRIP_ACTUALS!$A:$O,8,FALSE)-SETUP_RATES!$K$2)*SETUP_RATES!$K$3)</f>
        <v/>
      </c>
      <c r="E174" s="38" t="str">
        <f>IF(A174="","",VLOOKUP(A174,TRIP_ACTUALS!$A:$O,9,FALSE)*VLOOKUP(VLOOKUP(A174,BOOKINGS!$A:$Q,7,FALSE),SETUP_RATES!$A:$H,5,FALSE))</f>
        <v/>
      </c>
      <c r="F174" s="38" t="str">
        <f>IF(A174="","",IFERROR(VLOOKUP(A174,TRIP_ACTUALS!$A:$O,5,FALSE),0))</f>
        <v/>
      </c>
      <c r="G174" s="38" t="str">
        <f>IF(A174="","",IFERROR(VLOOKUP(A174,TRIP_ACTUALS!$A:$O,6,FALSE),0)+IFERROR(VLOOKUP(A174,TRIP_ACTUALS!$A:$O,7,FALSE),0))</f>
        <v/>
      </c>
      <c r="H174" s="38" t="str">
        <f>IF(A174="","",IFERROR(VLOOKUP(VLOOKUP(A174,BOOKINGS!$A:$Q,7,FALSE),SETUP_RATES!$A:$H,8,FALSE),0))</f>
        <v/>
      </c>
      <c r="I174" s="38" t="str">
        <f t="shared" si="1"/>
        <v/>
      </c>
      <c r="J174" s="38" t="str">
        <f>IF(A174="","",IFERROR(VLOOKUP(A174,BOOKINGS!$A:$Q,13,FALSE),0))</f>
        <v/>
      </c>
      <c r="K174" s="38" t="str">
        <f t="shared" si="2"/>
        <v/>
      </c>
      <c r="L174" s="38" t="str">
        <f t="shared" si="3"/>
        <v/>
      </c>
    </row>
    <row r="175" ht="15.75" customHeight="1">
      <c r="A175" s="33" t="str">
        <f>IF(BOOKINGS!A175="","",BOOKINGS!A175)</f>
        <v/>
      </c>
      <c r="B175" s="38" t="str">
        <f>IF(A175="","",MAX(VLOOKUP(A175,BOOKINGS!$A:$Q,6,FALSE)*VLOOKUP(VLOOKUP(A175,BOOKINGS!$A:$Q,7,FALSE),SETUP_RATES!$A:$H,3,FALSE),VLOOKUP(VLOOKUP(A175,BOOKINGS!$A:$Q,7,FALSE),SETUP_RATES!$A:$H,2,FALSE)))</f>
        <v/>
      </c>
      <c r="C175" s="38" t="str">
        <f>IF(A175="","",VLOOKUP(A175,BOOKINGS!$A:$Q,10,FALSE)*VLOOKUP(VLOOKUP(A175,BOOKINGS!$A:$Q,7,FALSE),SETUP_RATES!$A:$H,6,FALSE))</f>
        <v/>
      </c>
      <c r="D175" s="38" t="str">
        <f>IF(A175="","",MAX(0,VLOOKUP(A175,TRIP_ACTUALS!$A:$O,8,FALSE)-SETUP_RATES!$K$2)*SETUP_RATES!$K$3)</f>
        <v/>
      </c>
      <c r="E175" s="38" t="str">
        <f>IF(A175="","",VLOOKUP(A175,TRIP_ACTUALS!$A:$O,9,FALSE)*VLOOKUP(VLOOKUP(A175,BOOKINGS!$A:$Q,7,FALSE),SETUP_RATES!$A:$H,5,FALSE))</f>
        <v/>
      </c>
      <c r="F175" s="38" t="str">
        <f>IF(A175="","",IFERROR(VLOOKUP(A175,TRIP_ACTUALS!$A:$O,5,FALSE),0))</f>
        <v/>
      </c>
      <c r="G175" s="38" t="str">
        <f>IF(A175="","",IFERROR(VLOOKUP(A175,TRIP_ACTUALS!$A:$O,6,FALSE),0)+IFERROR(VLOOKUP(A175,TRIP_ACTUALS!$A:$O,7,FALSE),0))</f>
        <v/>
      </c>
      <c r="H175" s="38" t="str">
        <f>IF(A175="","",IFERROR(VLOOKUP(VLOOKUP(A175,BOOKINGS!$A:$Q,7,FALSE),SETUP_RATES!$A:$H,8,FALSE),0))</f>
        <v/>
      </c>
      <c r="I175" s="38" t="str">
        <f t="shared" si="1"/>
        <v/>
      </c>
      <c r="J175" s="38" t="str">
        <f>IF(A175="","",IFERROR(VLOOKUP(A175,BOOKINGS!$A:$Q,13,FALSE),0))</f>
        <v/>
      </c>
      <c r="K175" s="38" t="str">
        <f t="shared" si="2"/>
        <v/>
      </c>
      <c r="L175" s="38" t="str">
        <f t="shared" si="3"/>
        <v/>
      </c>
    </row>
    <row r="176" ht="15.75" customHeight="1">
      <c r="A176" s="33" t="str">
        <f>IF(BOOKINGS!A176="","",BOOKINGS!A176)</f>
        <v/>
      </c>
      <c r="B176" s="38" t="str">
        <f>IF(A176="","",MAX(VLOOKUP(A176,BOOKINGS!$A:$Q,6,FALSE)*VLOOKUP(VLOOKUP(A176,BOOKINGS!$A:$Q,7,FALSE),SETUP_RATES!$A:$H,3,FALSE),VLOOKUP(VLOOKUP(A176,BOOKINGS!$A:$Q,7,FALSE),SETUP_RATES!$A:$H,2,FALSE)))</f>
        <v/>
      </c>
      <c r="C176" s="38" t="str">
        <f>IF(A176="","",VLOOKUP(A176,BOOKINGS!$A:$Q,10,FALSE)*VLOOKUP(VLOOKUP(A176,BOOKINGS!$A:$Q,7,FALSE),SETUP_RATES!$A:$H,6,FALSE))</f>
        <v/>
      </c>
      <c r="D176" s="38" t="str">
        <f>IF(A176="","",MAX(0,VLOOKUP(A176,TRIP_ACTUALS!$A:$O,8,FALSE)-SETUP_RATES!$K$2)*SETUP_RATES!$K$3)</f>
        <v/>
      </c>
      <c r="E176" s="38" t="str">
        <f>IF(A176="","",VLOOKUP(A176,TRIP_ACTUALS!$A:$O,9,FALSE)*VLOOKUP(VLOOKUP(A176,BOOKINGS!$A:$Q,7,FALSE),SETUP_RATES!$A:$H,5,FALSE))</f>
        <v/>
      </c>
      <c r="F176" s="38" t="str">
        <f>IF(A176="","",IFERROR(VLOOKUP(A176,TRIP_ACTUALS!$A:$O,5,FALSE),0))</f>
        <v/>
      </c>
      <c r="G176" s="38" t="str">
        <f>IF(A176="","",IFERROR(VLOOKUP(A176,TRIP_ACTUALS!$A:$O,6,FALSE),0)+IFERROR(VLOOKUP(A176,TRIP_ACTUALS!$A:$O,7,FALSE),0))</f>
        <v/>
      </c>
      <c r="H176" s="38" t="str">
        <f>IF(A176="","",IFERROR(VLOOKUP(VLOOKUP(A176,BOOKINGS!$A:$Q,7,FALSE),SETUP_RATES!$A:$H,8,FALSE),0))</f>
        <v/>
      </c>
      <c r="I176" s="38" t="str">
        <f t="shared" si="1"/>
        <v/>
      </c>
      <c r="J176" s="38" t="str">
        <f>IF(A176="","",IFERROR(VLOOKUP(A176,BOOKINGS!$A:$Q,13,FALSE),0))</f>
        <v/>
      </c>
      <c r="K176" s="38" t="str">
        <f t="shared" si="2"/>
        <v/>
      </c>
      <c r="L176" s="38" t="str">
        <f t="shared" si="3"/>
        <v/>
      </c>
    </row>
    <row r="177" ht="15.75" customHeight="1">
      <c r="A177" s="33" t="str">
        <f>IF(BOOKINGS!A177="","",BOOKINGS!A177)</f>
        <v/>
      </c>
      <c r="B177" s="38" t="str">
        <f>IF(A177="","",MAX(VLOOKUP(A177,BOOKINGS!$A:$Q,6,FALSE)*VLOOKUP(VLOOKUP(A177,BOOKINGS!$A:$Q,7,FALSE),SETUP_RATES!$A:$H,3,FALSE),VLOOKUP(VLOOKUP(A177,BOOKINGS!$A:$Q,7,FALSE),SETUP_RATES!$A:$H,2,FALSE)))</f>
        <v/>
      </c>
      <c r="C177" s="38" t="str">
        <f>IF(A177="","",VLOOKUP(A177,BOOKINGS!$A:$Q,10,FALSE)*VLOOKUP(VLOOKUP(A177,BOOKINGS!$A:$Q,7,FALSE),SETUP_RATES!$A:$H,6,FALSE))</f>
        <v/>
      </c>
      <c r="D177" s="38" t="str">
        <f>IF(A177="","",MAX(0,VLOOKUP(A177,TRIP_ACTUALS!$A:$O,8,FALSE)-SETUP_RATES!$K$2)*SETUP_RATES!$K$3)</f>
        <v/>
      </c>
      <c r="E177" s="38" t="str">
        <f>IF(A177="","",VLOOKUP(A177,TRIP_ACTUALS!$A:$O,9,FALSE)*VLOOKUP(VLOOKUP(A177,BOOKINGS!$A:$Q,7,FALSE),SETUP_RATES!$A:$H,5,FALSE))</f>
        <v/>
      </c>
      <c r="F177" s="38" t="str">
        <f>IF(A177="","",IFERROR(VLOOKUP(A177,TRIP_ACTUALS!$A:$O,5,FALSE),0))</f>
        <v/>
      </c>
      <c r="G177" s="38" t="str">
        <f>IF(A177="","",IFERROR(VLOOKUP(A177,TRIP_ACTUALS!$A:$O,6,FALSE),0)+IFERROR(VLOOKUP(A177,TRIP_ACTUALS!$A:$O,7,FALSE),0))</f>
        <v/>
      </c>
      <c r="H177" s="38" t="str">
        <f>IF(A177="","",IFERROR(VLOOKUP(VLOOKUP(A177,BOOKINGS!$A:$Q,7,FALSE),SETUP_RATES!$A:$H,8,FALSE),0))</f>
        <v/>
      </c>
      <c r="I177" s="38" t="str">
        <f t="shared" si="1"/>
        <v/>
      </c>
      <c r="J177" s="38" t="str">
        <f>IF(A177="","",IFERROR(VLOOKUP(A177,BOOKINGS!$A:$Q,13,FALSE),0))</f>
        <v/>
      </c>
      <c r="K177" s="38" t="str">
        <f t="shared" si="2"/>
        <v/>
      </c>
      <c r="L177" s="38" t="str">
        <f t="shared" si="3"/>
        <v/>
      </c>
    </row>
    <row r="178" ht="15.75" customHeight="1">
      <c r="A178" s="33" t="str">
        <f>IF(BOOKINGS!A178="","",BOOKINGS!A178)</f>
        <v/>
      </c>
      <c r="B178" s="38" t="str">
        <f>IF(A178="","",MAX(VLOOKUP(A178,BOOKINGS!$A:$Q,6,FALSE)*VLOOKUP(VLOOKUP(A178,BOOKINGS!$A:$Q,7,FALSE),SETUP_RATES!$A:$H,3,FALSE),VLOOKUP(VLOOKUP(A178,BOOKINGS!$A:$Q,7,FALSE),SETUP_RATES!$A:$H,2,FALSE)))</f>
        <v/>
      </c>
      <c r="C178" s="38" t="str">
        <f>IF(A178="","",VLOOKUP(A178,BOOKINGS!$A:$Q,10,FALSE)*VLOOKUP(VLOOKUP(A178,BOOKINGS!$A:$Q,7,FALSE),SETUP_RATES!$A:$H,6,FALSE))</f>
        <v/>
      </c>
      <c r="D178" s="38" t="str">
        <f>IF(A178="","",MAX(0,VLOOKUP(A178,TRIP_ACTUALS!$A:$O,8,FALSE)-SETUP_RATES!$K$2)*SETUP_RATES!$K$3)</f>
        <v/>
      </c>
      <c r="E178" s="38" t="str">
        <f>IF(A178="","",VLOOKUP(A178,TRIP_ACTUALS!$A:$O,9,FALSE)*VLOOKUP(VLOOKUP(A178,BOOKINGS!$A:$Q,7,FALSE),SETUP_RATES!$A:$H,5,FALSE))</f>
        <v/>
      </c>
      <c r="F178" s="38" t="str">
        <f>IF(A178="","",IFERROR(VLOOKUP(A178,TRIP_ACTUALS!$A:$O,5,FALSE),0))</f>
        <v/>
      </c>
      <c r="G178" s="38" t="str">
        <f>IF(A178="","",IFERROR(VLOOKUP(A178,TRIP_ACTUALS!$A:$O,6,FALSE),0)+IFERROR(VLOOKUP(A178,TRIP_ACTUALS!$A:$O,7,FALSE),0))</f>
        <v/>
      </c>
      <c r="H178" s="38" t="str">
        <f>IF(A178="","",IFERROR(VLOOKUP(VLOOKUP(A178,BOOKINGS!$A:$Q,7,FALSE),SETUP_RATES!$A:$H,8,FALSE),0))</f>
        <v/>
      </c>
      <c r="I178" s="38" t="str">
        <f t="shared" si="1"/>
        <v/>
      </c>
      <c r="J178" s="38" t="str">
        <f>IF(A178="","",IFERROR(VLOOKUP(A178,BOOKINGS!$A:$Q,13,FALSE),0))</f>
        <v/>
      </c>
      <c r="K178" s="38" t="str">
        <f t="shared" si="2"/>
        <v/>
      </c>
      <c r="L178" s="38" t="str">
        <f t="shared" si="3"/>
        <v/>
      </c>
    </row>
    <row r="179" ht="15.75" customHeight="1">
      <c r="A179" s="33" t="str">
        <f>IF(BOOKINGS!A179="","",BOOKINGS!A179)</f>
        <v/>
      </c>
      <c r="B179" s="38" t="str">
        <f>IF(A179="","",MAX(VLOOKUP(A179,BOOKINGS!$A:$Q,6,FALSE)*VLOOKUP(VLOOKUP(A179,BOOKINGS!$A:$Q,7,FALSE),SETUP_RATES!$A:$H,3,FALSE),VLOOKUP(VLOOKUP(A179,BOOKINGS!$A:$Q,7,FALSE),SETUP_RATES!$A:$H,2,FALSE)))</f>
        <v/>
      </c>
      <c r="C179" s="38" t="str">
        <f>IF(A179="","",VLOOKUP(A179,BOOKINGS!$A:$Q,10,FALSE)*VLOOKUP(VLOOKUP(A179,BOOKINGS!$A:$Q,7,FALSE),SETUP_RATES!$A:$H,6,FALSE))</f>
        <v/>
      </c>
      <c r="D179" s="38" t="str">
        <f>IF(A179="","",MAX(0,VLOOKUP(A179,TRIP_ACTUALS!$A:$O,8,FALSE)-SETUP_RATES!$K$2)*SETUP_RATES!$K$3)</f>
        <v/>
      </c>
      <c r="E179" s="38" t="str">
        <f>IF(A179="","",VLOOKUP(A179,TRIP_ACTUALS!$A:$O,9,FALSE)*VLOOKUP(VLOOKUP(A179,BOOKINGS!$A:$Q,7,FALSE),SETUP_RATES!$A:$H,5,FALSE))</f>
        <v/>
      </c>
      <c r="F179" s="38" t="str">
        <f>IF(A179="","",IFERROR(VLOOKUP(A179,TRIP_ACTUALS!$A:$O,5,FALSE),0))</f>
        <v/>
      </c>
      <c r="G179" s="38" t="str">
        <f>IF(A179="","",IFERROR(VLOOKUP(A179,TRIP_ACTUALS!$A:$O,6,FALSE),0)+IFERROR(VLOOKUP(A179,TRIP_ACTUALS!$A:$O,7,FALSE),0))</f>
        <v/>
      </c>
      <c r="H179" s="38" t="str">
        <f>IF(A179="","",IFERROR(VLOOKUP(VLOOKUP(A179,BOOKINGS!$A:$Q,7,FALSE),SETUP_RATES!$A:$H,8,FALSE),0))</f>
        <v/>
      </c>
      <c r="I179" s="38" t="str">
        <f t="shared" si="1"/>
        <v/>
      </c>
      <c r="J179" s="38" t="str">
        <f>IF(A179="","",IFERROR(VLOOKUP(A179,BOOKINGS!$A:$Q,13,FALSE),0))</f>
        <v/>
      </c>
      <c r="K179" s="38" t="str">
        <f t="shared" si="2"/>
        <v/>
      </c>
      <c r="L179" s="38" t="str">
        <f t="shared" si="3"/>
        <v/>
      </c>
    </row>
    <row r="180" ht="15.75" customHeight="1">
      <c r="A180" s="33" t="str">
        <f>IF(BOOKINGS!A180="","",BOOKINGS!A180)</f>
        <v/>
      </c>
      <c r="B180" s="38" t="str">
        <f>IF(A180="","",MAX(VLOOKUP(A180,BOOKINGS!$A:$Q,6,FALSE)*VLOOKUP(VLOOKUP(A180,BOOKINGS!$A:$Q,7,FALSE),SETUP_RATES!$A:$H,3,FALSE),VLOOKUP(VLOOKUP(A180,BOOKINGS!$A:$Q,7,FALSE),SETUP_RATES!$A:$H,2,FALSE)))</f>
        <v/>
      </c>
      <c r="C180" s="38" t="str">
        <f>IF(A180="","",VLOOKUP(A180,BOOKINGS!$A:$Q,10,FALSE)*VLOOKUP(VLOOKUP(A180,BOOKINGS!$A:$Q,7,FALSE),SETUP_RATES!$A:$H,6,FALSE))</f>
        <v/>
      </c>
      <c r="D180" s="38" t="str">
        <f>IF(A180="","",MAX(0,VLOOKUP(A180,TRIP_ACTUALS!$A:$O,8,FALSE)-SETUP_RATES!$K$2)*SETUP_RATES!$K$3)</f>
        <v/>
      </c>
      <c r="E180" s="38" t="str">
        <f>IF(A180="","",VLOOKUP(A180,TRIP_ACTUALS!$A:$O,9,FALSE)*VLOOKUP(VLOOKUP(A180,BOOKINGS!$A:$Q,7,FALSE),SETUP_RATES!$A:$H,5,FALSE))</f>
        <v/>
      </c>
      <c r="F180" s="38" t="str">
        <f>IF(A180="","",IFERROR(VLOOKUP(A180,TRIP_ACTUALS!$A:$O,5,FALSE),0))</f>
        <v/>
      </c>
      <c r="G180" s="38" t="str">
        <f>IF(A180="","",IFERROR(VLOOKUP(A180,TRIP_ACTUALS!$A:$O,6,FALSE),0)+IFERROR(VLOOKUP(A180,TRIP_ACTUALS!$A:$O,7,FALSE),0))</f>
        <v/>
      </c>
      <c r="H180" s="38" t="str">
        <f>IF(A180="","",IFERROR(VLOOKUP(VLOOKUP(A180,BOOKINGS!$A:$Q,7,FALSE),SETUP_RATES!$A:$H,8,FALSE),0))</f>
        <v/>
      </c>
      <c r="I180" s="38" t="str">
        <f t="shared" si="1"/>
        <v/>
      </c>
      <c r="J180" s="38" t="str">
        <f>IF(A180="","",IFERROR(VLOOKUP(A180,BOOKINGS!$A:$Q,13,FALSE),0))</f>
        <v/>
      </c>
      <c r="K180" s="38" t="str">
        <f t="shared" si="2"/>
        <v/>
      </c>
      <c r="L180" s="38" t="str">
        <f t="shared" si="3"/>
        <v/>
      </c>
    </row>
    <row r="181" ht="15.75" customHeight="1">
      <c r="A181" s="33" t="str">
        <f>IF(BOOKINGS!A181="","",BOOKINGS!A181)</f>
        <v/>
      </c>
      <c r="B181" s="38" t="str">
        <f>IF(A181="","",MAX(VLOOKUP(A181,BOOKINGS!$A:$Q,6,FALSE)*VLOOKUP(VLOOKUP(A181,BOOKINGS!$A:$Q,7,FALSE),SETUP_RATES!$A:$H,3,FALSE),VLOOKUP(VLOOKUP(A181,BOOKINGS!$A:$Q,7,FALSE),SETUP_RATES!$A:$H,2,FALSE)))</f>
        <v/>
      </c>
      <c r="C181" s="38" t="str">
        <f>IF(A181="","",VLOOKUP(A181,BOOKINGS!$A:$Q,10,FALSE)*VLOOKUP(VLOOKUP(A181,BOOKINGS!$A:$Q,7,FALSE),SETUP_RATES!$A:$H,6,FALSE))</f>
        <v/>
      </c>
      <c r="D181" s="38" t="str">
        <f>IF(A181="","",MAX(0,VLOOKUP(A181,TRIP_ACTUALS!$A:$O,8,FALSE)-SETUP_RATES!$K$2)*SETUP_RATES!$K$3)</f>
        <v/>
      </c>
      <c r="E181" s="38" t="str">
        <f>IF(A181="","",VLOOKUP(A181,TRIP_ACTUALS!$A:$O,9,FALSE)*VLOOKUP(VLOOKUP(A181,BOOKINGS!$A:$Q,7,FALSE),SETUP_RATES!$A:$H,5,FALSE))</f>
        <v/>
      </c>
      <c r="F181" s="38" t="str">
        <f>IF(A181="","",IFERROR(VLOOKUP(A181,TRIP_ACTUALS!$A:$O,5,FALSE),0))</f>
        <v/>
      </c>
      <c r="G181" s="38" t="str">
        <f>IF(A181="","",IFERROR(VLOOKUP(A181,TRIP_ACTUALS!$A:$O,6,FALSE),0)+IFERROR(VLOOKUP(A181,TRIP_ACTUALS!$A:$O,7,FALSE),0))</f>
        <v/>
      </c>
      <c r="H181" s="38" t="str">
        <f>IF(A181="","",IFERROR(VLOOKUP(VLOOKUP(A181,BOOKINGS!$A:$Q,7,FALSE),SETUP_RATES!$A:$H,8,FALSE),0))</f>
        <v/>
      </c>
      <c r="I181" s="38" t="str">
        <f t="shared" si="1"/>
        <v/>
      </c>
      <c r="J181" s="38" t="str">
        <f>IF(A181="","",IFERROR(VLOOKUP(A181,BOOKINGS!$A:$Q,13,FALSE),0))</f>
        <v/>
      </c>
      <c r="K181" s="38" t="str">
        <f t="shared" si="2"/>
        <v/>
      </c>
      <c r="L181" s="38" t="str">
        <f t="shared" si="3"/>
        <v/>
      </c>
    </row>
    <row r="182" ht="15.75" customHeight="1">
      <c r="A182" s="33" t="str">
        <f>IF(BOOKINGS!A182="","",BOOKINGS!A182)</f>
        <v/>
      </c>
      <c r="B182" s="38" t="str">
        <f>IF(A182="","",MAX(VLOOKUP(A182,BOOKINGS!$A:$Q,6,FALSE)*VLOOKUP(VLOOKUP(A182,BOOKINGS!$A:$Q,7,FALSE),SETUP_RATES!$A:$H,3,FALSE),VLOOKUP(VLOOKUP(A182,BOOKINGS!$A:$Q,7,FALSE),SETUP_RATES!$A:$H,2,FALSE)))</f>
        <v/>
      </c>
      <c r="C182" s="38" t="str">
        <f>IF(A182="","",VLOOKUP(A182,BOOKINGS!$A:$Q,10,FALSE)*VLOOKUP(VLOOKUP(A182,BOOKINGS!$A:$Q,7,FALSE),SETUP_RATES!$A:$H,6,FALSE))</f>
        <v/>
      </c>
      <c r="D182" s="38" t="str">
        <f>IF(A182="","",MAX(0,VLOOKUP(A182,TRIP_ACTUALS!$A:$O,8,FALSE)-SETUP_RATES!$K$2)*SETUP_RATES!$K$3)</f>
        <v/>
      </c>
      <c r="E182" s="38" t="str">
        <f>IF(A182="","",VLOOKUP(A182,TRIP_ACTUALS!$A:$O,9,FALSE)*VLOOKUP(VLOOKUP(A182,BOOKINGS!$A:$Q,7,FALSE),SETUP_RATES!$A:$H,5,FALSE))</f>
        <v/>
      </c>
      <c r="F182" s="38" t="str">
        <f>IF(A182="","",IFERROR(VLOOKUP(A182,TRIP_ACTUALS!$A:$O,5,FALSE),0))</f>
        <v/>
      </c>
      <c r="G182" s="38" t="str">
        <f>IF(A182="","",IFERROR(VLOOKUP(A182,TRIP_ACTUALS!$A:$O,6,FALSE),0)+IFERROR(VLOOKUP(A182,TRIP_ACTUALS!$A:$O,7,FALSE),0))</f>
        <v/>
      </c>
      <c r="H182" s="38" t="str">
        <f>IF(A182="","",IFERROR(VLOOKUP(VLOOKUP(A182,BOOKINGS!$A:$Q,7,FALSE),SETUP_RATES!$A:$H,8,FALSE),0))</f>
        <v/>
      </c>
      <c r="I182" s="38" t="str">
        <f t="shared" si="1"/>
        <v/>
      </c>
      <c r="J182" s="38" t="str">
        <f>IF(A182="","",IFERROR(VLOOKUP(A182,BOOKINGS!$A:$Q,13,FALSE),0))</f>
        <v/>
      </c>
      <c r="K182" s="38" t="str">
        <f t="shared" si="2"/>
        <v/>
      </c>
      <c r="L182" s="38" t="str">
        <f t="shared" si="3"/>
        <v/>
      </c>
    </row>
    <row r="183" ht="15.75" customHeight="1">
      <c r="A183" s="33" t="str">
        <f>IF(BOOKINGS!A183="","",BOOKINGS!A183)</f>
        <v/>
      </c>
      <c r="B183" s="38" t="str">
        <f>IF(A183="","",MAX(VLOOKUP(A183,BOOKINGS!$A:$Q,6,FALSE)*VLOOKUP(VLOOKUP(A183,BOOKINGS!$A:$Q,7,FALSE),SETUP_RATES!$A:$H,3,FALSE),VLOOKUP(VLOOKUP(A183,BOOKINGS!$A:$Q,7,FALSE),SETUP_RATES!$A:$H,2,FALSE)))</f>
        <v/>
      </c>
      <c r="C183" s="38" t="str">
        <f>IF(A183="","",VLOOKUP(A183,BOOKINGS!$A:$Q,10,FALSE)*VLOOKUP(VLOOKUP(A183,BOOKINGS!$A:$Q,7,FALSE),SETUP_RATES!$A:$H,6,FALSE))</f>
        <v/>
      </c>
      <c r="D183" s="38" t="str">
        <f>IF(A183="","",MAX(0,VLOOKUP(A183,TRIP_ACTUALS!$A:$O,8,FALSE)-SETUP_RATES!$K$2)*SETUP_RATES!$K$3)</f>
        <v/>
      </c>
      <c r="E183" s="38" t="str">
        <f>IF(A183="","",VLOOKUP(A183,TRIP_ACTUALS!$A:$O,9,FALSE)*VLOOKUP(VLOOKUP(A183,BOOKINGS!$A:$Q,7,FALSE),SETUP_RATES!$A:$H,5,FALSE))</f>
        <v/>
      </c>
      <c r="F183" s="38" t="str">
        <f>IF(A183="","",IFERROR(VLOOKUP(A183,TRIP_ACTUALS!$A:$O,5,FALSE),0))</f>
        <v/>
      </c>
      <c r="G183" s="38" t="str">
        <f>IF(A183="","",IFERROR(VLOOKUP(A183,TRIP_ACTUALS!$A:$O,6,FALSE),0)+IFERROR(VLOOKUP(A183,TRIP_ACTUALS!$A:$O,7,FALSE),0))</f>
        <v/>
      </c>
      <c r="H183" s="38" t="str">
        <f>IF(A183="","",IFERROR(VLOOKUP(VLOOKUP(A183,BOOKINGS!$A:$Q,7,FALSE),SETUP_RATES!$A:$H,8,FALSE),0))</f>
        <v/>
      </c>
      <c r="I183" s="38" t="str">
        <f t="shared" si="1"/>
        <v/>
      </c>
      <c r="J183" s="38" t="str">
        <f>IF(A183="","",IFERROR(VLOOKUP(A183,BOOKINGS!$A:$Q,13,FALSE),0))</f>
        <v/>
      </c>
      <c r="K183" s="38" t="str">
        <f t="shared" si="2"/>
        <v/>
      </c>
      <c r="L183" s="38" t="str">
        <f t="shared" si="3"/>
        <v/>
      </c>
    </row>
    <row r="184" ht="15.75" customHeight="1">
      <c r="A184" s="33" t="str">
        <f>IF(BOOKINGS!A184="","",BOOKINGS!A184)</f>
        <v/>
      </c>
      <c r="B184" s="38" t="str">
        <f>IF(A184="","",MAX(VLOOKUP(A184,BOOKINGS!$A:$Q,6,FALSE)*VLOOKUP(VLOOKUP(A184,BOOKINGS!$A:$Q,7,FALSE),SETUP_RATES!$A:$H,3,FALSE),VLOOKUP(VLOOKUP(A184,BOOKINGS!$A:$Q,7,FALSE),SETUP_RATES!$A:$H,2,FALSE)))</f>
        <v/>
      </c>
      <c r="C184" s="38" t="str">
        <f>IF(A184="","",VLOOKUP(A184,BOOKINGS!$A:$Q,10,FALSE)*VLOOKUP(VLOOKUP(A184,BOOKINGS!$A:$Q,7,FALSE),SETUP_RATES!$A:$H,6,FALSE))</f>
        <v/>
      </c>
      <c r="D184" s="38" t="str">
        <f>IF(A184="","",MAX(0,VLOOKUP(A184,TRIP_ACTUALS!$A:$O,8,FALSE)-SETUP_RATES!$K$2)*SETUP_RATES!$K$3)</f>
        <v/>
      </c>
      <c r="E184" s="38" t="str">
        <f>IF(A184="","",VLOOKUP(A184,TRIP_ACTUALS!$A:$O,9,FALSE)*VLOOKUP(VLOOKUP(A184,BOOKINGS!$A:$Q,7,FALSE),SETUP_RATES!$A:$H,5,FALSE))</f>
        <v/>
      </c>
      <c r="F184" s="38" t="str">
        <f>IF(A184="","",IFERROR(VLOOKUP(A184,TRIP_ACTUALS!$A:$O,5,FALSE),0))</f>
        <v/>
      </c>
      <c r="G184" s="38" t="str">
        <f>IF(A184="","",IFERROR(VLOOKUP(A184,TRIP_ACTUALS!$A:$O,6,FALSE),0)+IFERROR(VLOOKUP(A184,TRIP_ACTUALS!$A:$O,7,FALSE),0))</f>
        <v/>
      </c>
      <c r="H184" s="38" t="str">
        <f>IF(A184="","",IFERROR(VLOOKUP(VLOOKUP(A184,BOOKINGS!$A:$Q,7,FALSE),SETUP_RATES!$A:$H,8,FALSE),0))</f>
        <v/>
      </c>
      <c r="I184" s="38" t="str">
        <f t="shared" si="1"/>
        <v/>
      </c>
      <c r="J184" s="38" t="str">
        <f>IF(A184="","",IFERROR(VLOOKUP(A184,BOOKINGS!$A:$Q,13,FALSE),0))</f>
        <v/>
      </c>
      <c r="K184" s="38" t="str">
        <f t="shared" si="2"/>
        <v/>
      </c>
      <c r="L184" s="38" t="str">
        <f t="shared" si="3"/>
        <v/>
      </c>
    </row>
    <row r="185" ht="15.75" customHeight="1">
      <c r="A185" s="33" t="str">
        <f>IF(BOOKINGS!A185="","",BOOKINGS!A185)</f>
        <v/>
      </c>
      <c r="B185" s="38" t="str">
        <f>IF(A185="","",MAX(VLOOKUP(A185,BOOKINGS!$A:$Q,6,FALSE)*VLOOKUP(VLOOKUP(A185,BOOKINGS!$A:$Q,7,FALSE),SETUP_RATES!$A:$H,3,FALSE),VLOOKUP(VLOOKUP(A185,BOOKINGS!$A:$Q,7,FALSE),SETUP_RATES!$A:$H,2,FALSE)))</f>
        <v/>
      </c>
      <c r="C185" s="38" t="str">
        <f>IF(A185="","",VLOOKUP(A185,BOOKINGS!$A:$Q,10,FALSE)*VLOOKUP(VLOOKUP(A185,BOOKINGS!$A:$Q,7,FALSE),SETUP_RATES!$A:$H,6,FALSE))</f>
        <v/>
      </c>
      <c r="D185" s="38" t="str">
        <f>IF(A185="","",MAX(0,VLOOKUP(A185,TRIP_ACTUALS!$A:$O,8,FALSE)-SETUP_RATES!$K$2)*SETUP_RATES!$K$3)</f>
        <v/>
      </c>
      <c r="E185" s="38" t="str">
        <f>IF(A185="","",VLOOKUP(A185,TRIP_ACTUALS!$A:$O,9,FALSE)*VLOOKUP(VLOOKUP(A185,BOOKINGS!$A:$Q,7,FALSE),SETUP_RATES!$A:$H,5,FALSE))</f>
        <v/>
      </c>
      <c r="F185" s="38" t="str">
        <f>IF(A185="","",IFERROR(VLOOKUP(A185,TRIP_ACTUALS!$A:$O,5,FALSE),0))</f>
        <v/>
      </c>
      <c r="G185" s="38" t="str">
        <f>IF(A185="","",IFERROR(VLOOKUP(A185,TRIP_ACTUALS!$A:$O,6,FALSE),0)+IFERROR(VLOOKUP(A185,TRIP_ACTUALS!$A:$O,7,FALSE),0))</f>
        <v/>
      </c>
      <c r="H185" s="38" t="str">
        <f>IF(A185="","",IFERROR(VLOOKUP(VLOOKUP(A185,BOOKINGS!$A:$Q,7,FALSE),SETUP_RATES!$A:$H,8,FALSE),0))</f>
        <v/>
      </c>
      <c r="I185" s="38" t="str">
        <f t="shared" si="1"/>
        <v/>
      </c>
      <c r="J185" s="38" t="str">
        <f>IF(A185="","",IFERROR(VLOOKUP(A185,BOOKINGS!$A:$Q,13,FALSE),0))</f>
        <v/>
      </c>
      <c r="K185" s="38" t="str">
        <f t="shared" si="2"/>
        <v/>
      </c>
      <c r="L185" s="38" t="str">
        <f t="shared" si="3"/>
        <v/>
      </c>
    </row>
    <row r="186" ht="15.75" customHeight="1">
      <c r="A186" s="33" t="str">
        <f>IF(BOOKINGS!A186="","",BOOKINGS!A186)</f>
        <v/>
      </c>
      <c r="B186" s="38" t="str">
        <f>IF(A186="","",MAX(VLOOKUP(A186,BOOKINGS!$A:$Q,6,FALSE)*VLOOKUP(VLOOKUP(A186,BOOKINGS!$A:$Q,7,FALSE),SETUP_RATES!$A:$H,3,FALSE),VLOOKUP(VLOOKUP(A186,BOOKINGS!$A:$Q,7,FALSE),SETUP_RATES!$A:$H,2,FALSE)))</f>
        <v/>
      </c>
      <c r="C186" s="38" t="str">
        <f>IF(A186="","",VLOOKUP(A186,BOOKINGS!$A:$Q,10,FALSE)*VLOOKUP(VLOOKUP(A186,BOOKINGS!$A:$Q,7,FALSE),SETUP_RATES!$A:$H,6,FALSE))</f>
        <v/>
      </c>
      <c r="D186" s="38" t="str">
        <f>IF(A186="","",MAX(0,VLOOKUP(A186,TRIP_ACTUALS!$A:$O,8,FALSE)-SETUP_RATES!$K$2)*SETUP_RATES!$K$3)</f>
        <v/>
      </c>
      <c r="E186" s="38" t="str">
        <f>IF(A186="","",VLOOKUP(A186,TRIP_ACTUALS!$A:$O,9,FALSE)*VLOOKUP(VLOOKUP(A186,BOOKINGS!$A:$Q,7,FALSE),SETUP_RATES!$A:$H,5,FALSE))</f>
        <v/>
      </c>
      <c r="F186" s="38" t="str">
        <f>IF(A186="","",IFERROR(VLOOKUP(A186,TRIP_ACTUALS!$A:$O,5,FALSE),0))</f>
        <v/>
      </c>
      <c r="G186" s="38" t="str">
        <f>IF(A186="","",IFERROR(VLOOKUP(A186,TRIP_ACTUALS!$A:$O,6,FALSE),0)+IFERROR(VLOOKUP(A186,TRIP_ACTUALS!$A:$O,7,FALSE),0))</f>
        <v/>
      </c>
      <c r="H186" s="38" t="str">
        <f>IF(A186="","",IFERROR(VLOOKUP(VLOOKUP(A186,BOOKINGS!$A:$Q,7,FALSE),SETUP_RATES!$A:$H,8,FALSE),0))</f>
        <v/>
      </c>
      <c r="I186" s="38" t="str">
        <f t="shared" si="1"/>
        <v/>
      </c>
      <c r="J186" s="38" t="str">
        <f>IF(A186="","",IFERROR(VLOOKUP(A186,BOOKINGS!$A:$Q,13,FALSE),0))</f>
        <v/>
      </c>
      <c r="K186" s="38" t="str">
        <f t="shared" si="2"/>
        <v/>
      </c>
      <c r="L186" s="38" t="str">
        <f t="shared" si="3"/>
        <v/>
      </c>
    </row>
    <row r="187" ht="15.75" customHeight="1">
      <c r="A187" s="33" t="str">
        <f>IF(BOOKINGS!A187="","",BOOKINGS!A187)</f>
        <v/>
      </c>
      <c r="B187" s="38" t="str">
        <f>IF(A187="","",MAX(VLOOKUP(A187,BOOKINGS!$A:$Q,6,FALSE)*VLOOKUP(VLOOKUP(A187,BOOKINGS!$A:$Q,7,FALSE),SETUP_RATES!$A:$H,3,FALSE),VLOOKUP(VLOOKUP(A187,BOOKINGS!$A:$Q,7,FALSE),SETUP_RATES!$A:$H,2,FALSE)))</f>
        <v/>
      </c>
      <c r="C187" s="38" t="str">
        <f>IF(A187="","",VLOOKUP(A187,BOOKINGS!$A:$Q,10,FALSE)*VLOOKUP(VLOOKUP(A187,BOOKINGS!$A:$Q,7,FALSE),SETUP_RATES!$A:$H,6,FALSE))</f>
        <v/>
      </c>
      <c r="D187" s="38" t="str">
        <f>IF(A187="","",MAX(0,VLOOKUP(A187,TRIP_ACTUALS!$A:$O,8,FALSE)-SETUP_RATES!$K$2)*SETUP_RATES!$K$3)</f>
        <v/>
      </c>
      <c r="E187" s="38" t="str">
        <f>IF(A187="","",VLOOKUP(A187,TRIP_ACTUALS!$A:$O,9,FALSE)*VLOOKUP(VLOOKUP(A187,BOOKINGS!$A:$Q,7,FALSE),SETUP_RATES!$A:$H,5,FALSE))</f>
        <v/>
      </c>
      <c r="F187" s="38" t="str">
        <f>IF(A187="","",IFERROR(VLOOKUP(A187,TRIP_ACTUALS!$A:$O,5,FALSE),0))</f>
        <v/>
      </c>
      <c r="G187" s="38" t="str">
        <f>IF(A187="","",IFERROR(VLOOKUP(A187,TRIP_ACTUALS!$A:$O,6,FALSE),0)+IFERROR(VLOOKUP(A187,TRIP_ACTUALS!$A:$O,7,FALSE),0))</f>
        <v/>
      </c>
      <c r="H187" s="38" t="str">
        <f>IF(A187="","",IFERROR(VLOOKUP(VLOOKUP(A187,BOOKINGS!$A:$Q,7,FALSE),SETUP_RATES!$A:$H,8,FALSE),0))</f>
        <v/>
      </c>
      <c r="I187" s="38" t="str">
        <f t="shared" si="1"/>
        <v/>
      </c>
      <c r="J187" s="38" t="str">
        <f>IF(A187="","",IFERROR(VLOOKUP(A187,BOOKINGS!$A:$Q,13,FALSE),0))</f>
        <v/>
      </c>
      <c r="K187" s="38" t="str">
        <f t="shared" si="2"/>
        <v/>
      </c>
      <c r="L187" s="38" t="str">
        <f t="shared" si="3"/>
        <v/>
      </c>
    </row>
    <row r="188" ht="15.75" customHeight="1">
      <c r="A188" s="33" t="str">
        <f>IF(BOOKINGS!A188="","",BOOKINGS!A188)</f>
        <v/>
      </c>
      <c r="B188" s="38" t="str">
        <f>IF(A188="","",MAX(VLOOKUP(A188,BOOKINGS!$A:$Q,6,FALSE)*VLOOKUP(VLOOKUP(A188,BOOKINGS!$A:$Q,7,FALSE),SETUP_RATES!$A:$H,3,FALSE),VLOOKUP(VLOOKUP(A188,BOOKINGS!$A:$Q,7,FALSE),SETUP_RATES!$A:$H,2,FALSE)))</f>
        <v/>
      </c>
      <c r="C188" s="38" t="str">
        <f>IF(A188="","",VLOOKUP(A188,BOOKINGS!$A:$Q,10,FALSE)*VLOOKUP(VLOOKUP(A188,BOOKINGS!$A:$Q,7,FALSE),SETUP_RATES!$A:$H,6,FALSE))</f>
        <v/>
      </c>
      <c r="D188" s="38" t="str">
        <f>IF(A188="","",MAX(0,VLOOKUP(A188,TRIP_ACTUALS!$A:$O,8,FALSE)-SETUP_RATES!$K$2)*SETUP_RATES!$K$3)</f>
        <v/>
      </c>
      <c r="E188" s="38" t="str">
        <f>IF(A188="","",VLOOKUP(A188,TRIP_ACTUALS!$A:$O,9,FALSE)*VLOOKUP(VLOOKUP(A188,BOOKINGS!$A:$Q,7,FALSE),SETUP_RATES!$A:$H,5,FALSE))</f>
        <v/>
      </c>
      <c r="F188" s="38" t="str">
        <f>IF(A188="","",IFERROR(VLOOKUP(A188,TRIP_ACTUALS!$A:$O,5,FALSE),0))</f>
        <v/>
      </c>
      <c r="G188" s="38" t="str">
        <f>IF(A188="","",IFERROR(VLOOKUP(A188,TRIP_ACTUALS!$A:$O,6,FALSE),0)+IFERROR(VLOOKUP(A188,TRIP_ACTUALS!$A:$O,7,FALSE),0))</f>
        <v/>
      </c>
      <c r="H188" s="38" t="str">
        <f>IF(A188="","",IFERROR(VLOOKUP(VLOOKUP(A188,BOOKINGS!$A:$Q,7,FALSE),SETUP_RATES!$A:$H,8,FALSE),0))</f>
        <v/>
      </c>
      <c r="I188" s="38" t="str">
        <f t="shared" si="1"/>
        <v/>
      </c>
      <c r="J188" s="38" t="str">
        <f>IF(A188="","",IFERROR(VLOOKUP(A188,BOOKINGS!$A:$Q,13,FALSE),0))</f>
        <v/>
      </c>
      <c r="K188" s="38" t="str">
        <f t="shared" si="2"/>
        <v/>
      </c>
      <c r="L188" s="38" t="str">
        <f t="shared" si="3"/>
        <v/>
      </c>
    </row>
    <row r="189" ht="15.75" customHeight="1">
      <c r="A189" s="33" t="str">
        <f>IF(BOOKINGS!A189="","",BOOKINGS!A189)</f>
        <v/>
      </c>
      <c r="B189" s="38" t="str">
        <f>IF(A189="","",MAX(VLOOKUP(A189,BOOKINGS!$A:$Q,6,FALSE)*VLOOKUP(VLOOKUP(A189,BOOKINGS!$A:$Q,7,FALSE),SETUP_RATES!$A:$H,3,FALSE),VLOOKUP(VLOOKUP(A189,BOOKINGS!$A:$Q,7,FALSE),SETUP_RATES!$A:$H,2,FALSE)))</f>
        <v/>
      </c>
      <c r="C189" s="38" t="str">
        <f>IF(A189="","",VLOOKUP(A189,BOOKINGS!$A:$Q,10,FALSE)*VLOOKUP(VLOOKUP(A189,BOOKINGS!$A:$Q,7,FALSE),SETUP_RATES!$A:$H,6,FALSE))</f>
        <v/>
      </c>
      <c r="D189" s="38" t="str">
        <f>IF(A189="","",MAX(0,VLOOKUP(A189,TRIP_ACTUALS!$A:$O,8,FALSE)-SETUP_RATES!$K$2)*SETUP_RATES!$K$3)</f>
        <v/>
      </c>
      <c r="E189" s="38" t="str">
        <f>IF(A189="","",VLOOKUP(A189,TRIP_ACTUALS!$A:$O,9,FALSE)*VLOOKUP(VLOOKUP(A189,BOOKINGS!$A:$Q,7,FALSE),SETUP_RATES!$A:$H,5,FALSE))</f>
        <v/>
      </c>
      <c r="F189" s="38" t="str">
        <f>IF(A189="","",IFERROR(VLOOKUP(A189,TRIP_ACTUALS!$A:$O,5,FALSE),0))</f>
        <v/>
      </c>
      <c r="G189" s="38" t="str">
        <f>IF(A189="","",IFERROR(VLOOKUP(A189,TRIP_ACTUALS!$A:$O,6,FALSE),0)+IFERROR(VLOOKUP(A189,TRIP_ACTUALS!$A:$O,7,FALSE),0))</f>
        <v/>
      </c>
      <c r="H189" s="38" t="str">
        <f>IF(A189="","",IFERROR(VLOOKUP(VLOOKUP(A189,BOOKINGS!$A:$Q,7,FALSE),SETUP_RATES!$A:$H,8,FALSE),0))</f>
        <v/>
      </c>
      <c r="I189" s="38" t="str">
        <f t="shared" si="1"/>
        <v/>
      </c>
      <c r="J189" s="38" t="str">
        <f>IF(A189="","",IFERROR(VLOOKUP(A189,BOOKINGS!$A:$Q,13,FALSE),0))</f>
        <v/>
      </c>
      <c r="K189" s="38" t="str">
        <f t="shared" si="2"/>
        <v/>
      </c>
      <c r="L189" s="38" t="str">
        <f t="shared" si="3"/>
        <v/>
      </c>
    </row>
    <row r="190" ht="15.75" customHeight="1">
      <c r="A190" s="33" t="str">
        <f>IF(BOOKINGS!A190="","",BOOKINGS!A190)</f>
        <v/>
      </c>
      <c r="B190" s="38" t="str">
        <f>IF(A190="","",MAX(VLOOKUP(A190,BOOKINGS!$A:$Q,6,FALSE)*VLOOKUP(VLOOKUP(A190,BOOKINGS!$A:$Q,7,FALSE),SETUP_RATES!$A:$H,3,FALSE),VLOOKUP(VLOOKUP(A190,BOOKINGS!$A:$Q,7,FALSE),SETUP_RATES!$A:$H,2,FALSE)))</f>
        <v/>
      </c>
      <c r="C190" s="38" t="str">
        <f>IF(A190="","",VLOOKUP(A190,BOOKINGS!$A:$Q,10,FALSE)*VLOOKUP(VLOOKUP(A190,BOOKINGS!$A:$Q,7,FALSE),SETUP_RATES!$A:$H,6,FALSE))</f>
        <v/>
      </c>
      <c r="D190" s="38" t="str">
        <f>IF(A190="","",MAX(0,VLOOKUP(A190,TRIP_ACTUALS!$A:$O,8,FALSE)-SETUP_RATES!$K$2)*SETUP_RATES!$K$3)</f>
        <v/>
      </c>
      <c r="E190" s="38" t="str">
        <f>IF(A190="","",VLOOKUP(A190,TRIP_ACTUALS!$A:$O,9,FALSE)*VLOOKUP(VLOOKUP(A190,BOOKINGS!$A:$Q,7,FALSE),SETUP_RATES!$A:$H,5,FALSE))</f>
        <v/>
      </c>
      <c r="F190" s="38" t="str">
        <f>IF(A190="","",IFERROR(VLOOKUP(A190,TRIP_ACTUALS!$A:$O,5,FALSE),0))</f>
        <v/>
      </c>
      <c r="G190" s="38" t="str">
        <f>IF(A190="","",IFERROR(VLOOKUP(A190,TRIP_ACTUALS!$A:$O,6,FALSE),0)+IFERROR(VLOOKUP(A190,TRIP_ACTUALS!$A:$O,7,FALSE),0))</f>
        <v/>
      </c>
      <c r="H190" s="38" t="str">
        <f>IF(A190="","",IFERROR(VLOOKUP(VLOOKUP(A190,BOOKINGS!$A:$Q,7,FALSE),SETUP_RATES!$A:$H,8,FALSE),0))</f>
        <v/>
      </c>
      <c r="I190" s="38" t="str">
        <f t="shared" si="1"/>
        <v/>
      </c>
      <c r="J190" s="38" t="str">
        <f>IF(A190="","",IFERROR(VLOOKUP(A190,BOOKINGS!$A:$Q,13,FALSE),0))</f>
        <v/>
      </c>
      <c r="K190" s="38" t="str">
        <f t="shared" si="2"/>
        <v/>
      </c>
      <c r="L190" s="38" t="str">
        <f t="shared" si="3"/>
        <v/>
      </c>
    </row>
    <row r="191" ht="15.75" customHeight="1">
      <c r="A191" s="33" t="str">
        <f>IF(BOOKINGS!A191="","",BOOKINGS!A191)</f>
        <v/>
      </c>
      <c r="B191" s="38" t="str">
        <f>IF(A191="","",MAX(VLOOKUP(A191,BOOKINGS!$A:$Q,6,FALSE)*VLOOKUP(VLOOKUP(A191,BOOKINGS!$A:$Q,7,FALSE),SETUP_RATES!$A:$H,3,FALSE),VLOOKUP(VLOOKUP(A191,BOOKINGS!$A:$Q,7,FALSE),SETUP_RATES!$A:$H,2,FALSE)))</f>
        <v/>
      </c>
      <c r="C191" s="38" t="str">
        <f>IF(A191="","",VLOOKUP(A191,BOOKINGS!$A:$Q,10,FALSE)*VLOOKUP(VLOOKUP(A191,BOOKINGS!$A:$Q,7,FALSE),SETUP_RATES!$A:$H,6,FALSE))</f>
        <v/>
      </c>
      <c r="D191" s="38" t="str">
        <f>IF(A191="","",MAX(0,VLOOKUP(A191,TRIP_ACTUALS!$A:$O,8,FALSE)-SETUP_RATES!$K$2)*SETUP_RATES!$K$3)</f>
        <v/>
      </c>
      <c r="E191" s="38" t="str">
        <f>IF(A191="","",VLOOKUP(A191,TRIP_ACTUALS!$A:$O,9,FALSE)*VLOOKUP(VLOOKUP(A191,BOOKINGS!$A:$Q,7,FALSE),SETUP_RATES!$A:$H,5,FALSE))</f>
        <v/>
      </c>
      <c r="F191" s="38" t="str">
        <f>IF(A191="","",IFERROR(VLOOKUP(A191,TRIP_ACTUALS!$A:$O,5,FALSE),0))</f>
        <v/>
      </c>
      <c r="G191" s="38" t="str">
        <f>IF(A191="","",IFERROR(VLOOKUP(A191,TRIP_ACTUALS!$A:$O,6,FALSE),0)+IFERROR(VLOOKUP(A191,TRIP_ACTUALS!$A:$O,7,FALSE),0))</f>
        <v/>
      </c>
      <c r="H191" s="38" t="str">
        <f>IF(A191="","",IFERROR(VLOOKUP(VLOOKUP(A191,BOOKINGS!$A:$Q,7,FALSE),SETUP_RATES!$A:$H,8,FALSE),0))</f>
        <v/>
      </c>
      <c r="I191" s="38" t="str">
        <f t="shared" si="1"/>
        <v/>
      </c>
      <c r="J191" s="38" t="str">
        <f>IF(A191="","",IFERROR(VLOOKUP(A191,BOOKINGS!$A:$Q,13,FALSE),0))</f>
        <v/>
      </c>
      <c r="K191" s="38" t="str">
        <f t="shared" si="2"/>
        <v/>
      </c>
      <c r="L191" s="38" t="str">
        <f t="shared" si="3"/>
        <v/>
      </c>
    </row>
    <row r="192" ht="15.75" customHeight="1">
      <c r="A192" s="33" t="str">
        <f>IF(BOOKINGS!A192="","",BOOKINGS!A192)</f>
        <v/>
      </c>
      <c r="B192" s="38" t="str">
        <f>IF(A192="","",MAX(VLOOKUP(A192,BOOKINGS!$A:$Q,6,FALSE)*VLOOKUP(VLOOKUP(A192,BOOKINGS!$A:$Q,7,FALSE),SETUP_RATES!$A:$H,3,FALSE),VLOOKUP(VLOOKUP(A192,BOOKINGS!$A:$Q,7,FALSE),SETUP_RATES!$A:$H,2,FALSE)))</f>
        <v/>
      </c>
      <c r="C192" s="38" t="str">
        <f>IF(A192="","",VLOOKUP(A192,BOOKINGS!$A:$Q,10,FALSE)*VLOOKUP(VLOOKUP(A192,BOOKINGS!$A:$Q,7,FALSE),SETUP_RATES!$A:$H,6,FALSE))</f>
        <v/>
      </c>
      <c r="D192" s="38" t="str">
        <f>IF(A192="","",MAX(0,VLOOKUP(A192,TRIP_ACTUALS!$A:$O,8,FALSE)-SETUP_RATES!$K$2)*SETUP_RATES!$K$3)</f>
        <v/>
      </c>
      <c r="E192" s="38" t="str">
        <f>IF(A192="","",VLOOKUP(A192,TRIP_ACTUALS!$A:$O,9,FALSE)*VLOOKUP(VLOOKUP(A192,BOOKINGS!$A:$Q,7,FALSE),SETUP_RATES!$A:$H,5,FALSE))</f>
        <v/>
      </c>
      <c r="F192" s="38" t="str">
        <f>IF(A192="","",IFERROR(VLOOKUP(A192,TRIP_ACTUALS!$A:$O,5,FALSE),0))</f>
        <v/>
      </c>
      <c r="G192" s="38" t="str">
        <f>IF(A192="","",IFERROR(VLOOKUP(A192,TRIP_ACTUALS!$A:$O,6,FALSE),0)+IFERROR(VLOOKUP(A192,TRIP_ACTUALS!$A:$O,7,FALSE),0))</f>
        <v/>
      </c>
      <c r="H192" s="38" t="str">
        <f>IF(A192="","",IFERROR(VLOOKUP(VLOOKUP(A192,BOOKINGS!$A:$Q,7,FALSE),SETUP_RATES!$A:$H,8,FALSE),0))</f>
        <v/>
      </c>
      <c r="I192" s="38" t="str">
        <f t="shared" si="1"/>
        <v/>
      </c>
      <c r="J192" s="38" t="str">
        <f>IF(A192="","",IFERROR(VLOOKUP(A192,BOOKINGS!$A:$Q,13,FALSE),0))</f>
        <v/>
      </c>
      <c r="K192" s="38" t="str">
        <f t="shared" si="2"/>
        <v/>
      </c>
      <c r="L192" s="38" t="str">
        <f t="shared" si="3"/>
        <v/>
      </c>
    </row>
    <row r="193" ht="15.75" customHeight="1">
      <c r="A193" s="33" t="str">
        <f>IF(BOOKINGS!A193="","",BOOKINGS!A193)</f>
        <v/>
      </c>
      <c r="B193" s="38" t="str">
        <f>IF(A193="","",MAX(VLOOKUP(A193,BOOKINGS!$A:$Q,6,FALSE)*VLOOKUP(VLOOKUP(A193,BOOKINGS!$A:$Q,7,FALSE),SETUP_RATES!$A:$H,3,FALSE),VLOOKUP(VLOOKUP(A193,BOOKINGS!$A:$Q,7,FALSE),SETUP_RATES!$A:$H,2,FALSE)))</f>
        <v/>
      </c>
      <c r="C193" s="38" t="str">
        <f>IF(A193="","",VLOOKUP(A193,BOOKINGS!$A:$Q,10,FALSE)*VLOOKUP(VLOOKUP(A193,BOOKINGS!$A:$Q,7,FALSE),SETUP_RATES!$A:$H,6,FALSE))</f>
        <v/>
      </c>
      <c r="D193" s="38" t="str">
        <f>IF(A193="","",MAX(0,VLOOKUP(A193,TRIP_ACTUALS!$A:$O,8,FALSE)-SETUP_RATES!$K$2)*SETUP_RATES!$K$3)</f>
        <v/>
      </c>
      <c r="E193" s="38" t="str">
        <f>IF(A193="","",VLOOKUP(A193,TRIP_ACTUALS!$A:$O,9,FALSE)*VLOOKUP(VLOOKUP(A193,BOOKINGS!$A:$Q,7,FALSE),SETUP_RATES!$A:$H,5,FALSE))</f>
        <v/>
      </c>
      <c r="F193" s="38" t="str">
        <f>IF(A193="","",IFERROR(VLOOKUP(A193,TRIP_ACTUALS!$A:$O,5,FALSE),0))</f>
        <v/>
      </c>
      <c r="G193" s="38" t="str">
        <f>IF(A193="","",IFERROR(VLOOKUP(A193,TRIP_ACTUALS!$A:$O,6,FALSE),0)+IFERROR(VLOOKUP(A193,TRIP_ACTUALS!$A:$O,7,FALSE),0))</f>
        <v/>
      </c>
      <c r="H193" s="38" t="str">
        <f>IF(A193="","",IFERROR(VLOOKUP(VLOOKUP(A193,BOOKINGS!$A:$Q,7,FALSE),SETUP_RATES!$A:$H,8,FALSE),0))</f>
        <v/>
      </c>
      <c r="I193" s="38" t="str">
        <f t="shared" si="1"/>
        <v/>
      </c>
      <c r="J193" s="38" t="str">
        <f>IF(A193="","",IFERROR(VLOOKUP(A193,BOOKINGS!$A:$Q,13,FALSE),0))</f>
        <v/>
      </c>
      <c r="K193" s="38" t="str">
        <f t="shared" si="2"/>
        <v/>
      </c>
      <c r="L193" s="38" t="str">
        <f t="shared" si="3"/>
        <v/>
      </c>
    </row>
    <row r="194" ht="15.75" customHeight="1">
      <c r="A194" s="33" t="str">
        <f>IF(BOOKINGS!A194="","",BOOKINGS!A194)</f>
        <v/>
      </c>
      <c r="B194" s="38" t="str">
        <f>IF(A194="","",MAX(VLOOKUP(A194,BOOKINGS!$A:$Q,6,FALSE)*VLOOKUP(VLOOKUP(A194,BOOKINGS!$A:$Q,7,FALSE),SETUP_RATES!$A:$H,3,FALSE),VLOOKUP(VLOOKUP(A194,BOOKINGS!$A:$Q,7,FALSE),SETUP_RATES!$A:$H,2,FALSE)))</f>
        <v/>
      </c>
      <c r="C194" s="38" t="str">
        <f>IF(A194="","",VLOOKUP(A194,BOOKINGS!$A:$Q,10,FALSE)*VLOOKUP(VLOOKUP(A194,BOOKINGS!$A:$Q,7,FALSE),SETUP_RATES!$A:$H,6,FALSE))</f>
        <v/>
      </c>
      <c r="D194" s="38" t="str">
        <f>IF(A194="","",MAX(0,VLOOKUP(A194,TRIP_ACTUALS!$A:$O,8,FALSE)-SETUP_RATES!$K$2)*SETUP_RATES!$K$3)</f>
        <v/>
      </c>
      <c r="E194" s="38" t="str">
        <f>IF(A194="","",VLOOKUP(A194,TRIP_ACTUALS!$A:$O,9,FALSE)*VLOOKUP(VLOOKUP(A194,BOOKINGS!$A:$Q,7,FALSE),SETUP_RATES!$A:$H,5,FALSE))</f>
        <v/>
      </c>
      <c r="F194" s="38" t="str">
        <f>IF(A194="","",IFERROR(VLOOKUP(A194,TRIP_ACTUALS!$A:$O,5,FALSE),0))</f>
        <v/>
      </c>
      <c r="G194" s="38" t="str">
        <f>IF(A194="","",IFERROR(VLOOKUP(A194,TRIP_ACTUALS!$A:$O,6,FALSE),0)+IFERROR(VLOOKUP(A194,TRIP_ACTUALS!$A:$O,7,FALSE),0))</f>
        <v/>
      </c>
      <c r="H194" s="38" t="str">
        <f>IF(A194="","",IFERROR(VLOOKUP(VLOOKUP(A194,BOOKINGS!$A:$Q,7,FALSE),SETUP_RATES!$A:$H,8,FALSE),0))</f>
        <v/>
      </c>
      <c r="I194" s="38" t="str">
        <f t="shared" si="1"/>
        <v/>
      </c>
      <c r="J194" s="38" t="str">
        <f>IF(A194="","",IFERROR(VLOOKUP(A194,BOOKINGS!$A:$Q,13,FALSE),0))</f>
        <v/>
      </c>
      <c r="K194" s="38" t="str">
        <f t="shared" si="2"/>
        <v/>
      </c>
      <c r="L194" s="38" t="str">
        <f t="shared" si="3"/>
        <v/>
      </c>
    </row>
    <row r="195" ht="15.75" customHeight="1">
      <c r="A195" s="33" t="str">
        <f>IF(BOOKINGS!A195="","",BOOKINGS!A195)</f>
        <v/>
      </c>
      <c r="B195" s="38" t="str">
        <f>IF(A195="","",MAX(VLOOKUP(A195,BOOKINGS!$A:$Q,6,FALSE)*VLOOKUP(VLOOKUP(A195,BOOKINGS!$A:$Q,7,FALSE),SETUP_RATES!$A:$H,3,FALSE),VLOOKUP(VLOOKUP(A195,BOOKINGS!$A:$Q,7,FALSE),SETUP_RATES!$A:$H,2,FALSE)))</f>
        <v/>
      </c>
      <c r="C195" s="38" t="str">
        <f>IF(A195="","",VLOOKUP(A195,BOOKINGS!$A:$Q,10,FALSE)*VLOOKUP(VLOOKUP(A195,BOOKINGS!$A:$Q,7,FALSE),SETUP_RATES!$A:$H,6,FALSE))</f>
        <v/>
      </c>
      <c r="D195" s="38" t="str">
        <f>IF(A195="","",MAX(0,VLOOKUP(A195,TRIP_ACTUALS!$A:$O,8,FALSE)-SETUP_RATES!$K$2)*SETUP_RATES!$K$3)</f>
        <v/>
      </c>
      <c r="E195" s="38" t="str">
        <f>IF(A195="","",VLOOKUP(A195,TRIP_ACTUALS!$A:$O,9,FALSE)*VLOOKUP(VLOOKUP(A195,BOOKINGS!$A:$Q,7,FALSE),SETUP_RATES!$A:$H,5,FALSE))</f>
        <v/>
      </c>
      <c r="F195" s="38" t="str">
        <f>IF(A195="","",IFERROR(VLOOKUP(A195,TRIP_ACTUALS!$A:$O,5,FALSE),0))</f>
        <v/>
      </c>
      <c r="G195" s="38" t="str">
        <f>IF(A195="","",IFERROR(VLOOKUP(A195,TRIP_ACTUALS!$A:$O,6,FALSE),0)+IFERROR(VLOOKUP(A195,TRIP_ACTUALS!$A:$O,7,FALSE),0))</f>
        <v/>
      </c>
      <c r="H195" s="38" t="str">
        <f>IF(A195="","",IFERROR(VLOOKUP(VLOOKUP(A195,BOOKINGS!$A:$Q,7,FALSE),SETUP_RATES!$A:$H,8,FALSE),0))</f>
        <v/>
      </c>
      <c r="I195" s="38" t="str">
        <f t="shared" si="1"/>
        <v/>
      </c>
      <c r="J195" s="38" t="str">
        <f>IF(A195="","",IFERROR(VLOOKUP(A195,BOOKINGS!$A:$Q,13,FALSE),0))</f>
        <v/>
      </c>
      <c r="K195" s="38" t="str">
        <f t="shared" si="2"/>
        <v/>
      </c>
      <c r="L195" s="38" t="str">
        <f t="shared" si="3"/>
        <v/>
      </c>
    </row>
    <row r="196" ht="15.75" customHeight="1">
      <c r="A196" s="33" t="str">
        <f>IF(BOOKINGS!A196="","",BOOKINGS!A196)</f>
        <v/>
      </c>
      <c r="B196" s="38" t="str">
        <f>IF(A196="","",MAX(VLOOKUP(A196,BOOKINGS!$A:$Q,6,FALSE)*VLOOKUP(VLOOKUP(A196,BOOKINGS!$A:$Q,7,FALSE),SETUP_RATES!$A:$H,3,FALSE),VLOOKUP(VLOOKUP(A196,BOOKINGS!$A:$Q,7,FALSE),SETUP_RATES!$A:$H,2,FALSE)))</f>
        <v/>
      </c>
      <c r="C196" s="38" t="str">
        <f>IF(A196="","",VLOOKUP(A196,BOOKINGS!$A:$Q,10,FALSE)*VLOOKUP(VLOOKUP(A196,BOOKINGS!$A:$Q,7,FALSE),SETUP_RATES!$A:$H,6,FALSE))</f>
        <v/>
      </c>
      <c r="D196" s="38" t="str">
        <f>IF(A196="","",MAX(0,VLOOKUP(A196,TRIP_ACTUALS!$A:$O,8,FALSE)-SETUP_RATES!$K$2)*SETUP_RATES!$K$3)</f>
        <v/>
      </c>
      <c r="E196" s="38" t="str">
        <f>IF(A196="","",VLOOKUP(A196,TRIP_ACTUALS!$A:$O,9,FALSE)*VLOOKUP(VLOOKUP(A196,BOOKINGS!$A:$Q,7,FALSE),SETUP_RATES!$A:$H,5,FALSE))</f>
        <v/>
      </c>
      <c r="F196" s="38" t="str">
        <f>IF(A196="","",IFERROR(VLOOKUP(A196,TRIP_ACTUALS!$A:$O,5,FALSE),0))</f>
        <v/>
      </c>
      <c r="G196" s="38" t="str">
        <f>IF(A196="","",IFERROR(VLOOKUP(A196,TRIP_ACTUALS!$A:$O,6,FALSE),0)+IFERROR(VLOOKUP(A196,TRIP_ACTUALS!$A:$O,7,FALSE),0))</f>
        <v/>
      </c>
      <c r="H196" s="38" t="str">
        <f>IF(A196="","",IFERROR(VLOOKUP(VLOOKUP(A196,BOOKINGS!$A:$Q,7,FALSE),SETUP_RATES!$A:$H,8,FALSE),0))</f>
        <v/>
      </c>
      <c r="I196" s="38" t="str">
        <f t="shared" si="1"/>
        <v/>
      </c>
      <c r="J196" s="38" t="str">
        <f>IF(A196="","",IFERROR(VLOOKUP(A196,BOOKINGS!$A:$Q,13,FALSE),0))</f>
        <v/>
      </c>
      <c r="K196" s="38" t="str">
        <f t="shared" si="2"/>
        <v/>
      </c>
      <c r="L196" s="38" t="str">
        <f t="shared" si="3"/>
        <v/>
      </c>
    </row>
    <row r="197" ht="15.75" customHeight="1">
      <c r="A197" s="33" t="str">
        <f>IF(BOOKINGS!A197="","",BOOKINGS!A197)</f>
        <v/>
      </c>
      <c r="B197" s="38" t="str">
        <f>IF(A197="","",MAX(VLOOKUP(A197,BOOKINGS!$A:$Q,6,FALSE)*VLOOKUP(VLOOKUP(A197,BOOKINGS!$A:$Q,7,FALSE),SETUP_RATES!$A:$H,3,FALSE),VLOOKUP(VLOOKUP(A197,BOOKINGS!$A:$Q,7,FALSE),SETUP_RATES!$A:$H,2,FALSE)))</f>
        <v/>
      </c>
      <c r="C197" s="38" t="str">
        <f>IF(A197="","",VLOOKUP(A197,BOOKINGS!$A:$Q,10,FALSE)*VLOOKUP(VLOOKUP(A197,BOOKINGS!$A:$Q,7,FALSE),SETUP_RATES!$A:$H,6,FALSE))</f>
        <v/>
      </c>
      <c r="D197" s="38" t="str">
        <f>IF(A197="","",MAX(0,VLOOKUP(A197,TRIP_ACTUALS!$A:$O,8,FALSE)-SETUP_RATES!$K$2)*SETUP_RATES!$K$3)</f>
        <v/>
      </c>
      <c r="E197" s="38" t="str">
        <f>IF(A197="","",VLOOKUP(A197,TRIP_ACTUALS!$A:$O,9,FALSE)*VLOOKUP(VLOOKUP(A197,BOOKINGS!$A:$Q,7,FALSE),SETUP_RATES!$A:$H,5,FALSE))</f>
        <v/>
      </c>
      <c r="F197" s="38" t="str">
        <f>IF(A197="","",IFERROR(VLOOKUP(A197,TRIP_ACTUALS!$A:$O,5,FALSE),0))</f>
        <v/>
      </c>
      <c r="G197" s="38" t="str">
        <f>IF(A197="","",IFERROR(VLOOKUP(A197,TRIP_ACTUALS!$A:$O,6,FALSE),0)+IFERROR(VLOOKUP(A197,TRIP_ACTUALS!$A:$O,7,FALSE),0))</f>
        <v/>
      </c>
      <c r="H197" s="38" t="str">
        <f>IF(A197="","",IFERROR(VLOOKUP(VLOOKUP(A197,BOOKINGS!$A:$Q,7,FALSE),SETUP_RATES!$A:$H,8,FALSE),0))</f>
        <v/>
      </c>
      <c r="I197" s="38" t="str">
        <f t="shared" si="1"/>
        <v/>
      </c>
      <c r="J197" s="38" t="str">
        <f>IF(A197="","",IFERROR(VLOOKUP(A197,BOOKINGS!$A:$Q,13,FALSE),0))</f>
        <v/>
      </c>
      <c r="K197" s="38" t="str">
        <f t="shared" si="2"/>
        <v/>
      </c>
      <c r="L197" s="38" t="str">
        <f t="shared" si="3"/>
        <v/>
      </c>
    </row>
    <row r="198" ht="15.75" customHeight="1">
      <c r="A198" s="33" t="str">
        <f>IF(BOOKINGS!A198="","",BOOKINGS!A198)</f>
        <v/>
      </c>
      <c r="B198" s="38" t="str">
        <f>IF(A198="","",MAX(VLOOKUP(A198,BOOKINGS!$A:$Q,6,FALSE)*VLOOKUP(VLOOKUP(A198,BOOKINGS!$A:$Q,7,FALSE),SETUP_RATES!$A:$H,3,FALSE),VLOOKUP(VLOOKUP(A198,BOOKINGS!$A:$Q,7,FALSE),SETUP_RATES!$A:$H,2,FALSE)))</f>
        <v/>
      </c>
      <c r="C198" s="38" t="str">
        <f>IF(A198="","",VLOOKUP(A198,BOOKINGS!$A:$Q,10,FALSE)*VLOOKUP(VLOOKUP(A198,BOOKINGS!$A:$Q,7,FALSE),SETUP_RATES!$A:$H,6,FALSE))</f>
        <v/>
      </c>
      <c r="D198" s="38" t="str">
        <f>IF(A198="","",MAX(0,VLOOKUP(A198,TRIP_ACTUALS!$A:$O,8,FALSE)-SETUP_RATES!$K$2)*SETUP_RATES!$K$3)</f>
        <v/>
      </c>
      <c r="E198" s="38" t="str">
        <f>IF(A198="","",VLOOKUP(A198,TRIP_ACTUALS!$A:$O,9,FALSE)*VLOOKUP(VLOOKUP(A198,BOOKINGS!$A:$Q,7,FALSE),SETUP_RATES!$A:$H,5,FALSE))</f>
        <v/>
      </c>
      <c r="F198" s="38" t="str">
        <f>IF(A198="","",IFERROR(VLOOKUP(A198,TRIP_ACTUALS!$A:$O,5,FALSE),0))</f>
        <v/>
      </c>
      <c r="G198" s="38" t="str">
        <f>IF(A198="","",IFERROR(VLOOKUP(A198,TRIP_ACTUALS!$A:$O,6,FALSE),0)+IFERROR(VLOOKUP(A198,TRIP_ACTUALS!$A:$O,7,FALSE),0))</f>
        <v/>
      </c>
      <c r="H198" s="38" t="str">
        <f>IF(A198="","",IFERROR(VLOOKUP(VLOOKUP(A198,BOOKINGS!$A:$Q,7,FALSE),SETUP_RATES!$A:$H,8,FALSE),0))</f>
        <v/>
      </c>
      <c r="I198" s="38" t="str">
        <f t="shared" si="1"/>
        <v/>
      </c>
      <c r="J198" s="38" t="str">
        <f>IF(A198="","",IFERROR(VLOOKUP(A198,BOOKINGS!$A:$Q,13,FALSE),0))</f>
        <v/>
      </c>
      <c r="K198" s="38" t="str">
        <f t="shared" si="2"/>
        <v/>
      </c>
      <c r="L198" s="38" t="str">
        <f t="shared" si="3"/>
        <v/>
      </c>
    </row>
    <row r="199" ht="15.75" customHeight="1">
      <c r="A199" s="33" t="str">
        <f>IF(BOOKINGS!A199="","",BOOKINGS!A199)</f>
        <v/>
      </c>
      <c r="B199" s="38" t="str">
        <f>IF(A199="","",MAX(VLOOKUP(A199,BOOKINGS!$A:$Q,6,FALSE)*VLOOKUP(VLOOKUP(A199,BOOKINGS!$A:$Q,7,FALSE),SETUP_RATES!$A:$H,3,FALSE),VLOOKUP(VLOOKUP(A199,BOOKINGS!$A:$Q,7,FALSE),SETUP_RATES!$A:$H,2,FALSE)))</f>
        <v/>
      </c>
      <c r="C199" s="38" t="str">
        <f>IF(A199="","",VLOOKUP(A199,BOOKINGS!$A:$Q,10,FALSE)*VLOOKUP(VLOOKUP(A199,BOOKINGS!$A:$Q,7,FALSE),SETUP_RATES!$A:$H,6,FALSE))</f>
        <v/>
      </c>
      <c r="D199" s="38" t="str">
        <f>IF(A199="","",MAX(0,VLOOKUP(A199,TRIP_ACTUALS!$A:$O,8,FALSE)-SETUP_RATES!$K$2)*SETUP_RATES!$K$3)</f>
        <v/>
      </c>
      <c r="E199" s="38" t="str">
        <f>IF(A199="","",VLOOKUP(A199,TRIP_ACTUALS!$A:$O,9,FALSE)*VLOOKUP(VLOOKUP(A199,BOOKINGS!$A:$Q,7,FALSE),SETUP_RATES!$A:$H,5,FALSE))</f>
        <v/>
      </c>
      <c r="F199" s="38" t="str">
        <f>IF(A199="","",IFERROR(VLOOKUP(A199,TRIP_ACTUALS!$A:$O,5,FALSE),0))</f>
        <v/>
      </c>
      <c r="G199" s="38" t="str">
        <f>IF(A199="","",IFERROR(VLOOKUP(A199,TRIP_ACTUALS!$A:$O,6,FALSE),0)+IFERROR(VLOOKUP(A199,TRIP_ACTUALS!$A:$O,7,FALSE),0))</f>
        <v/>
      </c>
      <c r="H199" s="38" t="str">
        <f>IF(A199="","",IFERROR(VLOOKUP(VLOOKUP(A199,BOOKINGS!$A:$Q,7,FALSE),SETUP_RATES!$A:$H,8,FALSE),0))</f>
        <v/>
      </c>
      <c r="I199" s="38" t="str">
        <f t="shared" si="1"/>
        <v/>
      </c>
      <c r="J199" s="38" t="str">
        <f>IF(A199="","",IFERROR(VLOOKUP(A199,BOOKINGS!$A:$Q,13,FALSE),0))</f>
        <v/>
      </c>
      <c r="K199" s="38" t="str">
        <f t="shared" si="2"/>
        <v/>
      </c>
      <c r="L199" s="38" t="str">
        <f t="shared" si="3"/>
        <v/>
      </c>
    </row>
    <row r="200" ht="15.75" customHeight="1">
      <c r="A200" s="33" t="str">
        <f>IF(BOOKINGS!A200="","",BOOKINGS!A200)</f>
        <v/>
      </c>
      <c r="B200" s="38" t="str">
        <f>IF(A200="","",MAX(VLOOKUP(A200,BOOKINGS!$A:$Q,6,FALSE)*VLOOKUP(VLOOKUP(A200,BOOKINGS!$A:$Q,7,FALSE),SETUP_RATES!$A:$H,3,FALSE),VLOOKUP(VLOOKUP(A200,BOOKINGS!$A:$Q,7,FALSE),SETUP_RATES!$A:$H,2,FALSE)))</f>
        <v/>
      </c>
      <c r="C200" s="38" t="str">
        <f>IF(A200="","",VLOOKUP(A200,BOOKINGS!$A:$Q,10,FALSE)*VLOOKUP(VLOOKUP(A200,BOOKINGS!$A:$Q,7,FALSE),SETUP_RATES!$A:$H,6,FALSE))</f>
        <v/>
      </c>
      <c r="D200" s="38" t="str">
        <f>IF(A200="","",MAX(0,VLOOKUP(A200,TRIP_ACTUALS!$A:$O,8,FALSE)-SETUP_RATES!$K$2)*SETUP_RATES!$K$3)</f>
        <v/>
      </c>
      <c r="E200" s="38" t="str">
        <f>IF(A200="","",VLOOKUP(A200,TRIP_ACTUALS!$A:$O,9,FALSE)*VLOOKUP(VLOOKUP(A200,BOOKINGS!$A:$Q,7,FALSE),SETUP_RATES!$A:$H,5,FALSE))</f>
        <v/>
      </c>
      <c r="F200" s="38" t="str">
        <f>IF(A200="","",IFERROR(VLOOKUP(A200,TRIP_ACTUALS!$A:$O,5,FALSE),0))</f>
        <v/>
      </c>
      <c r="G200" s="38" t="str">
        <f>IF(A200="","",IFERROR(VLOOKUP(A200,TRIP_ACTUALS!$A:$O,6,FALSE),0)+IFERROR(VLOOKUP(A200,TRIP_ACTUALS!$A:$O,7,FALSE),0))</f>
        <v/>
      </c>
      <c r="H200" s="38" t="str">
        <f>IF(A200="","",IFERROR(VLOOKUP(VLOOKUP(A200,BOOKINGS!$A:$Q,7,FALSE),SETUP_RATES!$A:$H,8,FALSE),0))</f>
        <v/>
      </c>
      <c r="I200" s="38" t="str">
        <f t="shared" si="1"/>
        <v/>
      </c>
      <c r="J200" s="38" t="str">
        <f>IF(A200="","",IFERROR(VLOOKUP(A200,BOOKINGS!$A:$Q,13,FALSE),0))</f>
        <v/>
      </c>
      <c r="K200" s="38" t="str">
        <f t="shared" si="2"/>
        <v/>
      </c>
      <c r="L200" s="38" t="str">
        <f t="shared" si="3"/>
        <v/>
      </c>
    </row>
    <row r="201" ht="15.75" customHeight="1">
      <c r="A201" s="33" t="str">
        <f>IF(BOOKINGS!A201="","",BOOKINGS!A201)</f>
        <v/>
      </c>
      <c r="B201" s="38" t="str">
        <f>IF(A201="","",MAX(VLOOKUP(A201,BOOKINGS!$A:$Q,6,FALSE)*VLOOKUP(VLOOKUP(A201,BOOKINGS!$A:$Q,7,FALSE),SETUP_RATES!$A:$H,3,FALSE),VLOOKUP(VLOOKUP(A201,BOOKINGS!$A:$Q,7,FALSE),SETUP_RATES!$A:$H,2,FALSE)))</f>
        <v/>
      </c>
      <c r="C201" s="38" t="str">
        <f>IF(A201="","",VLOOKUP(A201,BOOKINGS!$A:$Q,10,FALSE)*VLOOKUP(VLOOKUP(A201,BOOKINGS!$A:$Q,7,FALSE),SETUP_RATES!$A:$H,6,FALSE))</f>
        <v/>
      </c>
      <c r="D201" s="38" t="str">
        <f>IF(A201="","",MAX(0,VLOOKUP(A201,TRIP_ACTUALS!$A:$O,8,FALSE)-SETUP_RATES!$K$2)*SETUP_RATES!$K$3)</f>
        <v/>
      </c>
      <c r="E201" s="38" t="str">
        <f>IF(A201="","",VLOOKUP(A201,TRIP_ACTUALS!$A:$O,9,FALSE)*VLOOKUP(VLOOKUP(A201,BOOKINGS!$A:$Q,7,FALSE),SETUP_RATES!$A:$H,5,FALSE))</f>
        <v/>
      </c>
      <c r="F201" s="38" t="str">
        <f>IF(A201="","",IFERROR(VLOOKUP(A201,TRIP_ACTUALS!$A:$O,5,FALSE),0))</f>
        <v/>
      </c>
      <c r="G201" s="38" t="str">
        <f>IF(A201="","",IFERROR(VLOOKUP(A201,TRIP_ACTUALS!$A:$O,6,FALSE),0)+IFERROR(VLOOKUP(A201,TRIP_ACTUALS!$A:$O,7,FALSE),0))</f>
        <v/>
      </c>
      <c r="H201" s="38" t="str">
        <f>IF(A201="","",IFERROR(VLOOKUP(VLOOKUP(A201,BOOKINGS!$A:$Q,7,FALSE),SETUP_RATES!$A:$H,8,FALSE),0))</f>
        <v/>
      </c>
      <c r="I201" s="38" t="str">
        <f t="shared" si="1"/>
        <v/>
      </c>
      <c r="J201" s="38" t="str">
        <f>IF(A201="","",IFERROR(VLOOKUP(A201,BOOKINGS!$A:$Q,13,FALSE),0))</f>
        <v/>
      </c>
      <c r="K201" s="38" t="str">
        <f t="shared" si="2"/>
        <v/>
      </c>
      <c r="L201" s="38" t="str">
        <f t="shared" si="3"/>
        <v/>
      </c>
    </row>
    <row r="202" ht="15.75" customHeight="1">
      <c r="A202" s="33" t="str">
        <f>IF(BOOKINGS!A202="","",BOOKINGS!A202)</f>
        <v/>
      </c>
      <c r="B202" s="38" t="str">
        <f>IF(A202="","",MAX(VLOOKUP(A202,BOOKINGS!$A:$Q,6,FALSE)*VLOOKUP(VLOOKUP(A202,BOOKINGS!$A:$Q,7,FALSE),SETUP_RATES!$A:$H,3,FALSE),VLOOKUP(VLOOKUP(A202,BOOKINGS!$A:$Q,7,FALSE),SETUP_RATES!$A:$H,2,FALSE)))</f>
        <v/>
      </c>
      <c r="C202" s="38" t="str">
        <f>IF(A202="","",VLOOKUP(A202,BOOKINGS!$A:$Q,10,FALSE)*VLOOKUP(VLOOKUP(A202,BOOKINGS!$A:$Q,7,FALSE),SETUP_RATES!$A:$H,6,FALSE))</f>
        <v/>
      </c>
      <c r="D202" s="38" t="str">
        <f>IF(A202="","",MAX(0,VLOOKUP(A202,TRIP_ACTUALS!$A:$O,8,FALSE)-SETUP_RATES!$K$2)*SETUP_RATES!$K$3)</f>
        <v/>
      </c>
      <c r="E202" s="38" t="str">
        <f>IF(A202="","",VLOOKUP(A202,TRIP_ACTUALS!$A:$O,9,FALSE)*VLOOKUP(VLOOKUP(A202,BOOKINGS!$A:$Q,7,FALSE),SETUP_RATES!$A:$H,5,FALSE))</f>
        <v/>
      </c>
      <c r="F202" s="38" t="str">
        <f>IF(A202="","",IFERROR(VLOOKUP(A202,TRIP_ACTUALS!$A:$O,5,FALSE),0))</f>
        <v/>
      </c>
      <c r="G202" s="38" t="str">
        <f>IF(A202="","",IFERROR(VLOOKUP(A202,TRIP_ACTUALS!$A:$O,6,FALSE),0)+IFERROR(VLOOKUP(A202,TRIP_ACTUALS!$A:$O,7,FALSE),0))</f>
        <v/>
      </c>
      <c r="H202" s="38" t="str">
        <f>IF(A202="","",IFERROR(VLOOKUP(VLOOKUP(A202,BOOKINGS!$A:$Q,7,FALSE),SETUP_RATES!$A:$H,8,FALSE),0))</f>
        <v/>
      </c>
      <c r="I202" s="38" t="str">
        <f t="shared" si="1"/>
        <v/>
      </c>
      <c r="J202" s="38" t="str">
        <f>IF(A202="","",IFERROR(VLOOKUP(A202,BOOKINGS!$A:$Q,13,FALSE),0))</f>
        <v/>
      </c>
      <c r="K202" s="38" t="str">
        <f t="shared" si="2"/>
        <v/>
      </c>
      <c r="L202" s="38" t="str">
        <f t="shared" si="3"/>
        <v/>
      </c>
    </row>
    <row r="203" ht="15.75" customHeight="1">
      <c r="A203" s="33" t="str">
        <f>IF(BOOKINGS!A203="","",BOOKINGS!A203)</f>
        <v/>
      </c>
      <c r="B203" s="38" t="str">
        <f>IF(A203="","",MAX(VLOOKUP(A203,BOOKINGS!$A:$Q,6,FALSE)*VLOOKUP(VLOOKUP(A203,BOOKINGS!$A:$Q,7,FALSE),SETUP_RATES!$A:$H,3,FALSE),VLOOKUP(VLOOKUP(A203,BOOKINGS!$A:$Q,7,FALSE),SETUP_RATES!$A:$H,2,FALSE)))</f>
        <v/>
      </c>
      <c r="C203" s="38" t="str">
        <f>IF(A203="","",VLOOKUP(A203,BOOKINGS!$A:$Q,10,FALSE)*VLOOKUP(VLOOKUP(A203,BOOKINGS!$A:$Q,7,FALSE),SETUP_RATES!$A:$H,6,FALSE))</f>
        <v/>
      </c>
      <c r="D203" s="38" t="str">
        <f>IF(A203="","",MAX(0,VLOOKUP(A203,TRIP_ACTUALS!$A:$O,8,FALSE)-SETUP_RATES!$K$2)*SETUP_RATES!$K$3)</f>
        <v/>
      </c>
      <c r="E203" s="38" t="str">
        <f>IF(A203="","",VLOOKUP(A203,TRIP_ACTUALS!$A:$O,9,FALSE)*VLOOKUP(VLOOKUP(A203,BOOKINGS!$A:$Q,7,FALSE),SETUP_RATES!$A:$H,5,FALSE))</f>
        <v/>
      </c>
      <c r="F203" s="38" t="str">
        <f>IF(A203="","",IFERROR(VLOOKUP(A203,TRIP_ACTUALS!$A:$O,5,FALSE),0))</f>
        <v/>
      </c>
      <c r="G203" s="38" t="str">
        <f>IF(A203="","",IFERROR(VLOOKUP(A203,TRIP_ACTUALS!$A:$O,6,FALSE),0)+IFERROR(VLOOKUP(A203,TRIP_ACTUALS!$A:$O,7,FALSE),0))</f>
        <v/>
      </c>
      <c r="H203" s="38" t="str">
        <f>IF(A203="","",IFERROR(VLOOKUP(VLOOKUP(A203,BOOKINGS!$A:$Q,7,FALSE),SETUP_RATES!$A:$H,8,FALSE),0))</f>
        <v/>
      </c>
      <c r="I203" s="38" t="str">
        <f t="shared" si="1"/>
        <v/>
      </c>
      <c r="J203" s="38" t="str">
        <f>IF(A203="","",IFERROR(VLOOKUP(A203,BOOKINGS!$A:$Q,13,FALSE),0))</f>
        <v/>
      </c>
      <c r="K203" s="38" t="str">
        <f t="shared" si="2"/>
        <v/>
      </c>
      <c r="L203" s="38" t="str">
        <f t="shared" si="3"/>
        <v/>
      </c>
    </row>
    <row r="204" ht="15.75" customHeight="1">
      <c r="A204" s="33" t="str">
        <f>IF(BOOKINGS!A204="","",BOOKINGS!A204)</f>
        <v/>
      </c>
      <c r="B204" s="38" t="str">
        <f>IF(A204="","",MAX(VLOOKUP(A204,BOOKINGS!$A:$Q,6,FALSE)*VLOOKUP(VLOOKUP(A204,BOOKINGS!$A:$Q,7,FALSE),SETUP_RATES!$A:$H,3,FALSE),VLOOKUP(VLOOKUP(A204,BOOKINGS!$A:$Q,7,FALSE),SETUP_RATES!$A:$H,2,FALSE)))</f>
        <v/>
      </c>
      <c r="C204" s="38" t="str">
        <f>IF(A204="","",VLOOKUP(A204,BOOKINGS!$A:$Q,10,FALSE)*VLOOKUP(VLOOKUP(A204,BOOKINGS!$A:$Q,7,FALSE),SETUP_RATES!$A:$H,6,FALSE))</f>
        <v/>
      </c>
      <c r="D204" s="38" t="str">
        <f>IF(A204="","",MAX(0,VLOOKUP(A204,TRIP_ACTUALS!$A:$O,8,FALSE)-SETUP_RATES!$K$2)*SETUP_RATES!$K$3)</f>
        <v/>
      </c>
      <c r="E204" s="38" t="str">
        <f>IF(A204="","",VLOOKUP(A204,TRIP_ACTUALS!$A:$O,9,FALSE)*VLOOKUP(VLOOKUP(A204,BOOKINGS!$A:$Q,7,FALSE),SETUP_RATES!$A:$H,5,FALSE))</f>
        <v/>
      </c>
      <c r="F204" s="38" t="str">
        <f>IF(A204="","",IFERROR(VLOOKUP(A204,TRIP_ACTUALS!$A:$O,5,FALSE),0))</f>
        <v/>
      </c>
      <c r="G204" s="38" t="str">
        <f>IF(A204="","",IFERROR(VLOOKUP(A204,TRIP_ACTUALS!$A:$O,6,FALSE),0)+IFERROR(VLOOKUP(A204,TRIP_ACTUALS!$A:$O,7,FALSE),0))</f>
        <v/>
      </c>
      <c r="H204" s="38" t="str">
        <f>IF(A204="","",IFERROR(VLOOKUP(VLOOKUP(A204,BOOKINGS!$A:$Q,7,FALSE),SETUP_RATES!$A:$H,8,FALSE),0))</f>
        <v/>
      </c>
      <c r="I204" s="38" t="str">
        <f t="shared" si="1"/>
        <v/>
      </c>
      <c r="J204" s="38" t="str">
        <f>IF(A204="","",IFERROR(VLOOKUP(A204,BOOKINGS!$A:$Q,13,FALSE),0))</f>
        <v/>
      </c>
      <c r="K204" s="38" t="str">
        <f t="shared" si="2"/>
        <v/>
      </c>
      <c r="L204" s="38" t="str">
        <f t="shared" si="3"/>
        <v/>
      </c>
    </row>
    <row r="205" ht="15.75" customHeight="1">
      <c r="A205" s="33" t="str">
        <f>IF(BOOKINGS!A205="","",BOOKINGS!A205)</f>
        <v/>
      </c>
      <c r="B205" s="38" t="str">
        <f>IF(A205="","",MAX(VLOOKUP(A205,BOOKINGS!$A:$Q,6,FALSE)*VLOOKUP(VLOOKUP(A205,BOOKINGS!$A:$Q,7,FALSE),SETUP_RATES!$A:$H,3,FALSE),VLOOKUP(VLOOKUP(A205,BOOKINGS!$A:$Q,7,FALSE),SETUP_RATES!$A:$H,2,FALSE)))</f>
        <v/>
      </c>
      <c r="C205" s="38" t="str">
        <f>IF(A205="","",VLOOKUP(A205,BOOKINGS!$A:$Q,10,FALSE)*VLOOKUP(VLOOKUP(A205,BOOKINGS!$A:$Q,7,FALSE),SETUP_RATES!$A:$H,6,FALSE))</f>
        <v/>
      </c>
      <c r="D205" s="38" t="str">
        <f>IF(A205="","",MAX(0,VLOOKUP(A205,TRIP_ACTUALS!$A:$O,8,FALSE)-SETUP_RATES!$K$2)*SETUP_RATES!$K$3)</f>
        <v/>
      </c>
      <c r="E205" s="38" t="str">
        <f>IF(A205="","",VLOOKUP(A205,TRIP_ACTUALS!$A:$O,9,FALSE)*VLOOKUP(VLOOKUP(A205,BOOKINGS!$A:$Q,7,FALSE),SETUP_RATES!$A:$H,5,FALSE))</f>
        <v/>
      </c>
      <c r="F205" s="38" t="str">
        <f>IF(A205="","",IFERROR(VLOOKUP(A205,TRIP_ACTUALS!$A:$O,5,FALSE),0))</f>
        <v/>
      </c>
      <c r="G205" s="38" t="str">
        <f>IF(A205="","",IFERROR(VLOOKUP(A205,TRIP_ACTUALS!$A:$O,6,FALSE),0)+IFERROR(VLOOKUP(A205,TRIP_ACTUALS!$A:$O,7,FALSE),0))</f>
        <v/>
      </c>
      <c r="H205" s="38" t="str">
        <f>IF(A205="","",IFERROR(VLOOKUP(VLOOKUP(A205,BOOKINGS!$A:$Q,7,FALSE),SETUP_RATES!$A:$H,8,FALSE),0))</f>
        <v/>
      </c>
      <c r="I205" s="38" t="str">
        <f t="shared" si="1"/>
        <v/>
      </c>
      <c r="J205" s="38" t="str">
        <f>IF(A205="","",IFERROR(VLOOKUP(A205,BOOKINGS!$A:$Q,13,FALSE),0))</f>
        <v/>
      </c>
      <c r="K205" s="38" t="str">
        <f t="shared" si="2"/>
        <v/>
      </c>
      <c r="L205" s="38" t="str">
        <f t="shared" si="3"/>
        <v/>
      </c>
    </row>
    <row r="206" ht="15.75" customHeight="1">
      <c r="A206" s="33" t="str">
        <f>IF(BOOKINGS!A206="","",BOOKINGS!A206)</f>
        <v/>
      </c>
      <c r="B206" s="38" t="str">
        <f>IF(A206="","",MAX(VLOOKUP(A206,BOOKINGS!$A:$Q,6,FALSE)*VLOOKUP(VLOOKUP(A206,BOOKINGS!$A:$Q,7,FALSE),SETUP_RATES!$A:$H,3,FALSE),VLOOKUP(VLOOKUP(A206,BOOKINGS!$A:$Q,7,FALSE),SETUP_RATES!$A:$H,2,FALSE)))</f>
        <v/>
      </c>
      <c r="C206" s="38" t="str">
        <f>IF(A206="","",VLOOKUP(A206,BOOKINGS!$A:$Q,10,FALSE)*VLOOKUP(VLOOKUP(A206,BOOKINGS!$A:$Q,7,FALSE),SETUP_RATES!$A:$H,6,FALSE))</f>
        <v/>
      </c>
      <c r="D206" s="38" t="str">
        <f>IF(A206="","",MAX(0,VLOOKUP(A206,TRIP_ACTUALS!$A:$O,8,FALSE)-SETUP_RATES!$K$2)*SETUP_RATES!$K$3)</f>
        <v/>
      </c>
      <c r="E206" s="38" t="str">
        <f>IF(A206="","",VLOOKUP(A206,TRIP_ACTUALS!$A:$O,9,FALSE)*VLOOKUP(VLOOKUP(A206,BOOKINGS!$A:$Q,7,FALSE),SETUP_RATES!$A:$H,5,FALSE))</f>
        <v/>
      </c>
      <c r="F206" s="38" t="str">
        <f>IF(A206="","",IFERROR(VLOOKUP(A206,TRIP_ACTUALS!$A:$O,5,FALSE),0))</f>
        <v/>
      </c>
      <c r="G206" s="38" t="str">
        <f>IF(A206="","",IFERROR(VLOOKUP(A206,TRIP_ACTUALS!$A:$O,6,FALSE),0)+IFERROR(VLOOKUP(A206,TRIP_ACTUALS!$A:$O,7,FALSE),0))</f>
        <v/>
      </c>
      <c r="H206" s="38" t="str">
        <f>IF(A206="","",IFERROR(VLOOKUP(VLOOKUP(A206,BOOKINGS!$A:$Q,7,FALSE),SETUP_RATES!$A:$H,8,FALSE),0))</f>
        <v/>
      </c>
      <c r="I206" s="38" t="str">
        <f t="shared" si="1"/>
        <v/>
      </c>
      <c r="J206" s="38" t="str">
        <f>IF(A206="","",IFERROR(VLOOKUP(A206,BOOKINGS!$A:$Q,13,FALSE),0))</f>
        <v/>
      </c>
      <c r="K206" s="38" t="str">
        <f t="shared" si="2"/>
        <v/>
      </c>
      <c r="L206" s="38" t="str">
        <f t="shared" si="3"/>
        <v/>
      </c>
    </row>
    <row r="207" ht="15.75" customHeight="1">
      <c r="A207" s="33" t="str">
        <f>IF(BOOKINGS!A207="","",BOOKINGS!A207)</f>
        <v/>
      </c>
      <c r="B207" s="38" t="str">
        <f>IF(A207="","",MAX(VLOOKUP(A207,BOOKINGS!$A:$Q,6,FALSE)*VLOOKUP(VLOOKUP(A207,BOOKINGS!$A:$Q,7,FALSE),SETUP_RATES!$A:$H,3,FALSE),VLOOKUP(VLOOKUP(A207,BOOKINGS!$A:$Q,7,FALSE),SETUP_RATES!$A:$H,2,FALSE)))</f>
        <v/>
      </c>
      <c r="C207" s="38" t="str">
        <f>IF(A207="","",VLOOKUP(A207,BOOKINGS!$A:$Q,10,FALSE)*VLOOKUP(VLOOKUP(A207,BOOKINGS!$A:$Q,7,FALSE),SETUP_RATES!$A:$H,6,FALSE))</f>
        <v/>
      </c>
      <c r="D207" s="38" t="str">
        <f>IF(A207="","",MAX(0,VLOOKUP(A207,TRIP_ACTUALS!$A:$O,8,FALSE)-SETUP_RATES!$K$2)*SETUP_RATES!$K$3)</f>
        <v/>
      </c>
      <c r="E207" s="38" t="str">
        <f>IF(A207="","",VLOOKUP(A207,TRIP_ACTUALS!$A:$O,9,FALSE)*VLOOKUP(VLOOKUP(A207,BOOKINGS!$A:$Q,7,FALSE),SETUP_RATES!$A:$H,5,FALSE))</f>
        <v/>
      </c>
      <c r="F207" s="38" t="str">
        <f>IF(A207="","",IFERROR(VLOOKUP(A207,TRIP_ACTUALS!$A:$O,5,FALSE),0))</f>
        <v/>
      </c>
      <c r="G207" s="38" t="str">
        <f>IF(A207="","",IFERROR(VLOOKUP(A207,TRIP_ACTUALS!$A:$O,6,FALSE),0)+IFERROR(VLOOKUP(A207,TRIP_ACTUALS!$A:$O,7,FALSE),0))</f>
        <v/>
      </c>
      <c r="H207" s="38" t="str">
        <f>IF(A207="","",IFERROR(VLOOKUP(VLOOKUP(A207,BOOKINGS!$A:$Q,7,FALSE),SETUP_RATES!$A:$H,8,FALSE),0))</f>
        <v/>
      </c>
      <c r="I207" s="38" t="str">
        <f t="shared" si="1"/>
        <v/>
      </c>
      <c r="J207" s="38" t="str">
        <f>IF(A207="","",IFERROR(VLOOKUP(A207,BOOKINGS!$A:$Q,13,FALSE),0))</f>
        <v/>
      </c>
      <c r="K207" s="38" t="str">
        <f t="shared" si="2"/>
        <v/>
      </c>
      <c r="L207" s="38" t="str">
        <f t="shared" si="3"/>
        <v/>
      </c>
    </row>
    <row r="208" ht="15.75" customHeight="1">
      <c r="A208" s="33" t="str">
        <f>IF(BOOKINGS!A208="","",BOOKINGS!A208)</f>
        <v/>
      </c>
      <c r="B208" s="38" t="str">
        <f>IF(A208="","",MAX(VLOOKUP(A208,BOOKINGS!$A:$Q,6,FALSE)*VLOOKUP(VLOOKUP(A208,BOOKINGS!$A:$Q,7,FALSE),SETUP_RATES!$A:$H,3,FALSE),VLOOKUP(VLOOKUP(A208,BOOKINGS!$A:$Q,7,FALSE),SETUP_RATES!$A:$H,2,FALSE)))</f>
        <v/>
      </c>
      <c r="C208" s="38" t="str">
        <f>IF(A208="","",VLOOKUP(A208,BOOKINGS!$A:$Q,10,FALSE)*VLOOKUP(VLOOKUP(A208,BOOKINGS!$A:$Q,7,FALSE),SETUP_RATES!$A:$H,6,FALSE))</f>
        <v/>
      </c>
      <c r="D208" s="38" t="str">
        <f>IF(A208="","",MAX(0,VLOOKUP(A208,TRIP_ACTUALS!$A:$O,8,FALSE)-SETUP_RATES!$K$2)*SETUP_RATES!$K$3)</f>
        <v/>
      </c>
      <c r="E208" s="38" t="str">
        <f>IF(A208="","",VLOOKUP(A208,TRIP_ACTUALS!$A:$O,9,FALSE)*VLOOKUP(VLOOKUP(A208,BOOKINGS!$A:$Q,7,FALSE),SETUP_RATES!$A:$H,5,FALSE))</f>
        <v/>
      </c>
      <c r="F208" s="38" t="str">
        <f>IF(A208="","",IFERROR(VLOOKUP(A208,TRIP_ACTUALS!$A:$O,5,FALSE),0))</f>
        <v/>
      </c>
      <c r="G208" s="38" t="str">
        <f>IF(A208="","",IFERROR(VLOOKUP(A208,TRIP_ACTUALS!$A:$O,6,FALSE),0)+IFERROR(VLOOKUP(A208,TRIP_ACTUALS!$A:$O,7,FALSE),0))</f>
        <v/>
      </c>
      <c r="H208" s="38" t="str">
        <f>IF(A208="","",IFERROR(VLOOKUP(VLOOKUP(A208,BOOKINGS!$A:$Q,7,FALSE),SETUP_RATES!$A:$H,8,FALSE),0))</f>
        <v/>
      </c>
      <c r="I208" s="38" t="str">
        <f t="shared" si="1"/>
        <v/>
      </c>
      <c r="J208" s="38" t="str">
        <f>IF(A208="","",IFERROR(VLOOKUP(A208,BOOKINGS!$A:$Q,13,FALSE),0))</f>
        <v/>
      </c>
      <c r="K208" s="38" t="str">
        <f t="shared" si="2"/>
        <v/>
      </c>
      <c r="L208" s="38" t="str">
        <f t="shared" si="3"/>
        <v/>
      </c>
    </row>
    <row r="209" ht="15.75" customHeight="1">
      <c r="A209" s="33" t="str">
        <f>IF(BOOKINGS!A209="","",BOOKINGS!A209)</f>
        <v/>
      </c>
      <c r="B209" s="38" t="str">
        <f>IF(A209="","",MAX(VLOOKUP(A209,BOOKINGS!$A:$Q,6,FALSE)*VLOOKUP(VLOOKUP(A209,BOOKINGS!$A:$Q,7,FALSE),SETUP_RATES!$A:$H,3,FALSE),VLOOKUP(VLOOKUP(A209,BOOKINGS!$A:$Q,7,FALSE),SETUP_RATES!$A:$H,2,FALSE)))</f>
        <v/>
      </c>
      <c r="C209" s="38" t="str">
        <f>IF(A209="","",VLOOKUP(A209,BOOKINGS!$A:$Q,10,FALSE)*VLOOKUP(VLOOKUP(A209,BOOKINGS!$A:$Q,7,FALSE),SETUP_RATES!$A:$H,6,FALSE))</f>
        <v/>
      </c>
      <c r="D209" s="38" t="str">
        <f>IF(A209="","",MAX(0,VLOOKUP(A209,TRIP_ACTUALS!$A:$O,8,FALSE)-SETUP_RATES!$K$2)*SETUP_RATES!$K$3)</f>
        <v/>
      </c>
      <c r="E209" s="38" t="str">
        <f>IF(A209="","",VLOOKUP(A209,TRIP_ACTUALS!$A:$O,9,FALSE)*VLOOKUP(VLOOKUP(A209,BOOKINGS!$A:$Q,7,FALSE),SETUP_RATES!$A:$H,5,FALSE))</f>
        <v/>
      </c>
      <c r="F209" s="38" t="str">
        <f>IF(A209="","",IFERROR(VLOOKUP(A209,TRIP_ACTUALS!$A:$O,5,FALSE),0))</f>
        <v/>
      </c>
      <c r="G209" s="38" t="str">
        <f>IF(A209="","",IFERROR(VLOOKUP(A209,TRIP_ACTUALS!$A:$O,6,FALSE),0)+IFERROR(VLOOKUP(A209,TRIP_ACTUALS!$A:$O,7,FALSE),0))</f>
        <v/>
      </c>
      <c r="H209" s="38" t="str">
        <f>IF(A209="","",IFERROR(VLOOKUP(VLOOKUP(A209,BOOKINGS!$A:$Q,7,FALSE),SETUP_RATES!$A:$H,8,FALSE),0))</f>
        <v/>
      </c>
      <c r="I209" s="38" t="str">
        <f t="shared" si="1"/>
        <v/>
      </c>
      <c r="J209" s="38" t="str">
        <f>IF(A209="","",IFERROR(VLOOKUP(A209,BOOKINGS!$A:$Q,13,FALSE),0))</f>
        <v/>
      </c>
      <c r="K209" s="38" t="str">
        <f t="shared" si="2"/>
        <v/>
      </c>
      <c r="L209" s="38" t="str">
        <f t="shared" si="3"/>
        <v/>
      </c>
    </row>
    <row r="210" ht="15.75" customHeight="1">
      <c r="A210" s="33" t="str">
        <f>IF(BOOKINGS!A210="","",BOOKINGS!A210)</f>
        <v/>
      </c>
      <c r="B210" s="38" t="str">
        <f>IF(A210="","",MAX(VLOOKUP(A210,BOOKINGS!$A:$Q,6,FALSE)*VLOOKUP(VLOOKUP(A210,BOOKINGS!$A:$Q,7,FALSE),SETUP_RATES!$A:$H,3,FALSE),VLOOKUP(VLOOKUP(A210,BOOKINGS!$A:$Q,7,FALSE),SETUP_RATES!$A:$H,2,FALSE)))</f>
        <v/>
      </c>
      <c r="C210" s="38" t="str">
        <f>IF(A210="","",VLOOKUP(A210,BOOKINGS!$A:$Q,10,FALSE)*VLOOKUP(VLOOKUP(A210,BOOKINGS!$A:$Q,7,FALSE),SETUP_RATES!$A:$H,6,FALSE))</f>
        <v/>
      </c>
      <c r="D210" s="38" t="str">
        <f>IF(A210="","",MAX(0,VLOOKUP(A210,TRIP_ACTUALS!$A:$O,8,FALSE)-SETUP_RATES!$K$2)*SETUP_RATES!$K$3)</f>
        <v/>
      </c>
      <c r="E210" s="38" t="str">
        <f>IF(A210="","",VLOOKUP(A210,TRIP_ACTUALS!$A:$O,9,FALSE)*VLOOKUP(VLOOKUP(A210,BOOKINGS!$A:$Q,7,FALSE),SETUP_RATES!$A:$H,5,FALSE))</f>
        <v/>
      </c>
      <c r="F210" s="38" t="str">
        <f>IF(A210="","",IFERROR(VLOOKUP(A210,TRIP_ACTUALS!$A:$O,5,FALSE),0))</f>
        <v/>
      </c>
      <c r="G210" s="38" t="str">
        <f>IF(A210="","",IFERROR(VLOOKUP(A210,TRIP_ACTUALS!$A:$O,6,FALSE),0)+IFERROR(VLOOKUP(A210,TRIP_ACTUALS!$A:$O,7,FALSE),0))</f>
        <v/>
      </c>
      <c r="H210" s="38" t="str">
        <f>IF(A210="","",IFERROR(VLOOKUP(VLOOKUP(A210,BOOKINGS!$A:$Q,7,FALSE),SETUP_RATES!$A:$H,8,FALSE),0))</f>
        <v/>
      </c>
      <c r="I210" s="38" t="str">
        <f t="shared" si="1"/>
        <v/>
      </c>
      <c r="J210" s="38" t="str">
        <f>IF(A210="","",IFERROR(VLOOKUP(A210,BOOKINGS!$A:$Q,13,FALSE),0))</f>
        <v/>
      </c>
      <c r="K210" s="38" t="str">
        <f t="shared" si="2"/>
        <v/>
      </c>
      <c r="L210" s="38" t="str">
        <f t="shared" si="3"/>
        <v/>
      </c>
    </row>
    <row r="211" ht="15.75" customHeight="1">
      <c r="A211" s="33" t="str">
        <f>IF(BOOKINGS!A211="","",BOOKINGS!A211)</f>
        <v/>
      </c>
      <c r="B211" s="38" t="str">
        <f>IF(A211="","",MAX(VLOOKUP(A211,BOOKINGS!$A:$Q,6,FALSE)*VLOOKUP(VLOOKUP(A211,BOOKINGS!$A:$Q,7,FALSE),SETUP_RATES!$A:$H,3,FALSE),VLOOKUP(VLOOKUP(A211,BOOKINGS!$A:$Q,7,FALSE),SETUP_RATES!$A:$H,2,FALSE)))</f>
        <v/>
      </c>
      <c r="C211" s="38" t="str">
        <f>IF(A211="","",VLOOKUP(A211,BOOKINGS!$A:$Q,10,FALSE)*VLOOKUP(VLOOKUP(A211,BOOKINGS!$A:$Q,7,FALSE),SETUP_RATES!$A:$H,6,FALSE))</f>
        <v/>
      </c>
      <c r="D211" s="38" t="str">
        <f>IF(A211="","",MAX(0,VLOOKUP(A211,TRIP_ACTUALS!$A:$O,8,FALSE)-SETUP_RATES!$K$2)*SETUP_RATES!$K$3)</f>
        <v/>
      </c>
      <c r="E211" s="38" t="str">
        <f>IF(A211="","",VLOOKUP(A211,TRIP_ACTUALS!$A:$O,9,FALSE)*VLOOKUP(VLOOKUP(A211,BOOKINGS!$A:$Q,7,FALSE),SETUP_RATES!$A:$H,5,FALSE))</f>
        <v/>
      </c>
      <c r="F211" s="38" t="str">
        <f>IF(A211="","",IFERROR(VLOOKUP(A211,TRIP_ACTUALS!$A:$O,5,FALSE),0))</f>
        <v/>
      </c>
      <c r="G211" s="38" t="str">
        <f>IF(A211="","",IFERROR(VLOOKUP(A211,TRIP_ACTUALS!$A:$O,6,FALSE),0)+IFERROR(VLOOKUP(A211,TRIP_ACTUALS!$A:$O,7,FALSE),0))</f>
        <v/>
      </c>
      <c r="H211" s="38" t="str">
        <f>IF(A211="","",IFERROR(VLOOKUP(VLOOKUP(A211,BOOKINGS!$A:$Q,7,FALSE),SETUP_RATES!$A:$H,8,FALSE),0))</f>
        <v/>
      </c>
      <c r="I211" s="38" t="str">
        <f t="shared" si="1"/>
        <v/>
      </c>
      <c r="J211" s="38" t="str">
        <f>IF(A211="","",IFERROR(VLOOKUP(A211,BOOKINGS!$A:$Q,13,FALSE),0))</f>
        <v/>
      </c>
      <c r="K211" s="38" t="str">
        <f t="shared" si="2"/>
        <v/>
      </c>
      <c r="L211" s="38" t="str">
        <f t="shared" si="3"/>
        <v/>
      </c>
    </row>
    <row r="212" ht="15.75" customHeight="1">
      <c r="A212" s="33" t="str">
        <f>IF(BOOKINGS!A212="","",BOOKINGS!A212)</f>
        <v/>
      </c>
      <c r="B212" s="38" t="str">
        <f>IF(A212="","",MAX(VLOOKUP(A212,BOOKINGS!$A:$Q,6,FALSE)*VLOOKUP(VLOOKUP(A212,BOOKINGS!$A:$Q,7,FALSE),SETUP_RATES!$A:$H,3,FALSE),VLOOKUP(VLOOKUP(A212,BOOKINGS!$A:$Q,7,FALSE),SETUP_RATES!$A:$H,2,FALSE)))</f>
        <v/>
      </c>
      <c r="C212" s="38" t="str">
        <f>IF(A212="","",VLOOKUP(A212,BOOKINGS!$A:$Q,10,FALSE)*VLOOKUP(VLOOKUP(A212,BOOKINGS!$A:$Q,7,FALSE),SETUP_RATES!$A:$H,6,FALSE))</f>
        <v/>
      </c>
      <c r="D212" s="38" t="str">
        <f>IF(A212="","",MAX(0,VLOOKUP(A212,TRIP_ACTUALS!$A:$O,8,FALSE)-SETUP_RATES!$K$2)*SETUP_RATES!$K$3)</f>
        <v/>
      </c>
      <c r="E212" s="38" t="str">
        <f>IF(A212="","",VLOOKUP(A212,TRIP_ACTUALS!$A:$O,9,FALSE)*VLOOKUP(VLOOKUP(A212,BOOKINGS!$A:$Q,7,FALSE),SETUP_RATES!$A:$H,5,FALSE))</f>
        <v/>
      </c>
      <c r="F212" s="38" t="str">
        <f>IF(A212="","",IFERROR(VLOOKUP(A212,TRIP_ACTUALS!$A:$O,5,FALSE),0))</f>
        <v/>
      </c>
      <c r="G212" s="38" t="str">
        <f>IF(A212="","",IFERROR(VLOOKUP(A212,TRIP_ACTUALS!$A:$O,6,FALSE),0)+IFERROR(VLOOKUP(A212,TRIP_ACTUALS!$A:$O,7,FALSE),0))</f>
        <v/>
      </c>
      <c r="H212" s="38" t="str">
        <f>IF(A212="","",IFERROR(VLOOKUP(VLOOKUP(A212,BOOKINGS!$A:$Q,7,FALSE),SETUP_RATES!$A:$H,8,FALSE),0))</f>
        <v/>
      </c>
      <c r="I212" s="38" t="str">
        <f t="shared" si="1"/>
        <v/>
      </c>
      <c r="J212" s="38" t="str">
        <f>IF(A212="","",IFERROR(VLOOKUP(A212,BOOKINGS!$A:$Q,13,FALSE),0))</f>
        <v/>
      </c>
      <c r="K212" s="38" t="str">
        <f t="shared" si="2"/>
        <v/>
      </c>
      <c r="L212" s="38" t="str">
        <f t="shared" si="3"/>
        <v/>
      </c>
    </row>
    <row r="213" ht="15.75" customHeight="1">
      <c r="A213" s="33" t="str">
        <f>IF(BOOKINGS!A213="","",BOOKINGS!A213)</f>
        <v/>
      </c>
      <c r="B213" s="38" t="str">
        <f>IF(A213="","",MAX(VLOOKUP(A213,BOOKINGS!$A:$Q,6,FALSE)*VLOOKUP(VLOOKUP(A213,BOOKINGS!$A:$Q,7,FALSE),SETUP_RATES!$A:$H,3,FALSE),VLOOKUP(VLOOKUP(A213,BOOKINGS!$A:$Q,7,FALSE),SETUP_RATES!$A:$H,2,FALSE)))</f>
        <v/>
      </c>
      <c r="C213" s="38" t="str">
        <f>IF(A213="","",VLOOKUP(A213,BOOKINGS!$A:$Q,10,FALSE)*VLOOKUP(VLOOKUP(A213,BOOKINGS!$A:$Q,7,FALSE),SETUP_RATES!$A:$H,6,FALSE))</f>
        <v/>
      </c>
      <c r="D213" s="38" t="str">
        <f>IF(A213="","",MAX(0,VLOOKUP(A213,TRIP_ACTUALS!$A:$O,8,FALSE)-SETUP_RATES!$K$2)*SETUP_RATES!$K$3)</f>
        <v/>
      </c>
      <c r="E213" s="38" t="str">
        <f>IF(A213="","",VLOOKUP(A213,TRIP_ACTUALS!$A:$O,9,FALSE)*VLOOKUP(VLOOKUP(A213,BOOKINGS!$A:$Q,7,FALSE),SETUP_RATES!$A:$H,5,FALSE))</f>
        <v/>
      </c>
      <c r="F213" s="38" t="str">
        <f>IF(A213="","",IFERROR(VLOOKUP(A213,TRIP_ACTUALS!$A:$O,5,FALSE),0))</f>
        <v/>
      </c>
      <c r="G213" s="38" t="str">
        <f>IF(A213="","",IFERROR(VLOOKUP(A213,TRIP_ACTUALS!$A:$O,6,FALSE),0)+IFERROR(VLOOKUP(A213,TRIP_ACTUALS!$A:$O,7,FALSE),0))</f>
        <v/>
      </c>
      <c r="H213" s="38" t="str">
        <f>IF(A213="","",IFERROR(VLOOKUP(VLOOKUP(A213,BOOKINGS!$A:$Q,7,FALSE),SETUP_RATES!$A:$H,8,FALSE),0))</f>
        <v/>
      </c>
      <c r="I213" s="38" t="str">
        <f t="shared" si="1"/>
        <v/>
      </c>
      <c r="J213" s="38" t="str">
        <f>IF(A213="","",IFERROR(VLOOKUP(A213,BOOKINGS!$A:$Q,13,FALSE),0))</f>
        <v/>
      </c>
      <c r="K213" s="38" t="str">
        <f t="shared" si="2"/>
        <v/>
      </c>
      <c r="L213" s="38" t="str">
        <f t="shared" si="3"/>
        <v/>
      </c>
    </row>
    <row r="214" ht="15.75" customHeight="1">
      <c r="A214" s="33" t="str">
        <f>IF(BOOKINGS!A214="","",BOOKINGS!A214)</f>
        <v/>
      </c>
      <c r="B214" s="38" t="str">
        <f>IF(A214="","",MAX(VLOOKUP(A214,BOOKINGS!$A:$Q,6,FALSE)*VLOOKUP(VLOOKUP(A214,BOOKINGS!$A:$Q,7,FALSE),SETUP_RATES!$A:$H,3,FALSE),VLOOKUP(VLOOKUP(A214,BOOKINGS!$A:$Q,7,FALSE),SETUP_RATES!$A:$H,2,FALSE)))</f>
        <v/>
      </c>
      <c r="C214" s="38" t="str">
        <f>IF(A214="","",VLOOKUP(A214,BOOKINGS!$A:$Q,10,FALSE)*VLOOKUP(VLOOKUP(A214,BOOKINGS!$A:$Q,7,FALSE),SETUP_RATES!$A:$H,6,FALSE))</f>
        <v/>
      </c>
      <c r="D214" s="38" t="str">
        <f>IF(A214="","",MAX(0,VLOOKUP(A214,TRIP_ACTUALS!$A:$O,8,FALSE)-SETUP_RATES!$K$2)*SETUP_RATES!$K$3)</f>
        <v/>
      </c>
      <c r="E214" s="38" t="str">
        <f>IF(A214="","",VLOOKUP(A214,TRIP_ACTUALS!$A:$O,9,FALSE)*VLOOKUP(VLOOKUP(A214,BOOKINGS!$A:$Q,7,FALSE),SETUP_RATES!$A:$H,5,FALSE))</f>
        <v/>
      </c>
      <c r="F214" s="38" t="str">
        <f>IF(A214="","",IFERROR(VLOOKUP(A214,TRIP_ACTUALS!$A:$O,5,FALSE),0))</f>
        <v/>
      </c>
      <c r="G214" s="38" t="str">
        <f>IF(A214="","",IFERROR(VLOOKUP(A214,TRIP_ACTUALS!$A:$O,6,FALSE),0)+IFERROR(VLOOKUP(A214,TRIP_ACTUALS!$A:$O,7,FALSE),0))</f>
        <v/>
      </c>
      <c r="H214" s="38" t="str">
        <f>IF(A214="","",IFERROR(VLOOKUP(VLOOKUP(A214,BOOKINGS!$A:$Q,7,FALSE),SETUP_RATES!$A:$H,8,FALSE),0))</f>
        <v/>
      </c>
      <c r="I214" s="38" t="str">
        <f t="shared" si="1"/>
        <v/>
      </c>
      <c r="J214" s="38" t="str">
        <f>IF(A214="","",IFERROR(VLOOKUP(A214,BOOKINGS!$A:$Q,13,FALSE),0))</f>
        <v/>
      </c>
      <c r="K214" s="38" t="str">
        <f t="shared" si="2"/>
        <v/>
      </c>
      <c r="L214" s="38" t="str">
        <f t="shared" si="3"/>
        <v/>
      </c>
    </row>
    <row r="215" ht="15.75" customHeight="1">
      <c r="A215" s="33" t="str">
        <f>IF(BOOKINGS!A215="","",BOOKINGS!A215)</f>
        <v/>
      </c>
      <c r="B215" s="38" t="str">
        <f>IF(A215="","",MAX(VLOOKUP(A215,BOOKINGS!$A:$Q,6,FALSE)*VLOOKUP(VLOOKUP(A215,BOOKINGS!$A:$Q,7,FALSE),SETUP_RATES!$A:$H,3,FALSE),VLOOKUP(VLOOKUP(A215,BOOKINGS!$A:$Q,7,FALSE),SETUP_RATES!$A:$H,2,FALSE)))</f>
        <v/>
      </c>
      <c r="C215" s="38" t="str">
        <f>IF(A215="","",VLOOKUP(A215,BOOKINGS!$A:$Q,10,FALSE)*VLOOKUP(VLOOKUP(A215,BOOKINGS!$A:$Q,7,FALSE),SETUP_RATES!$A:$H,6,FALSE))</f>
        <v/>
      </c>
      <c r="D215" s="38" t="str">
        <f>IF(A215="","",MAX(0,VLOOKUP(A215,TRIP_ACTUALS!$A:$O,8,FALSE)-SETUP_RATES!$K$2)*SETUP_RATES!$K$3)</f>
        <v/>
      </c>
      <c r="E215" s="38" t="str">
        <f>IF(A215="","",VLOOKUP(A215,TRIP_ACTUALS!$A:$O,9,FALSE)*VLOOKUP(VLOOKUP(A215,BOOKINGS!$A:$Q,7,FALSE),SETUP_RATES!$A:$H,5,FALSE))</f>
        <v/>
      </c>
      <c r="F215" s="38" t="str">
        <f>IF(A215="","",IFERROR(VLOOKUP(A215,TRIP_ACTUALS!$A:$O,5,FALSE),0))</f>
        <v/>
      </c>
      <c r="G215" s="38" t="str">
        <f>IF(A215="","",IFERROR(VLOOKUP(A215,TRIP_ACTUALS!$A:$O,6,FALSE),0)+IFERROR(VLOOKUP(A215,TRIP_ACTUALS!$A:$O,7,FALSE),0))</f>
        <v/>
      </c>
      <c r="H215" s="38" t="str">
        <f>IF(A215="","",IFERROR(VLOOKUP(VLOOKUP(A215,BOOKINGS!$A:$Q,7,FALSE),SETUP_RATES!$A:$H,8,FALSE),0))</f>
        <v/>
      </c>
      <c r="I215" s="38" t="str">
        <f t="shared" si="1"/>
        <v/>
      </c>
      <c r="J215" s="38" t="str">
        <f>IF(A215="","",IFERROR(VLOOKUP(A215,BOOKINGS!$A:$Q,13,FALSE),0))</f>
        <v/>
      </c>
      <c r="K215" s="38" t="str">
        <f t="shared" si="2"/>
        <v/>
      </c>
      <c r="L215" s="38" t="str">
        <f t="shared" si="3"/>
        <v/>
      </c>
    </row>
    <row r="216" ht="15.75" customHeight="1">
      <c r="A216" s="33" t="str">
        <f>IF(BOOKINGS!A216="","",BOOKINGS!A216)</f>
        <v/>
      </c>
      <c r="B216" s="38" t="str">
        <f>IF(A216="","",MAX(VLOOKUP(A216,BOOKINGS!$A:$Q,6,FALSE)*VLOOKUP(VLOOKUP(A216,BOOKINGS!$A:$Q,7,FALSE),SETUP_RATES!$A:$H,3,FALSE),VLOOKUP(VLOOKUP(A216,BOOKINGS!$A:$Q,7,FALSE),SETUP_RATES!$A:$H,2,FALSE)))</f>
        <v/>
      </c>
      <c r="C216" s="38" t="str">
        <f>IF(A216="","",VLOOKUP(A216,BOOKINGS!$A:$Q,10,FALSE)*VLOOKUP(VLOOKUP(A216,BOOKINGS!$A:$Q,7,FALSE),SETUP_RATES!$A:$H,6,FALSE))</f>
        <v/>
      </c>
      <c r="D216" s="38" t="str">
        <f>IF(A216="","",MAX(0,VLOOKUP(A216,TRIP_ACTUALS!$A:$O,8,FALSE)-SETUP_RATES!$K$2)*SETUP_RATES!$K$3)</f>
        <v/>
      </c>
      <c r="E216" s="38" t="str">
        <f>IF(A216="","",VLOOKUP(A216,TRIP_ACTUALS!$A:$O,9,FALSE)*VLOOKUP(VLOOKUP(A216,BOOKINGS!$A:$Q,7,FALSE),SETUP_RATES!$A:$H,5,FALSE))</f>
        <v/>
      </c>
      <c r="F216" s="38" t="str">
        <f>IF(A216="","",IFERROR(VLOOKUP(A216,TRIP_ACTUALS!$A:$O,5,FALSE),0))</f>
        <v/>
      </c>
      <c r="G216" s="38" t="str">
        <f>IF(A216="","",IFERROR(VLOOKUP(A216,TRIP_ACTUALS!$A:$O,6,FALSE),0)+IFERROR(VLOOKUP(A216,TRIP_ACTUALS!$A:$O,7,FALSE),0))</f>
        <v/>
      </c>
      <c r="H216" s="38" t="str">
        <f>IF(A216="","",IFERROR(VLOOKUP(VLOOKUP(A216,BOOKINGS!$A:$Q,7,FALSE),SETUP_RATES!$A:$H,8,FALSE),0))</f>
        <v/>
      </c>
      <c r="I216" s="38" t="str">
        <f t="shared" si="1"/>
        <v/>
      </c>
      <c r="J216" s="38" t="str">
        <f>IF(A216="","",IFERROR(VLOOKUP(A216,BOOKINGS!$A:$Q,13,FALSE),0))</f>
        <v/>
      </c>
      <c r="K216" s="38" t="str">
        <f t="shared" si="2"/>
        <v/>
      </c>
      <c r="L216" s="38" t="str">
        <f t="shared" si="3"/>
        <v/>
      </c>
    </row>
    <row r="217" ht="15.75" customHeight="1">
      <c r="A217" s="33" t="str">
        <f>IF(BOOKINGS!A217="","",BOOKINGS!A217)</f>
        <v/>
      </c>
      <c r="B217" s="38" t="str">
        <f>IF(A217="","",MAX(VLOOKUP(A217,BOOKINGS!$A:$Q,6,FALSE)*VLOOKUP(VLOOKUP(A217,BOOKINGS!$A:$Q,7,FALSE),SETUP_RATES!$A:$H,3,FALSE),VLOOKUP(VLOOKUP(A217,BOOKINGS!$A:$Q,7,FALSE),SETUP_RATES!$A:$H,2,FALSE)))</f>
        <v/>
      </c>
      <c r="C217" s="38" t="str">
        <f>IF(A217="","",VLOOKUP(A217,BOOKINGS!$A:$Q,10,FALSE)*VLOOKUP(VLOOKUP(A217,BOOKINGS!$A:$Q,7,FALSE),SETUP_RATES!$A:$H,6,FALSE))</f>
        <v/>
      </c>
      <c r="D217" s="38" t="str">
        <f>IF(A217="","",MAX(0,VLOOKUP(A217,TRIP_ACTUALS!$A:$O,8,FALSE)-SETUP_RATES!$K$2)*SETUP_RATES!$K$3)</f>
        <v/>
      </c>
      <c r="E217" s="38" t="str">
        <f>IF(A217="","",VLOOKUP(A217,TRIP_ACTUALS!$A:$O,9,FALSE)*VLOOKUP(VLOOKUP(A217,BOOKINGS!$A:$Q,7,FALSE),SETUP_RATES!$A:$H,5,FALSE))</f>
        <v/>
      </c>
      <c r="F217" s="38" t="str">
        <f>IF(A217="","",IFERROR(VLOOKUP(A217,TRIP_ACTUALS!$A:$O,5,FALSE),0))</f>
        <v/>
      </c>
      <c r="G217" s="38" t="str">
        <f>IF(A217="","",IFERROR(VLOOKUP(A217,TRIP_ACTUALS!$A:$O,6,FALSE),0)+IFERROR(VLOOKUP(A217,TRIP_ACTUALS!$A:$O,7,FALSE),0))</f>
        <v/>
      </c>
      <c r="H217" s="38" t="str">
        <f>IF(A217="","",IFERROR(VLOOKUP(VLOOKUP(A217,BOOKINGS!$A:$Q,7,FALSE),SETUP_RATES!$A:$H,8,FALSE),0))</f>
        <v/>
      </c>
      <c r="I217" s="38" t="str">
        <f t="shared" si="1"/>
        <v/>
      </c>
      <c r="J217" s="38" t="str">
        <f>IF(A217="","",IFERROR(VLOOKUP(A217,BOOKINGS!$A:$Q,13,FALSE),0))</f>
        <v/>
      </c>
      <c r="K217" s="38" t="str">
        <f t="shared" si="2"/>
        <v/>
      </c>
      <c r="L217" s="38" t="str">
        <f t="shared" si="3"/>
        <v/>
      </c>
    </row>
    <row r="218" ht="15.75" customHeight="1">
      <c r="A218" s="33" t="str">
        <f>IF(BOOKINGS!A218="","",BOOKINGS!A218)</f>
        <v/>
      </c>
      <c r="B218" s="38" t="str">
        <f>IF(A218="","",MAX(VLOOKUP(A218,BOOKINGS!$A:$Q,6,FALSE)*VLOOKUP(VLOOKUP(A218,BOOKINGS!$A:$Q,7,FALSE),SETUP_RATES!$A:$H,3,FALSE),VLOOKUP(VLOOKUP(A218,BOOKINGS!$A:$Q,7,FALSE),SETUP_RATES!$A:$H,2,FALSE)))</f>
        <v/>
      </c>
      <c r="C218" s="38" t="str">
        <f>IF(A218="","",VLOOKUP(A218,BOOKINGS!$A:$Q,10,FALSE)*VLOOKUP(VLOOKUP(A218,BOOKINGS!$A:$Q,7,FALSE),SETUP_RATES!$A:$H,6,FALSE))</f>
        <v/>
      </c>
      <c r="D218" s="38" t="str">
        <f>IF(A218="","",MAX(0,VLOOKUP(A218,TRIP_ACTUALS!$A:$O,8,FALSE)-SETUP_RATES!$K$2)*SETUP_RATES!$K$3)</f>
        <v/>
      </c>
      <c r="E218" s="38" t="str">
        <f>IF(A218="","",VLOOKUP(A218,TRIP_ACTUALS!$A:$O,9,FALSE)*VLOOKUP(VLOOKUP(A218,BOOKINGS!$A:$Q,7,FALSE),SETUP_RATES!$A:$H,5,FALSE))</f>
        <v/>
      </c>
      <c r="F218" s="38" t="str">
        <f>IF(A218="","",IFERROR(VLOOKUP(A218,TRIP_ACTUALS!$A:$O,5,FALSE),0))</f>
        <v/>
      </c>
      <c r="G218" s="38" t="str">
        <f>IF(A218="","",IFERROR(VLOOKUP(A218,TRIP_ACTUALS!$A:$O,6,FALSE),0)+IFERROR(VLOOKUP(A218,TRIP_ACTUALS!$A:$O,7,FALSE),0))</f>
        <v/>
      </c>
      <c r="H218" s="38" t="str">
        <f>IF(A218="","",IFERROR(VLOOKUP(VLOOKUP(A218,BOOKINGS!$A:$Q,7,FALSE),SETUP_RATES!$A:$H,8,FALSE),0))</f>
        <v/>
      </c>
      <c r="I218" s="38" t="str">
        <f t="shared" si="1"/>
        <v/>
      </c>
      <c r="J218" s="38" t="str">
        <f>IF(A218="","",IFERROR(VLOOKUP(A218,BOOKINGS!$A:$Q,13,FALSE),0))</f>
        <v/>
      </c>
      <c r="K218" s="38" t="str">
        <f t="shared" si="2"/>
        <v/>
      </c>
      <c r="L218" s="38" t="str">
        <f t="shared" si="3"/>
        <v/>
      </c>
    </row>
    <row r="219" ht="15.75" customHeight="1">
      <c r="A219" s="33" t="str">
        <f>IF(BOOKINGS!A219="","",BOOKINGS!A219)</f>
        <v/>
      </c>
      <c r="B219" s="38" t="str">
        <f>IF(A219="","",MAX(VLOOKUP(A219,BOOKINGS!$A:$Q,6,FALSE)*VLOOKUP(VLOOKUP(A219,BOOKINGS!$A:$Q,7,FALSE),SETUP_RATES!$A:$H,3,FALSE),VLOOKUP(VLOOKUP(A219,BOOKINGS!$A:$Q,7,FALSE),SETUP_RATES!$A:$H,2,FALSE)))</f>
        <v/>
      </c>
      <c r="C219" s="38" t="str">
        <f>IF(A219="","",VLOOKUP(A219,BOOKINGS!$A:$Q,10,FALSE)*VLOOKUP(VLOOKUP(A219,BOOKINGS!$A:$Q,7,FALSE),SETUP_RATES!$A:$H,6,FALSE))</f>
        <v/>
      </c>
      <c r="D219" s="38" t="str">
        <f>IF(A219="","",MAX(0,VLOOKUP(A219,TRIP_ACTUALS!$A:$O,8,FALSE)-SETUP_RATES!$K$2)*SETUP_RATES!$K$3)</f>
        <v/>
      </c>
      <c r="E219" s="38" t="str">
        <f>IF(A219="","",VLOOKUP(A219,TRIP_ACTUALS!$A:$O,9,FALSE)*VLOOKUP(VLOOKUP(A219,BOOKINGS!$A:$Q,7,FALSE),SETUP_RATES!$A:$H,5,FALSE))</f>
        <v/>
      </c>
      <c r="F219" s="38" t="str">
        <f>IF(A219="","",IFERROR(VLOOKUP(A219,TRIP_ACTUALS!$A:$O,5,FALSE),0))</f>
        <v/>
      </c>
      <c r="G219" s="38" t="str">
        <f>IF(A219="","",IFERROR(VLOOKUP(A219,TRIP_ACTUALS!$A:$O,6,FALSE),0)+IFERROR(VLOOKUP(A219,TRIP_ACTUALS!$A:$O,7,FALSE),0))</f>
        <v/>
      </c>
      <c r="H219" s="38" t="str">
        <f>IF(A219="","",IFERROR(VLOOKUP(VLOOKUP(A219,BOOKINGS!$A:$Q,7,FALSE),SETUP_RATES!$A:$H,8,FALSE),0))</f>
        <v/>
      </c>
      <c r="I219" s="38" t="str">
        <f t="shared" si="1"/>
        <v/>
      </c>
      <c r="J219" s="38" t="str">
        <f>IF(A219="","",IFERROR(VLOOKUP(A219,BOOKINGS!$A:$Q,13,FALSE),0))</f>
        <v/>
      </c>
      <c r="K219" s="38" t="str">
        <f t="shared" si="2"/>
        <v/>
      </c>
      <c r="L219" s="38" t="str">
        <f t="shared" si="3"/>
        <v/>
      </c>
    </row>
    <row r="220" ht="15.75" customHeight="1">
      <c r="A220" s="33" t="str">
        <f>IF(BOOKINGS!A220="","",BOOKINGS!A220)</f>
        <v/>
      </c>
      <c r="B220" s="38" t="str">
        <f>IF(A220="","",MAX(VLOOKUP(A220,BOOKINGS!$A:$Q,6,FALSE)*VLOOKUP(VLOOKUP(A220,BOOKINGS!$A:$Q,7,FALSE),SETUP_RATES!$A:$H,3,FALSE),VLOOKUP(VLOOKUP(A220,BOOKINGS!$A:$Q,7,FALSE),SETUP_RATES!$A:$H,2,FALSE)))</f>
        <v/>
      </c>
      <c r="C220" s="38" t="str">
        <f>IF(A220="","",VLOOKUP(A220,BOOKINGS!$A:$Q,10,FALSE)*VLOOKUP(VLOOKUP(A220,BOOKINGS!$A:$Q,7,FALSE),SETUP_RATES!$A:$H,6,FALSE))</f>
        <v/>
      </c>
      <c r="D220" s="38" t="str">
        <f>IF(A220="","",MAX(0,VLOOKUP(A220,TRIP_ACTUALS!$A:$O,8,FALSE)-SETUP_RATES!$K$2)*SETUP_RATES!$K$3)</f>
        <v/>
      </c>
      <c r="E220" s="38" t="str">
        <f>IF(A220="","",VLOOKUP(A220,TRIP_ACTUALS!$A:$O,9,FALSE)*VLOOKUP(VLOOKUP(A220,BOOKINGS!$A:$Q,7,FALSE),SETUP_RATES!$A:$H,5,FALSE))</f>
        <v/>
      </c>
      <c r="F220" s="38" t="str">
        <f>IF(A220="","",IFERROR(VLOOKUP(A220,TRIP_ACTUALS!$A:$O,5,FALSE),0))</f>
        <v/>
      </c>
      <c r="G220" s="38" t="str">
        <f>IF(A220="","",IFERROR(VLOOKUP(A220,TRIP_ACTUALS!$A:$O,6,FALSE),0)+IFERROR(VLOOKUP(A220,TRIP_ACTUALS!$A:$O,7,FALSE),0))</f>
        <v/>
      </c>
      <c r="H220" s="38" t="str">
        <f>IF(A220="","",IFERROR(VLOOKUP(VLOOKUP(A220,BOOKINGS!$A:$Q,7,FALSE),SETUP_RATES!$A:$H,8,FALSE),0))</f>
        <v/>
      </c>
      <c r="I220" s="38" t="str">
        <f t="shared" si="1"/>
        <v/>
      </c>
      <c r="J220" s="38" t="str">
        <f>IF(A220="","",IFERROR(VLOOKUP(A220,BOOKINGS!$A:$Q,13,FALSE),0))</f>
        <v/>
      </c>
      <c r="K220" s="38" t="str">
        <f t="shared" si="2"/>
        <v/>
      </c>
      <c r="L220" s="38" t="str">
        <f t="shared" si="3"/>
        <v/>
      </c>
    </row>
    <row r="221" ht="15.75" customHeight="1">
      <c r="A221" s="33" t="str">
        <f>IF(BOOKINGS!A221="","",BOOKINGS!A221)</f>
        <v/>
      </c>
      <c r="B221" s="38" t="str">
        <f>IF(A221="","",MAX(VLOOKUP(A221,BOOKINGS!$A:$Q,6,FALSE)*VLOOKUP(VLOOKUP(A221,BOOKINGS!$A:$Q,7,FALSE),SETUP_RATES!$A:$H,3,FALSE),VLOOKUP(VLOOKUP(A221,BOOKINGS!$A:$Q,7,FALSE),SETUP_RATES!$A:$H,2,FALSE)))</f>
        <v/>
      </c>
      <c r="C221" s="38" t="str">
        <f>IF(A221="","",VLOOKUP(A221,BOOKINGS!$A:$Q,10,FALSE)*VLOOKUP(VLOOKUP(A221,BOOKINGS!$A:$Q,7,FALSE),SETUP_RATES!$A:$H,6,FALSE))</f>
        <v/>
      </c>
      <c r="D221" s="38" t="str">
        <f>IF(A221="","",MAX(0,VLOOKUP(A221,TRIP_ACTUALS!$A:$O,8,FALSE)-SETUP_RATES!$K$2)*SETUP_RATES!$K$3)</f>
        <v/>
      </c>
      <c r="E221" s="38" t="str">
        <f>IF(A221="","",VLOOKUP(A221,TRIP_ACTUALS!$A:$O,9,FALSE)*VLOOKUP(VLOOKUP(A221,BOOKINGS!$A:$Q,7,FALSE),SETUP_RATES!$A:$H,5,FALSE))</f>
        <v/>
      </c>
      <c r="F221" s="38" t="str">
        <f>IF(A221="","",IFERROR(VLOOKUP(A221,TRIP_ACTUALS!$A:$O,5,FALSE),0))</f>
        <v/>
      </c>
      <c r="G221" s="38" t="str">
        <f>IF(A221="","",IFERROR(VLOOKUP(A221,TRIP_ACTUALS!$A:$O,6,FALSE),0)+IFERROR(VLOOKUP(A221,TRIP_ACTUALS!$A:$O,7,FALSE),0))</f>
        <v/>
      </c>
      <c r="H221" s="38" t="str">
        <f>IF(A221="","",IFERROR(VLOOKUP(VLOOKUP(A221,BOOKINGS!$A:$Q,7,FALSE),SETUP_RATES!$A:$H,8,FALSE),0))</f>
        <v/>
      </c>
      <c r="I221" s="38" t="str">
        <f t="shared" si="1"/>
        <v/>
      </c>
      <c r="J221" s="38" t="str">
        <f>IF(A221="","",IFERROR(VLOOKUP(A221,BOOKINGS!$A:$Q,13,FALSE),0))</f>
        <v/>
      </c>
      <c r="K221" s="38" t="str">
        <f t="shared" si="2"/>
        <v/>
      </c>
      <c r="L221" s="38" t="str">
        <f t="shared" si="3"/>
        <v/>
      </c>
    </row>
    <row r="222" ht="15.75" customHeight="1">
      <c r="A222" s="33" t="str">
        <f>IF(BOOKINGS!A222="","",BOOKINGS!A222)</f>
        <v/>
      </c>
      <c r="B222" s="38" t="str">
        <f>IF(A222="","",MAX(VLOOKUP(A222,BOOKINGS!$A:$Q,6,FALSE)*VLOOKUP(VLOOKUP(A222,BOOKINGS!$A:$Q,7,FALSE),SETUP_RATES!$A:$H,3,FALSE),VLOOKUP(VLOOKUP(A222,BOOKINGS!$A:$Q,7,FALSE),SETUP_RATES!$A:$H,2,FALSE)))</f>
        <v/>
      </c>
      <c r="C222" s="38" t="str">
        <f>IF(A222="","",VLOOKUP(A222,BOOKINGS!$A:$Q,10,FALSE)*VLOOKUP(VLOOKUP(A222,BOOKINGS!$A:$Q,7,FALSE),SETUP_RATES!$A:$H,6,FALSE))</f>
        <v/>
      </c>
      <c r="D222" s="38" t="str">
        <f>IF(A222="","",MAX(0,VLOOKUP(A222,TRIP_ACTUALS!$A:$O,8,FALSE)-SETUP_RATES!$K$2)*SETUP_RATES!$K$3)</f>
        <v/>
      </c>
      <c r="E222" s="38" t="str">
        <f>IF(A222="","",VLOOKUP(A222,TRIP_ACTUALS!$A:$O,9,FALSE)*VLOOKUP(VLOOKUP(A222,BOOKINGS!$A:$Q,7,FALSE),SETUP_RATES!$A:$H,5,FALSE))</f>
        <v/>
      </c>
      <c r="F222" s="38" t="str">
        <f>IF(A222="","",IFERROR(VLOOKUP(A222,TRIP_ACTUALS!$A:$O,5,FALSE),0))</f>
        <v/>
      </c>
      <c r="G222" s="38" t="str">
        <f>IF(A222="","",IFERROR(VLOOKUP(A222,TRIP_ACTUALS!$A:$O,6,FALSE),0)+IFERROR(VLOOKUP(A222,TRIP_ACTUALS!$A:$O,7,FALSE),0))</f>
        <v/>
      </c>
      <c r="H222" s="38" t="str">
        <f>IF(A222="","",IFERROR(VLOOKUP(VLOOKUP(A222,BOOKINGS!$A:$Q,7,FALSE),SETUP_RATES!$A:$H,8,FALSE),0))</f>
        <v/>
      </c>
      <c r="I222" s="38" t="str">
        <f t="shared" si="1"/>
        <v/>
      </c>
      <c r="J222" s="38" t="str">
        <f>IF(A222="","",IFERROR(VLOOKUP(A222,BOOKINGS!$A:$Q,13,FALSE),0))</f>
        <v/>
      </c>
      <c r="K222" s="38" t="str">
        <f t="shared" si="2"/>
        <v/>
      </c>
      <c r="L222" s="38" t="str">
        <f t="shared" si="3"/>
        <v/>
      </c>
    </row>
    <row r="223" ht="15.75" customHeight="1">
      <c r="A223" s="33" t="str">
        <f>IF(BOOKINGS!A223="","",BOOKINGS!A223)</f>
        <v/>
      </c>
      <c r="B223" s="38" t="str">
        <f>IF(A223="","",MAX(VLOOKUP(A223,BOOKINGS!$A:$Q,6,FALSE)*VLOOKUP(VLOOKUP(A223,BOOKINGS!$A:$Q,7,FALSE),SETUP_RATES!$A:$H,3,FALSE),VLOOKUP(VLOOKUP(A223,BOOKINGS!$A:$Q,7,FALSE),SETUP_RATES!$A:$H,2,FALSE)))</f>
        <v/>
      </c>
      <c r="C223" s="38" t="str">
        <f>IF(A223="","",VLOOKUP(A223,BOOKINGS!$A:$Q,10,FALSE)*VLOOKUP(VLOOKUP(A223,BOOKINGS!$A:$Q,7,FALSE),SETUP_RATES!$A:$H,6,FALSE))</f>
        <v/>
      </c>
      <c r="D223" s="38" t="str">
        <f>IF(A223="","",MAX(0,VLOOKUP(A223,TRIP_ACTUALS!$A:$O,8,FALSE)-SETUP_RATES!$K$2)*SETUP_RATES!$K$3)</f>
        <v/>
      </c>
      <c r="E223" s="38" t="str">
        <f>IF(A223="","",VLOOKUP(A223,TRIP_ACTUALS!$A:$O,9,FALSE)*VLOOKUP(VLOOKUP(A223,BOOKINGS!$A:$Q,7,FALSE),SETUP_RATES!$A:$H,5,FALSE))</f>
        <v/>
      </c>
      <c r="F223" s="38" t="str">
        <f>IF(A223="","",IFERROR(VLOOKUP(A223,TRIP_ACTUALS!$A:$O,5,FALSE),0))</f>
        <v/>
      </c>
      <c r="G223" s="38" t="str">
        <f>IF(A223="","",IFERROR(VLOOKUP(A223,TRIP_ACTUALS!$A:$O,6,FALSE),0)+IFERROR(VLOOKUP(A223,TRIP_ACTUALS!$A:$O,7,FALSE),0))</f>
        <v/>
      </c>
      <c r="H223" s="38" t="str">
        <f>IF(A223="","",IFERROR(VLOOKUP(VLOOKUP(A223,BOOKINGS!$A:$Q,7,FALSE),SETUP_RATES!$A:$H,8,FALSE),0))</f>
        <v/>
      </c>
      <c r="I223" s="38" t="str">
        <f t="shared" si="1"/>
        <v/>
      </c>
      <c r="J223" s="38" t="str">
        <f>IF(A223="","",IFERROR(VLOOKUP(A223,BOOKINGS!$A:$Q,13,FALSE),0))</f>
        <v/>
      </c>
      <c r="K223" s="38" t="str">
        <f t="shared" si="2"/>
        <v/>
      </c>
      <c r="L223" s="38" t="str">
        <f t="shared" si="3"/>
        <v/>
      </c>
    </row>
    <row r="224" ht="15.75" customHeight="1">
      <c r="A224" s="33" t="str">
        <f>IF(BOOKINGS!A224="","",BOOKINGS!A224)</f>
        <v/>
      </c>
      <c r="B224" s="38" t="str">
        <f>IF(A224="","",MAX(VLOOKUP(A224,BOOKINGS!$A:$Q,6,FALSE)*VLOOKUP(VLOOKUP(A224,BOOKINGS!$A:$Q,7,FALSE),SETUP_RATES!$A:$H,3,FALSE),VLOOKUP(VLOOKUP(A224,BOOKINGS!$A:$Q,7,FALSE),SETUP_RATES!$A:$H,2,FALSE)))</f>
        <v/>
      </c>
      <c r="C224" s="38" t="str">
        <f>IF(A224="","",VLOOKUP(A224,BOOKINGS!$A:$Q,10,FALSE)*VLOOKUP(VLOOKUP(A224,BOOKINGS!$A:$Q,7,FALSE),SETUP_RATES!$A:$H,6,FALSE))</f>
        <v/>
      </c>
      <c r="D224" s="38" t="str">
        <f>IF(A224="","",MAX(0,VLOOKUP(A224,TRIP_ACTUALS!$A:$O,8,FALSE)-SETUP_RATES!$K$2)*SETUP_RATES!$K$3)</f>
        <v/>
      </c>
      <c r="E224" s="38" t="str">
        <f>IF(A224="","",VLOOKUP(A224,TRIP_ACTUALS!$A:$O,9,FALSE)*VLOOKUP(VLOOKUP(A224,BOOKINGS!$A:$Q,7,FALSE),SETUP_RATES!$A:$H,5,FALSE))</f>
        <v/>
      </c>
      <c r="F224" s="38" t="str">
        <f>IF(A224="","",IFERROR(VLOOKUP(A224,TRIP_ACTUALS!$A:$O,5,FALSE),0))</f>
        <v/>
      </c>
      <c r="G224" s="38" t="str">
        <f>IF(A224="","",IFERROR(VLOOKUP(A224,TRIP_ACTUALS!$A:$O,6,FALSE),0)+IFERROR(VLOOKUP(A224,TRIP_ACTUALS!$A:$O,7,FALSE),0))</f>
        <v/>
      </c>
      <c r="H224" s="38" t="str">
        <f>IF(A224="","",IFERROR(VLOOKUP(VLOOKUP(A224,BOOKINGS!$A:$Q,7,FALSE),SETUP_RATES!$A:$H,8,FALSE),0))</f>
        <v/>
      </c>
      <c r="I224" s="38" t="str">
        <f t="shared" si="1"/>
        <v/>
      </c>
      <c r="J224" s="38" t="str">
        <f>IF(A224="","",IFERROR(VLOOKUP(A224,BOOKINGS!$A:$Q,13,FALSE),0))</f>
        <v/>
      </c>
      <c r="K224" s="38" t="str">
        <f t="shared" si="2"/>
        <v/>
      </c>
      <c r="L224" s="38" t="str">
        <f t="shared" si="3"/>
        <v/>
      </c>
    </row>
    <row r="225" ht="15.75" customHeight="1">
      <c r="A225" s="33" t="str">
        <f>IF(BOOKINGS!A225="","",BOOKINGS!A225)</f>
        <v/>
      </c>
      <c r="B225" s="38" t="str">
        <f>IF(A225="","",MAX(VLOOKUP(A225,BOOKINGS!$A:$Q,6,FALSE)*VLOOKUP(VLOOKUP(A225,BOOKINGS!$A:$Q,7,FALSE),SETUP_RATES!$A:$H,3,FALSE),VLOOKUP(VLOOKUP(A225,BOOKINGS!$A:$Q,7,FALSE),SETUP_RATES!$A:$H,2,FALSE)))</f>
        <v/>
      </c>
      <c r="C225" s="38" t="str">
        <f>IF(A225="","",VLOOKUP(A225,BOOKINGS!$A:$Q,10,FALSE)*VLOOKUP(VLOOKUP(A225,BOOKINGS!$A:$Q,7,FALSE),SETUP_RATES!$A:$H,6,FALSE))</f>
        <v/>
      </c>
      <c r="D225" s="38" t="str">
        <f>IF(A225="","",MAX(0,VLOOKUP(A225,TRIP_ACTUALS!$A:$O,8,FALSE)-SETUP_RATES!$K$2)*SETUP_RATES!$K$3)</f>
        <v/>
      </c>
      <c r="E225" s="38" t="str">
        <f>IF(A225="","",VLOOKUP(A225,TRIP_ACTUALS!$A:$O,9,FALSE)*VLOOKUP(VLOOKUP(A225,BOOKINGS!$A:$Q,7,FALSE),SETUP_RATES!$A:$H,5,FALSE))</f>
        <v/>
      </c>
      <c r="F225" s="38" t="str">
        <f>IF(A225="","",IFERROR(VLOOKUP(A225,TRIP_ACTUALS!$A:$O,5,FALSE),0))</f>
        <v/>
      </c>
      <c r="G225" s="38" t="str">
        <f>IF(A225="","",IFERROR(VLOOKUP(A225,TRIP_ACTUALS!$A:$O,6,FALSE),0)+IFERROR(VLOOKUP(A225,TRIP_ACTUALS!$A:$O,7,FALSE),0))</f>
        <v/>
      </c>
      <c r="H225" s="38" t="str">
        <f>IF(A225="","",IFERROR(VLOOKUP(VLOOKUP(A225,BOOKINGS!$A:$Q,7,FALSE),SETUP_RATES!$A:$H,8,FALSE),0))</f>
        <v/>
      </c>
      <c r="I225" s="38" t="str">
        <f t="shared" si="1"/>
        <v/>
      </c>
      <c r="J225" s="38" t="str">
        <f>IF(A225="","",IFERROR(VLOOKUP(A225,BOOKINGS!$A:$Q,13,FALSE),0))</f>
        <v/>
      </c>
      <c r="K225" s="38" t="str">
        <f t="shared" si="2"/>
        <v/>
      </c>
      <c r="L225" s="38" t="str">
        <f t="shared" si="3"/>
        <v/>
      </c>
    </row>
    <row r="226" ht="15.75" customHeight="1">
      <c r="A226" s="33" t="str">
        <f>IF(BOOKINGS!A226="","",BOOKINGS!A226)</f>
        <v/>
      </c>
      <c r="B226" s="38" t="str">
        <f>IF(A226="","",MAX(VLOOKUP(A226,BOOKINGS!$A:$Q,6,FALSE)*VLOOKUP(VLOOKUP(A226,BOOKINGS!$A:$Q,7,FALSE),SETUP_RATES!$A:$H,3,FALSE),VLOOKUP(VLOOKUP(A226,BOOKINGS!$A:$Q,7,FALSE),SETUP_RATES!$A:$H,2,FALSE)))</f>
        <v/>
      </c>
      <c r="C226" s="38" t="str">
        <f>IF(A226="","",VLOOKUP(A226,BOOKINGS!$A:$Q,10,FALSE)*VLOOKUP(VLOOKUP(A226,BOOKINGS!$A:$Q,7,FALSE),SETUP_RATES!$A:$H,6,FALSE))</f>
        <v/>
      </c>
      <c r="D226" s="38" t="str">
        <f>IF(A226="","",MAX(0,VLOOKUP(A226,TRIP_ACTUALS!$A:$O,8,FALSE)-SETUP_RATES!$K$2)*SETUP_RATES!$K$3)</f>
        <v/>
      </c>
      <c r="E226" s="38" t="str">
        <f>IF(A226="","",VLOOKUP(A226,TRIP_ACTUALS!$A:$O,9,FALSE)*VLOOKUP(VLOOKUP(A226,BOOKINGS!$A:$Q,7,FALSE),SETUP_RATES!$A:$H,5,FALSE))</f>
        <v/>
      </c>
      <c r="F226" s="38" t="str">
        <f>IF(A226="","",IFERROR(VLOOKUP(A226,TRIP_ACTUALS!$A:$O,5,FALSE),0))</f>
        <v/>
      </c>
      <c r="G226" s="38" t="str">
        <f>IF(A226="","",IFERROR(VLOOKUP(A226,TRIP_ACTUALS!$A:$O,6,FALSE),0)+IFERROR(VLOOKUP(A226,TRIP_ACTUALS!$A:$O,7,FALSE),0))</f>
        <v/>
      </c>
      <c r="H226" s="38" t="str">
        <f>IF(A226="","",IFERROR(VLOOKUP(VLOOKUP(A226,BOOKINGS!$A:$Q,7,FALSE),SETUP_RATES!$A:$H,8,FALSE),0))</f>
        <v/>
      </c>
      <c r="I226" s="38" t="str">
        <f t="shared" si="1"/>
        <v/>
      </c>
      <c r="J226" s="38" t="str">
        <f>IF(A226="","",IFERROR(VLOOKUP(A226,BOOKINGS!$A:$Q,13,FALSE),0))</f>
        <v/>
      </c>
      <c r="K226" s="38" t="str">
        <f t="shared" si="2"/>
        <v/>
      </c>
      <c r="L226" s="38" t="str">
        <f t="shared" si="3"/>
        <v/>
      </c>
    </row>
    <row r="227" ht="15.75" customHeight="1">
      <c r="A227" s="33" t="str">
        <f>IF(BOOKINGS!A227="","",BOOKINGS!A227)</f>
        <v/>
      </c>
      <c r="B227" s="38" t="str">
        <f>IF(A227="","",MAX(VLOOKUP(A227,BOOKINGS!$A:$Q,6,FALSE)*VLOOKUP(VLOOKUP(A227,BOOKINGS!$A:$Q,7,FALSE),SETUP_RATES!$A:$H,3,FALSE),VLOOKUP(VLOOKUP(A227,BOOKINGS!$A:$Q,7,FALSE),SETUP_RATES!$A:$H,2,FALSE)))</f>
        <v/>
      </c>
      <c r="C227" s="38" t="str">
        <f>IF(A227="","",VLOOKUP(A227,BOOKINGS!$A:$Q,10,FALSE)*VLOOKUP(VLOOKUP(A227,BOOKINGS!$A:$Q,7,FALSE),SETUP_RATES!$A:$H,6,FALSE))</f>
        <v/>
      </c>
      <c r="D227" s="38" t="str">
        <f>IF(A227="","",MAX(0,VLOOKUP(A227,TRIP_ACTUALS!$A:$O,8,FALSE)-SETUP_RATES!$K$2)*SETUP_RATES!$K$3)</f>
        <v/>
      </c>
      <c r="E227" s="38" t="str">
        <f>IF(A227="","",VLOOKUP(A227,TRIP_ACTUALS!$A:$O,9,FALSE)*VLOOKUP(VLOOKUP(A227,BOOKINGS!$A:$Q,7,FALSE),SETUP_RATES!$A:$H,5,FALSE))</f>
        <v/>
      </c>
      <c r="F227" s="38" t="str">
        <f>IF(A227="","",IFERROR(VLOOKUP(A227,TRIP_ACTUALS!$A:$O,5,FALSE),0))</f>
        <v/>
      </c>
      <c r="G227" s="38" t="str">
        <f>IF(A227="","",IFERROR(VLOOKUP(A227,TRIP_ACTUALS!$A:$O,6,FALSE),0)+IFERROR(VLOOKUP(A227,TRIP_ACTUALS!$A:$O,7,FALSE),0))</f>
        <v/>
      </c>
      <c r="H227" s="38" t="str">
        <f>IF(A227="","",IFERROR(VLOOKUP(VLOOKUP(A227,BOOKINGS!$A:$Q,7,FALSE),SETUP_RATES!$A:$H,8,FALSE),0))</f>
        <v/>
      </c>
      <c r="I227" s="38" t="str">
        <f t="shared" si="1"/>
        <v/>
      </c>
      <c r="J227" s="38" t="str">
        <f>IF(A227="","",IFERROR(VLOOKUP(A227,BOOKINGS!$A:$Q,13,FALSE),0))</f>
        <v/>
      </c>
      <c r="K227" s="38" t="str">
        <f t="shared" si="2"/>
        <v/>
      </c>
      <c r="L227" s="38" t="str">
        <f t="shared" si="3"/>
        <v/>
      </c>
    </row>
    <row r="228" ht="15.75" customHeight="1">
      <c r="A228" s="33" t="str">
        <f>IF(BOOKINGS!A228="","",BOOKINGS!A228)</f>
        <v/>
      </c>
      <c r="B228" s="38" t="str">
        <f>IF(A228="","",MAX(VLOOKUP(A228,BOOKINGS!$A:$Q,6,FALSE)*VLOOKUP(VLOOKUP(A228,BOOKINGS!$A:$Q,7,FALSE),SETUP_RATES!$A:$H,3,FALSE),VLOOKUP(VLOOKUP(A228,BOOKINGS!$A:$Q,7,FALSE),SETUP_RATES!$A:$H,2,FALSE)))</f>
        <v/>
      </c>
      <c r="C228" s="38" t="str">
        <f>IF(A228="","",VLOOKUP(A228,BOOKINGS!$A:$Q,10,FALSE)*VLOOKUP(VLOOKUP(A228,BOOKINGS!$A:$Q,7,FALSE),SETUP_RATES!$A:$H,6,FALSE))</f>
        <v/>
      </c>
      <c r="D228" s="38" t="str">
        <f>IF(A228="","",MAX(0,VLOOKUP(A228,TRIP_ACTUALS!$A:$O,8,FALSE)-SETUP_RATES!$K$2)*SETUP_RATES!$K$3)</f>
        <v/>
      </c>
      <c r="E228" s="38" t="str">
        <f>IF(A228="","",VLOOKUP(A228,TRIP_ACTUALS!$A:$O,9,FALSE)*VLOOKUP(VLOOKUP(A228,BOOKINGS!$A:$Q,7,FALSE),SETUP_RATES!$A:$H,5,FALSE))</f>
        <v/>
      </c>
      <c r="F228" s="38" t="str">
        <f>IF(A228="","",IFERROR(VLOOKUP(A228,TRIP_ACTUALS!$A:$O,5,FALSE),0))</f>
        <v/>
      </c>
      <c r="G228" s="38" t="str">
        <f>IF(A228="","",IFERROR(VLOOKUP(A228,TRIP_ACTUALS!$A:$O,6,FALSE),0)+IFERROR(VLOOKUP(A228,TRIP_ACTUALS!$A:$O,7,FALSE),0))</f>
        <v/>
      </c>
      <c r="H228" s="38" t="str">
        <f>IF(A228="","",IFERROR(VLOOKUP(VLOOKUP(A228,BOOKINGS!$A:$Q,7,FALSE),SETUP_RATES!$A:$H,8,FALSE),0))</f>
        <v/>
      </c>
      <c r="I228" s="38" t="str">
        <f t="shared" si="1"/>
        <v/>
      </c>
      <c r="J228" s="38" t="str">
        <f>IF(A228="","",IFERROR(VLOOKUP(A228,BOOKINGS!$A:$Q,13,FALSE),0))</f>
        <v/>
      </c>
      <c r="K228" s="38" t="str">
        <f t="shared" si="2"/>
        <v/>
      </c>
      <c r="L228" s="38" t="str">
        <f t="shared" si="3"/>
        <v/>
      </c>
    </row>
    <row r="229" ht="15.75" customHeight="1">
      <c r="A229" s="33" t="str">
        <f>IF(BOOKINGS!A229="","",BOOKINGS!A229)</f>
        <v/>
      </c>
      <c r="B229" s="38" t="str">
        <f>IF(A229="","",MAX(VLOOKUP(A229,BOOKINGS!$A:$Q,6,FALSE)*VLOOKUP(VLOOKUP(A229,BOOKINGS!$A:$Q,7,FALSE),SETUP_RATES!$A:$H,3,FALSE),VLOOKUP(VLOOKUP(A229,BOOKINGS!$A:$Q,7,FALSE),SETUP_RATES!$A:$H,2,FALSE)))</f>
        <v/>
      </c>
      <c r="C229" s="38" t="str">
        <f>IF(A229="","",VLOOKUP(A229,BOOKINGS!$A:$Q,10,FALSE)*VLOOKUP(VLOOKUP(A229,BOOKINGS!$A:$Q,7,FALSE),SETUP_RATES!$A:$H,6,FALSE))</f>
        <v/>
      </c>
      <c r="D229" s="38" t="str">
        <f>IF(A229="","",MAX(0,VLOOKUP(A229,TRIP_ACTUALS!$A:$O,8,FALSE)-SETUP_RATES!$K$2)*SETUP_RATES!$K$3)</f>
        <v/>
      </c>
      <c r="E229" s="38" t="str">
        <f>IF(A229="","",VLOOKUP(A229,TRIP_ACTUALS!$A:$O,9,FALSE)*VLOOKUP(VLOOKUP(A229,BOOKINGS!$A:$Q,7,FALSE),SETUP_RATES!$A:$H,5,FALSE))</f>
        <v/>
      </c>
      <c r="F229" s="38" t="str">
        <f>IF(A229="","",IFERROR(VLOOKUP(A229,TRIP_ACTUALS!$A:$O,5,FALSE),0))</f>
        <v/>
      </c>
      <c r="G229" s="38" t="str">
        <f>IF(A229="","",IFERROR(VLOOKUP(A229,TRIP_ACTUALS!$A:$O,6,FALSE),0)+IFERROR(VLOOKUP(A229,TRIP_ACTUALS!$A:$O,7,FALSE),0))</f>
        <v/>
      </c>
      <c r="H229" s="38" t="str">
        <f>IF(A229="","",IFERROR(VLOOKUP(VLOOKUP(A229,BOOKINGS!$A:$Q,7,FALSE),SETUP_RATES!$A:$H,8,FALSE),0))</f>
        <v/>
      </c>
      <c r="I229" s="38" t="str">
        <f t="shared" si="1"/>
        <v/>
      </c>
      <c r="J229" s="38" t="str">
        <f>IF(A229="","",IFERROR(VLOOKUP(A229,BOOKINGS!$A:$Q,13,FALSE),0))</f>
        <v/>
      </c>
      <c r="K229" s="38" t="str">
        <f t="shared" si="2"/>
        <v/>
      </c>
      <c r="L229" s="38" t="str">
        <f t="shared" si="3"/>
        <v/>
      </c>
    </row>
    <row r="230" ht="15.75" customHeight="1">
      <c r="A230" s="33" t="str">
        <f>IF(BOOKINGS!A230="","",BOOKINGS!A230)</f>
        <v/>
      </c>
      <c r="B230" s="38" t="str">
        <f>IF(A230="","",MAX(VLOOKUP(A230,BOOKINGS!$A:$Q,6,FALSE)*VLOOKUP(VLOOKUP(A230,BOOKINGS!$A:$Q,7,FALSE),SETUP_RATES!$A:$H,3,FALSE),VLOOKUP(VLOOKUP(A230,BOOKINGS!$A:$Q,7,FALSE),SETUP_RATES!$A:$H,2,FALSE)))</f>
        <v/>
      </c>
      <c r="C230" s="38" t="str">
        <f>IF(A230="","",VLOOKUP(A230,BOOKINGS!$A:$Q,10,FALSE)*VLOOKUP(VLOOKUP(A230,BOOKINGS!$A:$Q,7,FALSE),SETUP_RATES!$A:$H,6,FALSE))</f>
        <v/>
      </c>
      <c r="D230" s="38" t="str">
        <f>IF(A230="","",MAX(0,VLOOKUP(A230,TRIP_ACTUALS!$A:$O,8,FALSE)-SETUP_RATES!$K$2)*SETUP_RATES!$K$3)</f>
        <v/>
      </c>
      <c r="E230" s="38" t="str">
        <f>IF(A230="","",VLOOKUP(A230,TRIP_ACTUALS!$A:$O,9,FALSE)*VLOOKUP(VLOOKUP(A230,BOOKINGS!$A:$Q,7,FALSE),SETUP_RATES!$A:$H,5,FALSE))</f>
        <v/>
      </c>
      <c r="F230" s="38" t="str">
        <f>IF(A230="","",IFERROR(VLOOKUP(A230,TRIP_ACTUALS!$A:$O,5,FALSE),0))</f>
        <v/>
      </c>
      <c r="G230" s="38" t="str">
        <f>IF(A230="","",IFERROR(VLOOKUP(A230,TRIP_ACTUALS!$A:$O,6,FALSE),0)+IFERROR(VLOOKUP(A230,TRIP_ACTUALS!$A:$O,7,FALSE),0))</f>
        <v/>
      </c>
      <c r="H230" s="38" t="str">
        <f>IF(A230="","",IFERROR(VLOOKUP(VLOOKUP(A230,BOOKINGS!$A:$Q,7,FALSE),SETUP_RATES!$A:$H,8,FALSE),0))</f>
        <v/>
      </c>
      <c r="I230" s="38" t="str">
        <f t="shared" si="1"/>
        <v/>
      </c>
      <c r="J230" s="38" t="str">
        <f>IF(A230="","",IFERROR(VLOOKUP(A230,BOOKINGS!$A:$Q,13,FALSE),0))</f>
        <v/>
      </c>
      <c r="K230" s="38" t="str">
        <f t="shared" si="2"/>
        <v/>
      </c>
      <c r="L230" s="38" t="str">
        <f t="shared" si="3"/>
        <v/>
      </c>
    </row>
    <row r="231" ht="15.75" customHeight="1">
      <c r="A231" s="33" t="str">
        <f>IF(BOOKINGS!A231="","",BOOKINGS!A231)</f>
        <v/>
      </c>
      <c r="B231" s="38" t="str">
        <f>IF(A231="","",MAX(VLOOKUP(A231,BOOKINGS!$A:$Q,6,FALSE)*VLOOKUP(VLOOKUP(A231,BOOKINGS!$A:$Q,7,FALSE),SETUP_RATES!$A:$H,3,FALSE),VLOOKUP(VLOOKUP(A231,BOOKINGS!$A:$Q,7,FALSE),SETUP_RATES!$A:$H,2,FALSE)))</f>
        <v/>
      </c>
      <c r="C231" s="38" t="str">
        <f>IF(A231="","",VLOOKUP(A231,BOOKINGS!$A:$Q,10,FALSE)*VLOOKUP(VLOOKUP(A231,BOOKINGS!$A:$Q,7,FALSE),SETUP_RATES!$A:$H,6,FALSE))</f>
        <v/>
      </c>
      <c r="D231" s="38" t="str">
        <f>IF(A231="","",MAX(0,VLOOKUP(A231,TRIP_ACTUALS!$A:$O,8,FALSE)-SETUP_RATES!$K$2)*SETUP_RATES!$K$3)</f>
        <v/>
      </c>
      <c r="E231" s="38" t="str">
        <f>IF(A231="","",VLOOKUP(A231,TRIP_ACTUALS!$A:$O,9,FALSE)*VLOOKUP(VLOOKUP(A231,BOOKINGS!$A:$Q,7,FALSE),SETUP_RATES!$A:$H,5,FALSE))</f>
        <v/>
      </c>
      <c r="F231" s="38" t="str">
        <f>IF(A231="","",IFERROR(VLOOKUP(A231,TRIP_ACTUALS!$A:$O,5,FALSE),0))</f>
        <v/>
      </c>
      <c r="G231" s="38" t="str">
        <f>IF(A231="","",IFERROR(VLOOKUP(A231,TRIP_ACTUALS!$A:$O,6,FALSE),0)+IFERROR(VLOOKUP(A231,TRIP_ACTUALS!$A:$O,7,FALSE),0))</f>
        <v/>
      </c>
      <c r="H231" s="38" t="str">
        <f>IF(A231="","",IFERROR(VLOOKUP(VLOOKUP(A231,BOOKINGS!$A:$Q,7,FALSE),SETUP_RATES!$A:$H,8,FALSE),0))</f>
        <v/>
      </c>
      <c r="I231" s="38" t="str">
        <f t="shared" si="1"/>
        <v/>
      </c>
      <c r="J231" s="38" t="str">
        <f>IF(A231="","",IFERROR(VLOOKUP(A231,BOOKINGS!$A:$Q,13,FALSE),0))</f>
        <v/>
      </c>
      <c r="K231" s="38" t="str">
        <f t="shared" si="2"/>
        <v/>
      </c>
      <c r="L231" s="38" t="str">
        <f t="shared" si="3"/>
        <v/>
      </c>
    </row>
    <row r="232" ht="15.75" customHeight="1">
      <c r="A232" s="33" t="str">
        <f>IF(BOOKINGS!A232="","",BOOKINGS!A232)</f>
        <v/>
      </c>
      <c r="B232" s="38" t="str">
        <f>IF(A232="","",MAX(VLOOKUP(A232,BOOKINGS!$A:$Q,6,FALSE)*VLOOKUP(VLOOKUP(A232,BOOKINGS!$A:$Q,7,FALSE),SETUP_RATES!$A:$H,3,FALSE),VLOOKUP(VLOOKUP(A232,BOOKINGS!$A:$Q,7,FALSE),SETUP_RATES!$A:$H,2,FALSE)))</f>
        <v/>
      </c>
      <c r="C232" s="38" t="str">
        <f>IF(A232="","",VLOOKUP(A232,BOOKINGS!$A:$Q,10,FALSE)*VLOOKUP(VLOOKUP(A232,BOOKINGS!$A:$Q,7,FALSE),SETUP_RATES!$A:$H,6,FALSE))</f>
        <v/>
      </c>
      <c r="D232" s="38" t="str">
        <f>IF(A232="","",MAX(0,VLOOKUP(A232,TRIP_ACTUALS!$A:$O,8,FALSE)-SETUP_RATES!$K$2)*SETUP_RATES!$K$3)</f>
        <v/>
      </c>
      <c r="E232" s="38" t="str">
        <f>IF(A232="","",VLOOKUP(A232,TRIP_ACTUALS!$A:$O,9,FALSE)*VLOOKUP(VLOOKUP(A232,BOOKINGS!$A:$Q,7,FALSE),SETUP_RATES!$A:$H,5,FALSE))</f>
        <v/>
      </c>
      <c r="F232" s="38" t="str">
        <f>IF(A232="","",IFERROR(VLOOKUP(A232,TRIP_ACTUALS!$A:$O,5,FALSE),0))</f>
        <v/>
      </c>
      <c r="G232" s="38" t="str">
        <f>IF(A232="","",IFERROR(VLOOKUP(A232,TRIP_ACTUALS!$A:$O,6,FALSE),0)+IFERROR(VLOOKUP(A232,TRIP_ACTUALS!$A:$O,7,FALSE),0))</f>
        <v/>
      </c>
      <c r="H232" s="38" t="str">
        <f>IF(A232="","",IFERROR(VLOOKUP(VLOOKUP(A232,BOOKINGS!$A:$Q,7,FALSE),SETUP_RATES!$A:$H,8,FALSE),0))</f>
        <v/>
      </c>
      <c r="I232" s="38" t="str">
        <f t="shared" si="1"/>
        <v/>
      </c>
      <c r="J232" s="38" t="str">
        <f>IF(A232="","",IFERROR(VLOOKUP(A232,BOOKINGS!$A:$Q,13,FALSE),0))</f>
        <v/>
      </c>
      <c r="K232" s="38" t="str">
        <f t="shared" si="2"/>
        <v/>
      </c>
      <c r="L232" s="38" t="str">
        <f t="shared" si="3"/>
        <v/>
      </c>
    </row>
    <row r="233" ht="15.75" customHeight="1">
      <c r="A233" s="33" t="str">
        <f>IF(BOOKINGS!A233="","",BOOKINGS!A233)</f>
        <v/>
      </c>
      <c r="B233" s="38" t="str">
        <f>IF(A233="","",MAX(VLOOKUP(A233,BOOKINGS!$A:$Q,6,FALSE)*VLOOKUP(VLOOKUP(A233,BOOKINGS!$A:$Q,7,FALSE),SETUP_RATES!$A:$H,3,FALSE),VLOOKUP(VLOOKUP(A233,BOOKINGS!$A:$Q,7,FALSE),SETUP_RATES!$A:$H,2,FALSE)))</f>
        <v/>
      </c>
      <c r="C233" s="38" t="str">
        <f>IF(A233="","",VLOOKUP(A233,BOOKINGS!$A:$Q,10,FALSE)*VLOOKUP(VLOOKUP(A233,BOOKINGS!$A:$Q,7,FALSE),SETUP_RATES!$A:$H,6,FALSE))</f>
        <v/>
      </c>
      <c r="D233" s="38" t="str">
        <f>IF(A233="","",MAX(0,VLOOKUP(A233,TRIP_ACTUALS!$A:$O,8,FALSE)-SETUP_RATES!$K$2)*SETUP_RATES!$K$3)</f>
        <v/>
      </c>
      <c r="E233" s="38" t="str">
        <f>IF(A233="","",VLOOKUP(A233,TRIP_ACTUALS!$A:$O,9,FALSE)*VLOOKUP(VLOOKUP(A233,BOOKINGS!$A:$Q,7,FALSE),SETUP_RATES!$A:$H,5,FALSE))</f>
        <v/>
      </c>
      <c r="F233" s="38" t="str">
        <f>IF(A233="","",IFERROR(VLOOKUP(A233,TRIP_ACTUALS!$A:$O,5,FALSE),0))</f>
        <v/>
      </c>
      <c r="G233" s="38" t="str">
        <f>IF(A233="","",IFERROR(VLOOKUP(A233,TRIP_ACTUALS!$A:$O,6,FALSE),0)+IFERROR(VLOOKUP(A233,TRIP_ACTUALS!$A:$O,7,FALSE),0))</f>
        <v/>
      </c>
      <c r="H233" s="38" t="str">
        <f>IF(A233="","",IFERROR(VLOOKUP(VLOOKUP(A233,BOOKINGS!$A:$Q,7,FALSE),SETUP_RATES!$A:$H,8,FALSE),0))</f>
        <v/>
      </c>
      <c r="I233" s="38" t="str">
        <f t="shared" si="1"/>
        <v/>
      </c>
      <c r="J233" s="38" t="str">
        <f>IF(A233="","",IFERROR(VLOOKUP(A233,BOOKINGS!$A:$Q,13,FALSE),0))</f>
        <v/>
      </c>
      <c r="K233" s="38" t="str">
        <f t="shared" si="2"/>
        <v/>
      </c>
      <c r="L233" s="38" t="str">
        <f t="shared" si="3"/>
        <v/>
      </c>
    </row>
    <row r="234" ht="15.75" customHeight="1">
      <c r="A234" s="33" t="str">
        <f>IF(BOOKINGS!A234="","",BOOKINGS!A234)</f>
        <v/>
      </c>
      <c r="B234" s="38" t="str">
        <f>IF(A234="","",MAX(VLOOKUP(A234,BOOKINGS!$A:$Q,6,FALSE)*VLOOKUP(VLOOKUP(A234,BOOKINGS!$A:$Q,7,FALSE),SETUP_RATES!$A:$H,3,FALSE),VLOOKUP(VLOOKUP(A234,BOOKINGS!$A:$Q,7,FALSE),SETUP_RATES!$A:$H,2,FALSE)))</f>
        <v/>
      </c>
      <c r="C234" s="38" t="str">
        <f>IF(A234="","",VLOOKUP(A234,BOOKINGS!$A:$Q,10,FALSE)*VLOOKUP(VLOOKUP(A234,BOOKINGS!$A:$Q,7,FALSE),SETUP_RATES!$A:$H,6,FALSE))</f>
        <v/>
      </c>
      <c r="D234" s="38" t="str">
        <f>IF(A234="","",MAX(0,VLOOKUP(A234,TRIP_ACTUALS!$A:$O,8,FALSE)-SETUP_RATES!$K$2)*SETUP_RATES!$K$3)</f>
        <v/>
      </c>
      <c r="E234" s="38" t="str">
        <f>IF(A234="","",VLOOKUP(A234,TRIP_ACTUALS!$A:$O,9,FALSE)*VLOOKUP(VLOOKUP(A234,BOOKINGS!$A:$Q,7,FALSE),SETUP_RATES!$A:$H,5,FALSE))</f>
        <v/>
      </c>
      <c r="F234" s="38" t="str">
        <f>IF(A234="","",IFERROR(VLOOKUP(A234,TRIP_ACTUALS!$A:$O,5,FALSE),0))</f>
        <v/>
      </c>
      <c r="G234" s="38" t="str">
        <f>IF(A234="","",IFERROR(VLOOKUP(A234,TRIP_ACTUALS!$A:$O,6,FALSE),0)+IFERROR(VLOOKUP(A234,TRIP_ACTUALS!$A:$O,7,FALSE),0))</f>
        <v/>
      </c>
      <c r="H234" s="38" t="str">
        <f>IF(A234="","",IFERROR(VLOOKUP(VLOOKUP(A234,BOOKINGS!$A:$Q,7,FALSE),SETUP_RATES!$A:$H,8,FALSE),0))</f>
        <v/>
      </c>
      <c r="I234" s="38" t="str">
        <f t="shared" si="1"/>
        <v/>
      </c>
      <c r="J234" s="38" t="str">
        <f>IF(A234="","",IFERROR(VLOOKUP(A234,BOOKINGS!$A:$Q,13,FALSE),0))</f>
        <v/>
      </c>
      <c r="K234" s="38" t="str">
        <f t="shared" si="2"/>
        <v/>
      </c>
      <c r="L234" s="38" t="str">
        <f t="shared" si="3"/>
        <v/>
      </c>
    </row>
    <row r="235" ht="15.75" customHeight="1">
      <c r="A235" s="33" t="str">
        <f>IF(BOOKINGS!A235="","",BOOKINGS!A235)</f>
        <v/>
      </c>
      <c r="B235" s="38" t="str">
        <f>IF(A235="","",MAX(VLOOKUP(A235,BOOKINGS!$A:$Q,6,FALSE)*VLOOKUP(VLOOKUP(A235,BOOKINGS!$A:$Q,7,FALSE),SETUP_RATES!$A:$H,3,FALSE),VLOOKUP(VLOOKUP(A235,BOOKINGS!$A:$Q,7,FALSE),SETUP_RATES!$A:$H,2,FALSE)))</f>
        <v/>
      </c>
      <c r="C235" s="38" t="str">
        <f>IF(A235="","",VLOOKUP(A235,BOOKINGS!$A:$Q,10,FALSE)*VLOOKUP(VLOOKUP(A235,BOOKINGS!$A:$Q,7,FALSE),SETUP_RATES!$A:$H,6,FALSE))</f>
        <v/>
      </c>
      <c r="D235" s="38" t="str">
        <f>IF(A235="","",MAX(0,VLOOKUP(A235,TRIP_ACTUALS!$A:$O,8,FALSE)-SETUP_RATES!$K$2)*SETUP_RATES!$K$3)</f>
        <v/>
      </c>
      <c r="E235" s="38" t="str">
        <f>IF(A235="","",VLOOKUP(A235,TRIP_ACTUALS!$A:$O,9,FALSE)*VLOOKUP(VLOOKUP(A235,BOOKINGS!$A:$Q,7,FALSE),SETUP_RATES!$A:$H,5,FALSE))</f>
        <v/>
      </c>
      <c r="F235" s="38" t="str">
        <f>IF(A235="","",IFERROR(VLOOKUP(A235,TRIP_ACTUALS!$A:$O,5,FALSE),0))</f>
        <v/>
      </c>
      <c r="G235" s="38" t="str">
        <f>IF(A235="","",IFERROR(VLOOKUP(A235,TRIP_ACTUALS!$A:$O,6,FALSE),0)+IFERROR(VLOOKUP(A235,TRIP_ACTUALS!$A:$O,7,FALSE),0))</f>
        <v/>
      </c>
      <c r="H235" s="38" t="str">
        <f>IF(A235="","",IFERROR(VLOOKUP(VLOOKUP(A235,BOOKINGS!$A:$Q,7,FALSE),SETUP_RATES!$A:$H,8,FALSE),0))</f>
        <v/>
      </c>
      <c r="I235" s="38" t="str">
        <f t="shared" si="1"/>
        <v/>
      </c>
      <c r="J235" s="38" t="str">
        <f>IF(A235="","",IFERROR(VLOOKUP(A235,BOOKINGS!$A:$Q,13,FALSE),0))</f>
        <v/>
      </c>
      <c r="K235" s="38" t="str">
        <f t="shared" si="2"/>
        <v/>
      </c>
      <c r="L235" s="38" t="str">
        <f t="shared" si="3"/>
        <v/>
      </c>
    </row>
    <row r="236" ht="15.75" customHeight="1">
      <c r="A236" s="33" t="str">
        <f>IF(BOOKINGS!A236="","",BOOKINGS!A236)</f>
        <v/>
      </c>
      <c r="B236" s="38" t="str">
        <f>IF(A236="","",MAX(VLOOKUP(A236,BOOKINGS!$A:$Q,6,FALSE)*VLOOKUP(VLOOKUP(A236,BOOKINGS!$A:$Q,7,FALSE),SETUP_RATES!$A:$H,3,FALSE),VLOOKUP(VLOOKUP(A236,BOOKINGS!$A:$Q,7,FALSE),SETUP_RATES!$A:$H,2,FALSE)))</f>
        <v/>
      </c>
      <c r="C236" s="38" t="str">
        <f>IF(A236="","",VLOOKUP(A236,BOOKINGS!$A:$Q,10,FALSE)*VLOOKUP(VLOOKUP(A236,BOOKINGS!$A:$Q,7,FALSE),SETUP_RATES!$A:$H,6,FALSE))</f>
        <v/>
      </c>
      <c r="D236" s="38" t="str">
        <f>IF(A236="","",MAX(0,VLOOKUP(A236,TRIP_ACTUALS!$A:$O,8,FALSE)-SETUP_RATES!$K$2)*SETUP_RATES!$K$3)</f>
        <v/>
      </c>
      <c r="E236" s="38" t="str">
        <f>IF(A236="","",VLOOKUP(A236,TRIP_ACTUALS!$A:$O,9,FALSE)*VLOOKUP(VLOOKUP(A236,BOOKINGS!$A:$Q,7,FALSE),SETUP_RATES!$A:$H,5,FALSE))</f>
        <v/>
      </c>
      <c r="F236" s="38" t="str">
        <f>IF(A236="","",IFERROR(VLOOKUP(A236,TRIP_ACTUALS!$A:$O,5,FALSE),0))</f>
        <v/>
      </c>
      <c r="G236" s="38" t="str">
        <f>IF(A236="","",IFERROR(VLOOKUP(A236,TRIP_ACTUALS!$A:$O,6,FALSE),0)+IFERROR(VLOOKUP(A236,TRIP_ACTUALS!$A:$O,7,FALSE),0))</f>
        <v/>
      </c>
      <c r="H236" s="38" t="str">
        <f>IF(A236="","",IFERROR(VLOOKUP(VLOOKUP(A236,BOOKINGS!$A:$Q,7,FALSE),SETUP_RATES!$A:$H,8,FALSE),0))</f>
        <v/>
      </c>
      <c r="I236" s="38" t="str">
        <f t="shared" si="1"/>
        <v/>
      </c>
      <c r="J236" s="38" t="str">
        <f>IF(A236="","",IFERROR(VLOOKUP(A236,BOOKINGS!$A:$Q,13,FALSE),0))</f>
        <v/>
      </c>
      <c r="K236" s="38" t="str">
        <f t="shared" si="2"/>
        <v/>
      </c>
      <c r="L236" s="38" t="str">
        <f t="shared" si="3"/>
        <v/>
      </c>
    </row>
    <row r="237" ht="15.75" customHeight="1">
      <c r="A237" s="33" t="str">
        <f>IF(BOOKINGS!A237="","",BOOKINGS!A237)</f>
        <v/>
      </c>
      <c r="B237" s="38" t="str">
        <f>IF(A237="","",MAX(VLOOKUP(A237,BOOKINGS!$A:$Q,6,FALSE)*VLOOKUP(VLOOKUP(A237,BOOKINGS!$A:$Q,7,FALSE),SETUP_RATES!$A:$H,3,FALSE),VLOOKUP(VLOOKUP(A237,BOOKINGS!$A:$Q,7,FALSE),SETUP_RATES!$A:$H,2,FALSE)))</f>
        <v/>
      </c>
      <c r="C237" s="38" t="str">
        <f>IF(A237="","",VLOOKUP(A237,BOOKINGS!$A:$Q,10,FALSE)*VLOOKUP(VLOOKUP(A237,BOOKINGS!$A:$Q,7,FALSE),SETUP_RATES!$A:$H,6,FALSE))</f>
        <v/>
      </c>
      <c r="D237" s="38" t="str">
        <f>IF(A237="","",MAX(0,VLOOKUP(A237,TRIP_ACTUALS!$A:$O,8,FALSE)-SETUP_RATES!$K$2)*SETUP_RATES!$K$3)</f>
        <v/>
      </c>
      <c r="E237" s="38" t="str">
        <f>IF(A237="","",VLOOKUP(A237,TRIP_ACTUALS!$A:$O,9,FALSE)*VLOOKUP(VLOOKUP(A237,BOOKINGS!$A:$Q,7,FALSE),SETUP_RATES!$A:$H,5,FALSE))</f>
        <v/>
      </c>
      <c r="F237" s="38" t="str">
        <f>IF(A237="","",IFERROR(VLOOKUP(A237,TRIP_ACTUALS!$A:$O,5,FALSE),0))</f>
        <v/>
      </c>
      <c r="G237" s="38" t="str">
        <f>IF(A237="","",IFERROR(VLOOKUP(A237,TRIP_ACTUALS!$A:$O,6,FALSE),0)+IFERROR(VLOOKUP(A237,TRIP_ACTUALS!$A:$O,7,FALSE),0))</f>
        <v/>
      </c>
      <c r="H237" s="38" t="str">
        <f>IF(A237="","",IFERROR(VLOOKUP(VLOOKUP(A237,BOOKINGS!$A:$Q,7,FALSE),SETUP_RATES!$A:$H,8,FALSE),0))</f>
        <v/>
      </c>
      <c r="I237" s="38" t="str">
        <f t="shared" si="1"/>
        <v/>
      </c>
      <c r="J237" s="38" t="str">
        <f>IF(A237="","",IFERROR(VLOOKUP(A237,BOOKINGS!$A:$Q,13,FALSE),0))</f>
        <v/>
      </c>
      <c r="K237" s="38" t="str">
        <f t="shared" si="2"/>
        <v/>
      </c>
      <c r="L237" s="38" t="str">
        <f t="shared" si="3"/>
        <v/>
      </c>
    </row>
    <row r="238" ht="15.75" customHeight="1">
      <c r="A238" s="33" t="str">
        <f>IF(BOOKINGS!A238="","",BOOKINGS!A238)</f>
        <v/>
      </c>
      <c r="B238" s="38" t="str">
        <f>IF(A238="","",MAX(VLOOKUP(A238,BOOKINGS!$A:$Q,6,FALSE)*VLOOKUP(VLOOKUP(A238,BOOKINGS!$A:$Q,7,FALSE),SETUP_RATES!$A:$H,3,FALSE),VLOOKUP(VLOOKUP(A238,BOOKINGS!$A:$Q,7,FALSE),SETUP_RATES!$A:$H,2,FALSE)))</f>
        <v/>
      </c>
      <c r="C238" s="38" t="str">
        <f>IF(A238="","",VLOOKUP(A238,BOOKINGS!$A:$Q,10,FALSE)*VLOOKUP(VLOOKUP(A238,BOOKINGS!$A:$Q,7,FALSE),SETUP_RATES!$A:$H,6,FALSE))</f>
        <v/>
      </c>
      <c r="D238" s="38" t="str">
        <f>IF(A238="","",MAX(0,VLOOKUP(A238,TRIP_ACTUALS!$A:$O,8,FALSE)-SETUP_RATES!$K$2)*SETUP_RATES!$K$3)</f>
        <v/>
      </c>
      <c r="E238" s="38" t="str">
        <f>IF(A238="","",VLOOKUP(A238,TRIP_ACTUALS!$A:$O,9,FALSE)*VLOOKUP(VLOOKUP(A238,BOOKINGS!$A:$Q,7,FALSE),SETUP_RATES!$A:$H,5,FALSE))</f>
        <v/>
      </c>
      <c r="F238" s="38" t="str">
        <f>IF(A238="","",IFERROR(VLOOKUP(A238,TRIP_ACTUALS!$A:$O,5,FALSE),0))</f>
        <v/>
      </c>
      <c r="G238" s="38" t="str">
        <f>IF(A238="","",IFERROR(VLOOKUP(A238,TRIP_ACTUALS!$A:$O,6,FALSE),0)+IFERROR(VLOOKUP(A238,TRIP_ACTUALS!$A:$O,7,FALSE),0))</f>
        <v/>
      </c>
      <c r="H238" s="38" t="str">
        <f>IF(A238="","",IFERROR(VLOOKUP(VLOOKUP(A238,BOOKINGS!$A:$Q,7,FALSE),SETUP_RATES!$A:$H,8,FALSE),0))</f>
        <v/>
      </c>
      <c r="I238" s="38" t="str">
        <f t="shared" si="1"/>
        <v/>
      </c>
      <c r="J238" s="38" t="str">
        <f>IF(A238="","",IFERROR(VLOOKUP(A238,BOOKINGS!$A:$Q,13,FALSE),0))</f>
        <v/>
      </c>
      <c r="K238" s="38" t="str">
        <f t="shared" si="2"/>
        <v/>
      </c>
      <c r="L238" s="38" t="str">
        <f t="shared" si="3"/>
        <v/>
      </c>
    </row>
    <row r="239" ht="15.75" customHeight="1">
      <c r="A239" s="33" t="str">
        <f>IF(BOOKINGS!A239="","",BOOKINGS!A239)</f>
        <v/>
      </c>
      <c r="B239" s="38" t="str">
        <f>IF(A239="","",MAX(VLOOKUP(A239,BOOKINGS!$A:$Q,6,FALSE)*VLOOKUP(VLOOKUP(A239,BOOKINGS!$A:$Q,7,FALSE),SETUP_RATES!$A:$H,3,FALSE),VLOOKUP(VLOOKUP(A239,BOOKINGS!$A:$Q,7,FALSE),SETUP_RATES!$A:$H,2,FALSE)))</f>
        <v/>
      </c>
      <c r="C239" s="38" t="str">
        <f>IF(A239="","",VLOOKUP(A239,BOOKINGS!$A:$Q,10,FALSE)*VLOOKUP(VLOOKUP(A239,BOOKINGS!$A:$Q,7,FALSE),SETUP_RATES!$A:$H,6,FALSE))</f>
        <v/>
      </c>
      <c r="D239" s="38" t="str">
        <f>IF(A239="","",MAX(0,VLOOKUP(A239,TRIP_ACTUALS!$A:$O,8,FALSE)-SETUP_RATES!$K$2)*SETUP_RATES!$K$3)</f>
        <v/>
      </c>
      <c r="E239" s="38" t="str">
        <f>IF(A239="","",VLOOKUP(A239,TRIP_ACTUALS!$A:$O,9,FALSE)*VLOOKUP(VLOOKUP(A239,BOOKINGS!$A:$Q,7,FALSE),SETUP_RATES!$A:$H,5,FALSE))</f>
        <v/>
      </c>
      <c r="F239" s="38" t="str">
        <f>IF(A239="","",IFERROR(VLOOKUP(A239,TRIP_ACTUALS!$A:$O,5,FALSE),0))</f>
        <v/>
      </c>
      <c r="G239" s="38" t="str">
        <f>IF(A239="","",IFERROR(VLOOKUP(A239,TRIP_ACTUALS!$A:$O,6,FALSE),0)+IFERROR(VLOOKUP(A239,TRIP_ACTUALS!$A:$O,7,FALSE),0))</f>
        <v/>
      </c>
      <c r="H239" s="38" t="str">
        <f>IF(A239="","",IFERROR(VLOOKUP(VLOOKUP(A239,BOOKINGS!$A:$Q,7,FALSE),SETUP_RATES!$A:$H,8,FALSE),0))</f>
        <v/>
      </c>
      <c r="I239" s="38" t="str">
        <f t="shared" si="1"/>
        <v/>
      </c>
      <c r="J239" s="38" t="str">
        <f>IF(A239="","",IFERROR(VLOOKUP(A239,BOOKINGS!$A:$Q,13,FALSE),0))</f>
        <v/>
      </c>
      <c r="K239" s="38" t="str">
        <f t="shared" si="2"/>
        <v/>
      </c>
      <c r="L239" s="38" t="str">
        <f t="shared" si="3"/>
        <v/>
      </c>
    </row>
    <row r="240" ht="15.75" customHeight="1">
      <c r="A240" s="33" t="str">
        <f>IF(BOOKINGS!A240="","",BOOKINGS!A240)</f>
        <v/>
      </c>
      <c r="B240" s="38" t="str">
        <f>IF(A240="","",MAX(VLOOKUP(A240,BOOKINGS!$A:$Q,6,FALSE)*VLOOKUP(VLOOKUP(A240,BOOKINGS!$A:$Q,7,FALSE),SETUP_RATES!$A:$H,3,FALSE),VLOOKUP(VLOOKUP(A240,BOOKINGS!$A:$Q,7,FALSE),SETUP_RATES!$A:$H,2,FALSE)))</f>
        <v/>
      </c>
      <c r="C240" s="38" t="str">
        <f>IF(A240="","",VLOOKUP(A240,BOOKINGS!$A:$Q,10,FALSE)*VLOOKUP(VLOOKUP(A240,BOOKINGS!$A:$Q,7,FALSE),SETUP_RATES!$A:$H,6,FALSE))</f>
        <v/>
      </c>
      <c r="D240" s="38" t="str">
        <f>IF(A240="","",MAX(0,VLOOKUP(A240,TRIP_ACTUALS!$A:$O,8,FALSE)-SETUP_RATES!$K$2)*SETUP_RATES!$K$3)</f>
        <v/>
      </c>
      <c r="E240" s="38" t="str">
        <f>IF(A240="","",VLOOKUP(A240,TRIP_ACTUALS!$A:$O,9,FALSE)*VLOOKUP(VLOOKUP(A240,BOOKINGS!$A:$Q,7,FALSE),SETUP_RATES!$A:$H,5,FALSE))</f>
        <v/>
      </c>
      <c r="F240" s="38" t="str">
        <f>IF(A240="","",IFERROR(VLOOKUP(A240,TRIP_ACTUALS!$A:$O,5,FALSE),0))</f>
        <v/>
      </c>
      <c r="G240" s="38" t="str">
        <f>IF(A240="","",IFERROR(VLOOKUP(A240,TRIP_ACTUALS!$A:$O,6,FALSE),0)+IFERROR(VLOOKUP(A240,TRIP_ACTUALS!$A:$O,7,FALSE),0))</f>
        <v/>
      </c>
      <c r="H240" s="38" t="str">
        <f>IF(A240="","",IFERROR(VLOOKUP(VLOOKUP(A240,BOOKINGS!$A:$Q,7,FALSE),SETUP_RATES!$A:$H,8,FALSE),0))</f>
        <v/>
      </c>
      <c r="I240" s="38" t="str">
        <f t="shared" si="1"/>
        <v/>
      </c>
      <c r="J240" s="38" t="str">
        <f>IF(A240="","",IFERROR(VLOOKUP(A240,BOOKINGS!$A:$Q,13,FALSE),0))</f>
        <v/>
      </c>
      <c r="K240" s="38" t="str">
        <f t="shared" si="2"/>
        <v/>
      </c>
      <c r="L240" s="38" t="str">
        <f t="shared" si="3"/>
        <v/>
      </c>
    </row>
    <row r="241" ht="15.75" customHeight="1">
      <c r="A241" s="33" t="str">
        <f>IF(BOOKINGS!A241="","",BOOKINGS!A241)</f>
        <v/>
      </c>
      <c r="B241" s="38" t="str">
        <f>IF(A241="","",MAX(VLOOKUP(A241,BOOKINGS!$A:$Q,6,FALSE)*VLOOKUP(VLOOKUP(A241,BOOKINGS!$A:$Q,7,FALSE),SETUP_RATES!$A:$H,3,FALSE),VLOOKUP(VLOOKUP(A241,BOOKINGS!$A:$Q,7,FALSE),SETUP_RATES!$A:$H,2,FALSE)))</f>
        <v/>
      </c>
      <c r="C241" s="38" t="str">
        <f>IF(A241="","",VLOOKUP(A241,BOOKINGS!$A:$Q,10,FALSE)*VLOOKUP(VLOOKUP(A241,BOOKINGS!$A:$Q,7,FALSE),SETUP_RATES!$A:$H,6,FALSE))</f>
        <v/>
      </c>
      <c r="D241" s="38" t="str">
        <f>IF(A241="","",MAX(0,VLOOKUP(A241,TRIP_ACTUALS!$A:$O,8,FALSE)-SETUP_RATES!$K$2)*SETUP_RATES!$K$3)</f>
        <v/>
      </c>
      <c r="E241" s="38" t="str">
        <f>IF(A241="","",VLOOKUP(A241,TRIP_ACTUALS!$A:$O,9,FALSE)*VLOOKUP(VLOOKUP(A241,BOOKINGS!$A:$Q,7,FALSE),SETUP_RATES!$A:$H,5,FALSE))</f>
        <v/>
      </c>
      <c r="F241" s="38" t="str">
        <f>IF(A241="","",IFERROR(VLOOKUP(A241,TRIP_ACTUALS!$A:$O,5,FALSE),0))</f>
        <v/>
      </c>
      <c r="G241" s="38" t="str">
        <f>IF(A241="","",IFERROR(VLOOKUP(A241,TRIP_ACTUALS!$A:$O,6,FALSE),0)+IFERROR(VLOOKUP(A241,TRIP_ACTUALS!$A:$O,7,FALSE),0))</f>
        <v/>
      </c>
      <c r="H241" s="38" t="str">
        <f>IF(A241="","",IFERROR(VLOOKUP(VLOOKUP(A241,BOOKINGS!$A:$Q,7,FALSE),SETUP_RATES!$A:$H,8,FALSE),0))</f>
        <v/>
      </c>
      <c r="I241" s="38" t="str">
        <f t="shared" si="1"/>
        <v/>
      </c>
      <c r="J241" s="38" t="str">
        <f>IF(A241="","",IFERROR(VLOOKUP(A241,BOOKINGS!$A:$Q,13,FALSE),0))</f>
        <v/>
      </c>
      <c r="K241" s="38" t="str">
        <f t="shared" si="2"/>
        <v/>
      </c>
      <c r="L241" s="38" t="str">
        <f t="shared" si="3"/>
        <v/>
      </c>
    </row>
    <row r="242" ht="15.75" customHeight="1">
      <c r="A242" s="33" t="str">
        <f>IF(BOOKINGS!A242="","",BOOKINGS!A242)</f>
        <v/>
      </c>
      <c r="B242" s="38" t="str">
        <f>IF(A242="","",MAX(VLOOKUP(A242,BOOKINGS!$A:$Q,6,FALSE)*VLOOKUP(VLOOKUP(A242,BOOKINGS!$A:$Q,7,FALSE),SETUP_RATES!$A:$H,3,FALSE),VLOOKUP(VLOOKUP(A242,BOOKINGS!$A:$Q,7,FALSE),SETUP_RATES!$A:$H,2,FALSE)))</f>
        <v/>
      </c>
      <c r="C242" s="38" t="str">
        <f>IF(A242="","",VLOOKUP(A242,BOOKINGS!$A:$Q,10,FALSE)*VLOOKUP(VLOOKUP(A242,BOOKINGS!$A:$Q,7,FALSE),SETUP_RATES!$A:$H,6,FALSE))</f>
        <v/>
      </c>
      <c r="D242" s="38" t="str">
        <f>IF(A242="","",MAX(0,VLOOKUP(A242,TRIP_ACTUALS!$A:$O,8,FALSE)-SETUP_RATES!$K$2)*SETUP_RATES!$K$3)</f>
        <v/>
      </c>
      <c r="E242" s="38" t="str">
        <f>IF(A242="","",VLOOKUP(A242,TRIP_ACTUALS!$A:$O,9,FALSE)*VLOOKUP(VLOOKUP(A242,BOOKINGS!$A:$Q,7,FALSE),SETUP_RATES!$A:$H,5,FALSE))</f>
        <v/>
      </c>
      <c r="F242" s="38" t="str">
        <f>IF(A242="","",IFERROR(VLOOKUP(A242,TRIP_ACTUALS!$A:$O,5,FALSE),0))</f>
        <v/>
      </c>
      <c r="G242" s="38" t="str">
        <f>IF(A242="","",IFERROR(VLOOKUP(A242,TRIP_ACTUALS!$A:$O,6,FALSE),0)+IFERROR(VLOOKUP(A242,TRIP_ACTUALS!$A:$O,7,FALSE),0))</f>
        <v/>
      </c>
      <c r="H242" s="38" t="str">
        <f>IF(A242="","",IFERROR(VLOOKUP(VLOOKUP(A242,BOOKINGS!$A:$Q,7,FALSE),SETUP_RATES!$A:$H,8,FALSE),0))</f>
        <v/>
      </c>
      <c r="I242" s="38" t="str">
        <f t="shared" si="1"/>
        <v/>
      </c>
      <c r="J242" s="38" t="str">
        <f>IF(A242="","",IFERROR(VLOOKUP(A242,BOOKINGS!$A:$Q,13,FALSE),0))</f>
        <v/>
      </c>
      <c r="K242" s="38" t="str">
        <f t="shared" si="2"/>
        <v/>
      </c>
      <c r="L242" s="38" t="str">
        <f t="shared" si="3"/>
        <v/>
      </c>
    </row>
    <row r="243" ht="15.75" customHeight="1">
      <c r="A243" s="33" t="str">
        <f>IF(BOOKINGS!A243="","",BOOKINGS!A243)</f>
        <v/>
      </c>
      <c r="B243" s="38" t="str">
        <f>IF(A243="","",MAX(VLOOKUP(A243,BOOKINGS!$A:$Q,6,FALSE)*VLOOKUP(VLOOKUP(A243,BOOKINGS!$A:$Q,7,FALSE),SETUP_RATES!$A:$H,3,FALSE),VLOOKUP(VLOOKUP(A243,BOOKINGS!$A:$Q,7,FALSE),SETUP_RATES!$A:$H,2,FALSE)))</f>
        <v/>
      </c>
      <c r="C243" s="38" t="str">
        <f>IF(A243="","",VLOOKUP(A243,BOOKINGS!$A:$Q,10,FALSE)*VLOOKUP(VLOOKUP(A243,BOOKINGS!$A:$Q,7,FALSE),SETUP_RATES!$A:$H,6,FALSE))</f>
        <v/>
      </c>
      <c r="D243" s="38" t="str">
        <f>IF(A243="","",MAX(0,VLOOKUP(A243,TRIP_ACTUALS!$A:$O,8,FALSE)-SETUP_RATES!$K$2)*SETUP_RATES!$K$3)</f>
        <v/>
      </c>
      <c r="E243" s="38" t="str">
        <f>IF(A243="","",VLOOKUP(A243,TRIP_ACTUALS!$A:$O,9,FALSE)*VLOOKUP(VLOOKUP(A243,BOOKINGS!$A:$Q,7,FALSE),SETUP_RATES!$A:$H,5,FALSE))</f>
        <v/>
      </c>
      <c r="F243" s="38" t="str">
        <f>IF(A243="","",IFERROR(VLOOKUP(A243,TRIP_ACTUALS!$A:$O,5,FALSE),0))</f>
        <v/>
      </c>
      <c r="G243" s="38" t="str">
        <f>IF(A243="","",IFERROR(VLOOKUP(A243,TRIP_ACTUALS!$A:$O,6,FALSE),0)+IFERROR(VLOOKUP(A243,TRIP_ACTUALS!$A:$O,7,FALSE),0))</f>
        <v/>
      </c>
      <c r="H243" s="38" t="str">
        <f>IF(A243="","",IFERROR(VLOOKUP(VLOOKUP(A243,BOOKINGS!$A:$Q,7,FALSE),SETUP_RATES!$A:$H,8,FALSE),0))</f>
        <v/>
      </c>
      <c r="I243" s="38" t="str">
        <f t="shared" si="1"/>
        <v/>
      </c>
      <c r="J243" s="38" t="str">
        <f>IF(A243="","",IFERROR(VLOOKUP(A243,BOOKINGS!$A:$Q,13,FALSE),0))</f>
        <v/>
      </c>
      <c r="K243" s="38" t="str">
        <f t="shared" si="2"/>
        <v/>
      </c>
      <c r="L243" s="38" t="str">
        <f t="shared" si="3"/>
        <v/>
      </c>
    </row>
    <row r="244" ht="15.75" customHeight="1">
      <c r="A244" s="33" t="str">
        <f>IF(BOOKINGS!A244="","",BOOKINGS!A244)</f>
        <v/>
      </c>
      <c r="B244" s="38" t="str">
        <f>IF(A244="","",MAX(VLOOKUP(A244,BOOKINGS!$A:$Q,6,FALSE)*VLOOKUP(VLOOKUP(A244,BOOKINGS!$A:$Q,7,FALSE),SETUP_RATES!$A:$H,3,FALSE),VLOOKUP(VLOOKUP(A244,BOOKINGS!$A:$Q,7,FALSE),SETUP_RATES!$A:$H,2,FALSE)))</f>
        <v/>
      </c>
      <c r="C244" s="38" t="str">
        <f>IF(A244="","",VLOOKUP(A244,BOOKINGS!$A:$Q,10,FALSE)*VLOOKUP(VLOOKUP(A244,BOOKINGS!$A:$Q,7,FALSE),SETUP_RATES!$A:$H,6,FALSE))</f>
        <v/>
      </c>
      <c r="D244" s="38" t="str">
        <f>IF(A244="","",MAX(0,VLOOKUP(A244,TRIP_ACTUALS!$A:$O,8,FALSE)-SETUP_RATES!$K$2)*SETUP_RATES!$K$3)</f>
        <v/>
      </c>
      <c r="E244" s="38" t="str">
        <f>IF(A244="","",VLOOKUP(A244,TRIP_ACTUALS!$A:$O,9,FALSE)*VLOOKUP(VLOOKUP(A244,BOOKINGS!$A:$Q,7,FALSE),SETUP_RATES!$A:$H,5,FALSE))</f>
        <v/>
      </c>
      <c r="F244" s="38" t="str">
        <f>IF(A244="","",IFERROR(VLOOKUP(A244,TRIP_ACTUALS!$A:$O,5,FALSE),0))</f>
        <v/>
      </c>
      <c r="G244" s="38" t="str">
        <f>IF(A244="","",IFERROR(VLOOKUP(A244,TRIP_ACTUALS!$A:$O,6,FALSE),0)+IFERROR(VLOOKUP(A244,TRIP_ACTUALS!$A:$O,7,FALSE),0))</f>
        <v/>
      </c>
      <c r="H244" s="38" t="str">
        <f>IF(A244="","",IFERROR(VLOOKUP(VLOOKUP(A244,BOOKINGS!$A:$Q,7,FALSE),SETUP_RATES!$A:$H,8,FALSE),0))</f>
        <v/>
      </c>
      <c r="I244" s="38" t="str">
        <f t="shared" si="1"/>
        <v/>
      </c>
      <c r="J244" s="38" t="str">
        <f>IF(A244="","",IFERROR(VLOOKUP(A244,BOOKINGS!$A:$Q,13,FALSE),0))</f>
        <v/>
      </c>
      <c r="K244" s="38" t="str">
        <f t="shared" si="2"/>
        <v/>
      </c>
      <c r="L244" s="38" t="str">
        <f t="shared" si="3"/>
        <v/>
      </c>
    </row>
    <row r="245" ht="15.75" customHeight="1">
      <c r="A245" s="33" t="str">
        <f>IF(BOOKINGS!A245="","",BOOKINGS!A245)</f>
        <v/>
      </c>
      <c r="B245" s="38" t="str">
        <f>IF(A245="","",MAX(VLOOKUP(A245,BOOKINGS!$A:$Q,6,FALSE)*VLOOKUP(VLOOKUP(A245,BOOKINGS!$A:$Q,7,FALSE),SETUP_RATES!$A:$H,3,FALSE),VLOOKUP(VLOOKUP(A245,BOOKINGS!$A:$Q,7,FALSE),SETUP_RATES!$A:$H,2,FALSE)))</f>
        <v/>
      </c>
      <c r="C245" s="38" t="str">
        <f>IF(A245="","",VLOOKUP(A245,BOOKINGS!$A:$Q,10,FALSE)*VLOOKUP(VLOOKUP(A245,BOOKINGS!$A:$Q,7,FALSE),SETUP_RATES!$A:$H,6,FALSE))</f>
        <v/>
      </c>
      <c r="D245" s="38" t="str">
        <f>IF(A245="","",MAX(0,VLOOKUP(A245,TRIP_ACTUALS!$A:$O,8,FALSE)-SETUP_RATES!$K$2)*SETUP_RATES!$K$3)</f>
        <v/>
      </c>
      <c r="E245" s="38" t="str">
        <f>IF(A245="","",VLOOKUP(A245,TRIP_ACTUALS!$A:$O,9,FALSE)*VLOOKUP(VLOOKUP(A245,BOOKINGS!$A:$Q,7,FALSE),SETUP_RATES!$A:$H,5,FALSE))</f>
        <v/>
      </c>
      <c r="F245" s="38" t="str">
        <f>IF(A245="","",IFERROR(VLOOKUP(A245,TRIP_ACTUALS!$A:$O,5,FALSE),0))</f>
        <v/>
      </c>
      <c r="G245" s="38" t="str">
        <f>IF(A245="","",IFERROR(VLOOKUP(A245,TRIP_ACTUALS!$A:$O,6,FALSE),0)+IFERROR(VLOOKUP(A245,TRIP_ACTUALS!$A:$O,7,FALSE),0))</f>
        <v/>
      </c>
      <c r="H245" s="38" t="str">
        <f>IF(A245="","",IFERROR(VLOOKUP(VLOOKUP(A245,BOOKINGS!$A:$Q,7,FALSE),SETUP_RATES!$A:$H,8,FALSE),0))</f>
        <v/>
      </c>
      <c r="I245" s="38" t="str">
        <f t="shared" si="1"/>
        <v/>
      </c>
      <c r="J245" s="38" t="str">
        <f>IF(A245="","",IFERROR(VLOOKUP(A245,BOOKINGS!$A:$Q,13,FALSE),0))</f>
        <v/>
      </c>
      <c r="K245" s="38" t="str">
        <f t="shared" si="2"/>
        <v/>
      </c>
      <c r="L245" s="38" t="str">
        <f t="shared" si="3"/>
        <v/>
      </c>
    </row>
    <row r="246" ht="15.75" customHeight="1">
      <c r="A246" s="33" t="str">
        <f>IF(BOOKINGS!A246="","",BOOKINGS!A246)</f>
        <v/>
      </c>
      <c r="B246" s="38" t="str">
        <f>IF(A246="","",MAX(VLOOKUP(A246,BOOKINGS!$A:$Q,6,FALSE)*VLOOKUP(VLOOKUP(A246,BOOKINGS!$A:$Q,7,FALSE),SETUP_RATES!$A:$H,3,FALSE),VLOOKUP(VLOOKUP(A246,BOOKINGS!$A:$Q,7,FALSE),SETUP_RATES!$A:$H,2,FALSE)))</f>
        <v/>
      </c>
      <c r="C246" s="38" t="str">
        <f>IF(A246="","",VLOOKUP(A246,BOOKINGS!$A:$Q,10,FALSE)*VLOOKUP(VLOOKUP(A246,BOOKINGS!$A:$Q,7,FALSE),SETUP_RATES!$A:$H,6,FALSE))</f>
        <v/>
      </c>
      <c r="D246" s="38" t="str">
        <f>IF(A246="","",MAX(0,VLOOKUP(A246,TRIP_ACTUALS!$A:$O,8,FALSE)-SETUP_RATES!$K$2)*SETUP_RATES!$K$3)</f>
        <v/>
      </c>
      <c r="E246" s="38" t="str">
        <f>IF(A246="","",VLOOKUP(A246,TRIP_ACTUALS!$A:$O,9,FALSE)*VLOOKUP(VLOOKUP(A246,BOOKINGS!$A:$Q,7,FALSE),SETUP_RATES!$A:$H,5,FALSE))</f>
        <v/>
      </c>
      <c r="F246" s="38" t="str">
        <f>IF(A246="","",IFERROR(VLOOKUP(A246,TRIP_ACTUALS!$A:$O,5,FALSE),0))</f>
        <v/>
      </c>
      <c r="G246" s="38" t="str">
        <f>IF(A246="","",IFERROR(VLOOKUP(A246,TRIP_ACTUALS!$A:$O,6,FALSE),0)+IFERROR(VLOOKUP(A246,TRIP_ACTUALS!$A:$O,7,FALSE),0))</f>
        <v/>
      </c>
      <c r="H246" s="38" t="str">
        <f>IF(A246="","",IFERROR(VLOOKUP(VLOOKUP(A246,BOOKINGS!$A:$Q,7,FALSE),SETUP_RATES!$A:$H,8,FALSE),0))</f>
        <v/>
      </c>
      <c r="I246" s="38" t="str">
        <f t="shared" si="1"/>
        <v/>
      </c>
      <c r="J246" s="38" t="str">
        <f>IF(A246="","",IFERROR(VLOOKUP(A246,BOOKINGS!$A:$Q,13,FALSE),0))</f>
        <v/>
      </c>
      <c r="K246" s="38" t="str">
        <f t="shared" si="2"/>
        <v/>
      </c>
      <c r="L246" s="38" t="str">
        <f t="shared" si="3"/>
        <v/>
      </c>
    </row>
    <row r="247" ht="15.75" customHeight="1">
      <c r="A247" s="33" t="str">
        <f>IF(BOOKINGS!A247="","",BOOKINGS!A247)</f>
        <v/>
      </c>
      <c r="B247" s="38" t="str">
        <f>IF(A247="","",MAX(VLOOKUP(A247,BOOKINGS!$A:$Q,6,FALSE)*VLOOKUP(VLOOKUP(A247,BOOKINGS!$A:$Q,7,FALSE),SETUP_RATES!$A:$H,3,FALSE),VLOOKUP(VLOOKUP(A247,BOOKINGS!$A:$Q,7,FALSE),SETUP_RATES!$A:$H,2,FALSE)))</f>
        <v/>
      </c>
      <c r="C247" s="38" t="str">
        <f>IF(A247="","",VLOOKUP(A247,BOOKINGS!$A:$Q,10,FALSE)*VLOOKUP(VLOOKUP(A247,BOOKINGS!$A:$Q,7,FALSE),SETUP_RATES!$A:$H,6,FALSE))</f>
        <v/>
      </c>
      <c r="D247" s="38" t="str">
        <f>IF(A247="","",MAX(0,VLOOKUP(A247,TRIP_ACTUALS!$A:$O,8,FALSE)-SETUP_RATES!$K$2)*SETUP_RATES!$K$3)</f>
        <v/>
      </c>
      <c r="E247" s="38" t="str">
        <f>IF(A247="","",VLOOKUP(A247,TRIP_ACTUALS!$A:$O,9,FALSE)*VLOOKUP(VLOOKUP(A247,BOOKINGS!$A:$Q,7,FALSE),SETUP_RATES!$A:$H,5,FALSE))</f>
        <v/>
      </c>
      <c r="F247" s="38" t="str">
        <f>IF(A247="","",IFERROR(VLOOKUP(A247,TRIP_ACTUALS!$A:$O,5,FALSE),0))</f>
        <v/>
      </c>
      <c r="G247" s="38" t="str">
        <f>IF(A247="","",IFERROR(VLOOKUP(A247,TRIP_ACTUALS!$A:$O,6,FALSE),0)+IFERROR(VLOOKUP(A247,TRIP_ACTUALS!$A:$O,7,FALSE),0))</f>
        <v/>
      </c>
      <c r="H247" s="38" t="str">
        <f>IF(A247="","",IFERROR(VLOOKUP(VLOOKUP(A247,BOOKINGS!$A:$Q,7,FALSE),SETUP_RATES!$A:$H,8,FALSE),0))</f>
        <v/>
      </c>
      <c r="I247" s="38" t="str">
        <f t="shared" si="1"/>
        <v/>
      </c>
      <c r="J247" s="38" t="str">
        <f>IF(A247="","",IFERROR(VLOOKUP(A247,BOOKINGS!$A:$Q,13,FALSE),0))</f>
        <v/>
      </c>
      <c r="K247" s="38" t="str">
        <f t="shared" si="2"/>
        <v/>
      </c>
      <c r="L247" s="38" t="str">
        <f t="shared" si="3"/>
        <v/>
      </c>
    </row>
    <row r="248" ht="15.75" customHeight="1">
      <c r="A248" s="33" t="str">
        <f>IF(BOOKINGS!A248="","",BOOKINGS!A248)</f>
        <v/>
      </c>
      <c r="B248" s="38" t="str">
        <f>IF(A248="","",MAX(VLOOKUP(A248,BOOKINGS!$A:$Q,6,FALSE)*VLOOKUP(VLOOKUP(A248,BOOKINGS!$A:$Q,7,FALSE),SETUP_RATES!$A:$H,3,FALSE),VLOOKUP(VLOOKUP(A248,BOOKINGS!$A:$Q,7,FALSE),SETUP_RATES!$A:$H,2,FALSE)))</f>
        <v/>
      </c>
      <c r="C248" s="38" t="str">
        <f>IF(A248="","",VLOOKUP(A248,BOOKINGS!$A:$Q,10,FALSE)*VLOOKUP(VLOOKUP(A248,BOOKINGS!$A:$Q,7,FALSE),SETUP_RATES!$A:$H,6,FALSE))</f>
        <v/>
      </c>
      <c r="D248" s="38" t="str">
        <f>IF(A248="","",MAX(0,VLOOKUP(A248,TRIP_ACTUALS!$A:$O,8,FALSE)-SETUP_RATES!$K$2)*SETUP_RATES!$K$3)</f>
        <v/>
      </c>
      <c r="E248" s="38" t="str">
        <f>IF(A248="","",VLOOKUP(A248,TRIP_ACTUALS!$A:$O,9,FALSE)*VLOOKUP(VLOOKUP(A248,BOOKINGS!$A:$Q,7,FALSE),SETUP_RATES!$A:$H,5,FALSE))</f>
        <v/>
      </c>
      <c r="F248" s="38" t="str">
        <f>IF(A248="","",IFERROR(VLOOKUP(A248,TRIP_ACTUALS!$A:$O,5,FALSE),0))</f>
        <v/>
      </c>
      <c r="G248" s="38" t="str">
        <f>IF(A248="","",IFERROR(VLOOKUP(A248,TRIP_ACTUALS!$A:$O,6,FALSE),0)+IFERROR(VLOOKUP(A248,TRIP_ACTUALS!$A:$O,7,FALSE),0))</f>
        <v/>
      </c>
      <c r="H248" s="38" t="str">
        <f>IF(A248="","",IFERROR(VLOOKUP(VLOOKUP(A248,BOOKINGS!$A:$Q,7,FALSE),SETUP_RATES!$A:$H,8,FALSE),0))</f>
        <v/>
      </c>
      <c r="I248" s="38" t="str">
        <f t="shared" si="1"/>
        <v/>
      </c>
      <c r="J248" s="38" t="str">
        <f>IF(A248="","",IFERROR(VLOOKUP(A248,BOOKINGS!$A:$Q,13,FALSE),0))</f>
        <v/>
      </c>
      <c r="K248" s="38" t="str">
        <f t="shared" si="2"/>
        <v/>
      </c>
      <c r="L248" s="38" t="str">
        <f t="shared" si="3"/>
        <v/>
      </c>
    </row>
    <row r="249" ht="15.75" customHeight="1">
      <c r="A249" s="33" t="str">
        <f>IF(BOOKINGS!A249="","",BOOKINGS!A249)</f>
        <v/>
      </c>
      <c r="B249" s="38" t="str">
        <f>IF(A249="","",MAX(VLOOKUP(A249,BOOKINGS!$A:$Q,6,FALSE)*VLOOKUP(VLOOKUP(A249,BOOKINGS!$A:$Q,7,FALSE),SETUP_RATES!$A:$H,3,FALSE),VLOOKUP(VLOOKUP(A249,BOOKINGS!$A:$Q,7,FALSE),SETUP_RATES!$A:$H,2,FALSE)))</f>
        <v/>
      </c>
      <c r="C249" s="38" t="str">
        <f>IF(A249="","",VLOOKUP(A249,BOOKINGS!$A:$Q,10,FALSE)*VLOOKUP(VLOOKUP(A249,BOOKINGS!$A:$Q,7,FALSE),SETUP_RATES!$A:$H,6,FALSE))</f>
        <v/>
      </c>
      <c r="D249" s="38" t="str">
        <f>IF(A249="","",MAX(0,VLOOKUP(A249,TRIP_ACTUALS!$A:$O,8,FALSE)-SETUP_RATES!$K$2)*SETUP_RATES!$K$3)</f>
        <v/>
      </c>
      <c r="E249" s="38" t="str">
        <f>IF(A249="","",VLOOKUP(A249,TRIP_ACTUALS!$A:$O,9,FALSE)*VLOOKUP(VLOOKUP(A249,BOOKINGS!$A:$Q,7,FALSE),SETUP_RATES!$A:$H,5,FALSE))</f>
        <v/>
      </c>
      <c r="F249" s="38" t="str">
        <f>IF(A249="","",IFERROR(VLOOKUP(A249,TRIP_ACTUALS!$A:$O,5,FALSE),0))</f>
        <v/>
      </c>
      <c r="G249" s="38" t="str">
        <f>IF(A249="","",IFERROR(VLOOKUP(A249,TRIP_ACTUALS!$A:$O,6,FALSE),0)+IFERROR(VLOOKUP(A249,TRIP_ACTUALS!$A:$O,7,FALSE),0))</f>
        <v/>
      </c>
      <c r="H249" s="38" t="str">
        <f>IF(A249="","",IFERROR(VLOOKUP(VLOOKUP(A249,BOOKINGS!$A:$Q,7,FALSE),SETUP_RATES!$A:$H,8,FALSE),0))</f>
        <v/>
      </c>
      <c r="I249" s="38" t="str">
        <f t="shared" si="1"/>
        <v/>
      </c>
      <c r="J249" s="38" t="str">
        <f>IF(A249="","",IFERROR(VLOOKUP(A249,BOOKINGS!$A:$Q,13,FALSE),0))</f>
        <v/>
      </c>
      <c r="K249" s="38" t="str">
        <f t="shared" si="2"/>
        <v/>
      </c>
      <c r="L249" s="38" t="str">
        <f t="shared" si="3"/>
        <v/>
      </c>
    </row>
    <row r="250" ht="15.75" customHeight="1">
      <c r="A250" s="33" t="str">
        <f>IF(BOOKINGS!A250="","",BOOKINGS!A250)</f>
        <v/>
      </c>
      <c r="B250" s="38" t="str">
        <f>IF(A250="","",MAX(VLOOKUP(A250,BOOKINGS!$A:$Q,6,FALSE)*VLOOKUP(VLOOKUP(A250,BOOKINGS!$A:$Q,7,FALSE),SETUP_RATES!$A:$H,3,FALSE),VLOOKUP(VLOOKUP(A250,BOOKINGS!$A:$Q,7,FALSE),SETUP_RATES!$A:$H,2,FALSE)))</f>
        <v/>
      </c>
      <c r="C250" s="38" t="str">
        <f>IF(A250="","",VLOOKUP(A250,BOOKINGS!$A:$Q,10,FALSE)*VLOOKUP(VLOOKUP(A250,BOOKINGS!$A:$Q,7,FALSE),SETUP_RATES!$A:$H,6,FALSE))</f>
        <v/>
      </c>
      <c r="D250" s="38" t="str">
        <f>IF(A250="","",MAX(0,VLOOKUP(A250,TRIP_ACTUALS!$A:$O,8,FALSE)-SETUP_RATES!$K$2)*SETUP_RATES!$K$3)</f>
        <v/>
      </c>
      <c r="E250" s="38" t="str">
        <f>IF(A250="","",VLOOKUP(A250,TRIP_ACTUALS!$A:$O,9,FALSE)*VLOOKUP(VLOOKUP(A250,BOOKINGS!$A:$Q,7,FALSE),SETUP_RATES!$A:$H,5,FALSE))</f>
        <v/>
      </c>
      <c r="F250" s="38" t="str">
        <f>IF(A250="","",IFERROR(VLOOKUP(A250,TRIP_ACTUALS!$A:$O,5,FALSE),0))</f>
        <v/>
      </c>
      <c r="G250" s="38" t="str">
        <f>IF(A250="","",IFERROR(VLOOKUP(A250,TRIP_ACTUALS!$A:$O,6,FALSE),0)+IFERROR(VLOOKUP(A250,TRIP_ACTUALS!$A:$O,7,FALSE),0))</f>
        <v/>
      </c>
      <c r="H250" s="38" t="str">
        <f>IF(A250="","",IFERROR(VLOOKUP(VLOOKUP(A250,BOOKINGS!$A:$Q,7,FALSE),SETUP_RATES!$A:$H,8,FALSE),0))</f>
        <v/>
      </c>
      <c r="I250" s="38" t="str">
        <f t="shared" si="1"/>
        <v/>
      </c>
      <c r="J250" s="38" t="str">
        <f>IF(A250="","",IFERROR(VLOOKUP(A250,BOOKINGS!$A:$Q,13,FALSE),0))</f>
        <v/>
      </c>
      <c r="K250" s="38" t="str">
        <f t="shared" si="2"/>
        <v/>
      </c>
      <c r="L250" s="38" t="str">
        <f t="shared" si="3"/>
        <v/>
      </c>
    </row>
    <row r="251" ht="15.75" customHeight="1">
      <c r="A251" s="33" t="str">
        <f>IF(BOOKINGS!A251="","",BOOKINGS!A251)</f>
        <v/>
      </c>
      <c r="B251" s="38" t="str">
        <f>IF(A251="","",MAX(VLOOKUP(A251,BOOKINGS!$A:$Q,6,FALSE)*VLOOKUP(VLOOKUP(A251,BOOKINGS!$A:$Q,7,FALSE),SETUP_RATES!$A:$H,3,FALSE),VLOOKUP(VLOOKUP(A251,BOOKINGS!$A:$Q,7,FALSE),SETUP_RATES!$A:$H,2,FALSE)))</f>
        <v/>
      </c>
      <c r="C251" s="38" t="str">
        <f>IF(A251="","",VLOOKUP(A251,BOOKINGS!$A:$Q,10,FALSE)*VLOOKUP(VLOOKUP(A251,BOOKINGS!$A:$Q,7,FALSE),SETUP_RATES!$A:$H,6,FALSE))</f>
        <v/>
      </c>
      <c r="D251" s="38" t="str">
        <f>IF(A251="","",MAX(0,VLOOKUP(A251,TRIP_ACTUALS!$A:$O,8,FALSE)-SETUP_RATES!$K$2)*SETUP_RATES!$K$3)</f>
        <v/>
      </c>
      <c r="E251" s="38" t="str">
        <f>IF(A251="","",VLOOKUP(A251,TRIP_ACTUALS!$A:$O,9,FALSE)*VLOOKUP(VLOOKUP(A251,BOOKINGS!$A:$Q,7,FALSE),SETUP_RATES!$A:$H,5,FALSE))</f>
        <v/>
      </c>
      <c r="F251" s="38" t="str">
        <f>IF(A251="","",IFERROR(VLOOKUP(A251,TRIP_ACTUALS!$A:$O,5,FALSE),0))</f>
        <v/>
      </c>
      <c r="G251" s="38" t="str">
        <f>IF(A251="","",IFERROR(VLOOKUP(A251,TRIP_ACTUALS!$A:$O,6,FALSE),0)+IFERROR(VLOOKUP(A251,TRIP_ACTUALS!$A:$O,7,FALSE),0))</f>
        <v/>
      </c>
      <c r="H251" s="38" t="str">
        <f>IF(A251="","",IFERROR(VLOOKUP(VLOOKUP(A251,BOOKINGS!$A:$Q,7,FALSE),SETUP_RATES!$A:$H,8,FALSE),0))</f>
        <v/>
      </c>
      <c r="I251" s="38" t="str">
        <f t="shared" si="1"/>
        <v/>
      </c>
      <c r="J251" s="38" t="str">
        <f>IF(A251="","",IFERROR(VLOOKUP(A251,BOOKINGS!$A:$Q,13,FALSE),0))</f>
        <v/>
      </c>
      <c r="K251" s="38" t="str">
        <f t="shared" si="2"/>
        <v/>
      </c>
      <c r="L251" s="38" t="str">
        <f t="shared" si="3"/>
        <v/>
      </c>
    </row>
    <row r="252" ht="15.75" customHeight="1">
      <c r="A252" s="33" t="str">
        <f>IF(BOOKINGS!A252="","",BOOKINGS!A252)</f>
        <v/>
      </c>
      <c r="B252" s="38" t="str">
        <f>IF(A252="","",MAX(VLOOKUP(A252,BOOKINGS!$A:$Q,6,FALSE)*VLOOKUP(VLOOKUP(A252,BOOKINGS!$A:$Q,7,FALSE),SETUP_RATES!$A:$H,3,FALSE),VLOOKUP(VLOOKUP(A252,BOOKINGS!$A:$Q,7,FALSE),SETUP_RATES!$A:$H,2,FALSE)))</f>
        <v/>
      </c>
      <c r="C252" s="38" t="str">
        <f>IF(A252="","",VLOOKUP(A252,BOOKINGS!$A:$Q,10,FALSE)*VLOOKUP(VLOOKUP(A252,BOOKINGS!$A:$Q,7,FALSE),SETUP_RATES!$A:$H,6,FALSE))</f>
        <v/>
      </c>
      <c r="D252" s="38" t="str">
        <f>IF(A252="","",MAX(0,VLOOKUP(A252,TRIP_ACTUALS!$A:$O,8,FALSE)-SETUP_RATES!$K$2)*SETUP_RATES!$K$3)</f>
        <v/>
      </c>
      <c r="E252" s="38" t="str">
        <f>IF(A252="","",VLOOKUP(A252,TRIP_ACTUALS!$A:$O,9,FALSE)*VLOOKUP(VLOOKUP(A252,BOOKINGS!$A:$Q,7,FALSE),SETUP_RATES!$A:$H,5,FALSE))</f>
        <v/>
      </c>
      <c r="F252" s="38" t="str">
        <f>IF(A252="","",IFERROR(VLOOKUP(A252,TRIP_ACTUALS!$A:$O,5,FALSE),0))</f>
        <v/>
      </c>
      <c r="G252" s="38" t="str">
        <f>IF(A252="","",IFERROR(VLOOKUP(A252,TRIP_ACTUALS!$A:$O,6,FALSE),0)+IFERROR(VLOOKUP(A252,TRIP_ACTUALS!$A:$O,7,FALSE),0))</f>
        <v/>
      </c>
      <c r="H252" s="38" t="str">
        <f>IF(A252="","",IFERROR(VLOOKUP(VLOOKUP(A252,BOOKINGS!$A:$Q,7,FALSE),SETUP_RATES!$A:$H,8,FALSE),0))</f>
        <v/>
      </c>
      <c r="I252" s="38" t="str">
        <f t="shared" si="1"/>
        <v/>
      </c>
      <c r="J252" s="38" t="str">
        <f>IF(A252="","",IFERROR(VLOOKUP(A252,BOOKINGS!$A:$Q,13,FALSE),0))</f>
        <v/>
      </c>
      <c r="K252" s="38" t="str">
        <f t="shared" si="2"/>
        <v/>
      </c>
      <c r="L252" s="38" t="str">
        <f t="shared" si="3"/>
        <v/>
      </c>
    </row>
    <row r="253" ht="15.75" customHeight="1">
      <c r="A253" s="33" t="str">
        <f>IF(BOOKINGS!A253="","",BOOKINGS!A253)</f>
        <v/>
      </c>
      <c r="B253" s="38" t="str">
        <f>IF(A253="","",MAX(VLOOKUP(A253,BOOKINGS!$A:$Q,6,FALSE)*VLOOKUP(VLOOKUP(A253,BOOKINGS!$A:$Q,7,FALSE),SETUP_RATES!$A:$H,3,FALSE),VLOOKUP(VLOOKUP(A253,BOOKINGS!$A:$Q,7,FALSE),SETUP_RATES!$A:$H,2,FALSE)))</f>
        <v/>
      </c>
      <c r="C253" s="38" t="str">
        <f>IF(A253="","",VLOOKUP(A253,BOOKINGS!$A:$Q,10,FALSE)*VLOOKUP(VLOOKUP(A253,BOOKINGS!$A:$Q,7,FALSE),SETUP_RATES!$A:$H,6,FALSE))</f>
        <v/>
      </c>
      <c r="D253" s="38" t="str">
        <f>IF(A253="","",MAX(0,VLOOKUP(A253,TRIP_ACTUALS!$A:$O,8,FALSE)-SETUP_RATES!$K$2)*SETUP_RATES!$K$3)</f>
        <v/>
      </c>
      <c r="E253" s="38" t="str">
        <f>IF(A253="","",VLOOKUP(A253,TRIP_ACTUALS!$A:$O,9,FALSE)*VLOOKUP(VLOOKUP(A253,BOOKINGS!$A:$Q,7,FALSE),SETUP_RATES!$A:$H,5,FALSE))</f>
        <v/>
      </c>
      <c r="F253" s="38" t="str">
        <f>IF(A253="","",IFERROR(VLOOKUP(A253,TRIP_ACTUALS!$A:$O,5,FALSE),0))</f>
        <v/>
      </c>
      <c r="G253" s="38" t="str">
        <f>IF(A253="","",IFERROR(VLOOKUP(A253,TRIP_ACTUALS!$A:$O,6,FALSE),0)+IFERROR(VLOOKUP(A253,TRIP_ACTUALS!$A:$O,7,FALSE),0))</f>
        <v/>
      </c>
      <c r="H253" s="38" t="str">
        <f>IF(A253="","",IFERROR(VLOOKUP(VLOOKUP(A253,BOOKINGS!$A:$Q,7,FALSE),SETUP_RATES!$A:$H,8,FALSE),0))</f>
        <v/>
      </c>
      <c r="I253" s="38" t="str">
        <f t="shared" si="1"/>
        <v/>
      </c>
      <c r="J253" s="38" t="str">
        <f>IF(A253="","",IFERROR(VLOOKUP(A253,BOOKINGS!$A:$Q,13,FALSE),0))</f>
        <v/>
      </c>
      <c r="K253" s="38" t="str">
        <f t="shared" si="2"/>
        <v/>
      </c>
      <c r="L253" s="38" t="str">
        <f t="shared" si="3"/>
        <v/>
      </c>
    </row>
    <row r="254" ht="15.75" customHeight="1">
      <c r="A254" s="33" t="str">
        <f>IF(BOOKINGS!A254="","",BOOKINGS!A254)</f>
        <v/>
      </c>
      <c r="B254" s="38" t="str">
        <f>IF(A254="","",MAX(VLOOKUP(A254,BOOKINGS!$A:$Q,6,FALSE)*VLOOKUP(VLOOKUP(A254,BOOKINGS!$A:$Q,7,FALSE),SETUP_RATES!$A:$H,3,FALSE),VLOOKUP(VLOOKUP(A254,BOOKINGS!$A:$Q,7,FALSE),SETUP_RATES!$A:$H,2,FALSE)))</f>
        <v/>
      </c>
      <c r="C254" s="38" t="str">
        <f>IF(A254="","",VLOOKUP(A254,BOOKINGS!$A:$Q,10,FALSE)*VLOOKUP(VLOOKUP(A254,BOOKINGS!$A:$Q,7,FALSE),SETUP_RATES!$A:$H,6,FALSE))</f>
        <v/>
      </c>
      <c r="D254" s="38" t="str">
        <f>IF(A254="","",MAX(0,VLOOKUP(A254,TRIP_ACTUALS!$A:$O,8,FALSE)-SETUP_RATES!$K$2)*SETUP_RATES!$K$3)</f>
        <v/>
      </c>
      <c r="E254" s="38" t="str">
        <f>IF(A254="","",VLOOKUP(A254,TRIP_ACTUALS!$A:$O,9,FALSE)*VLOOKUP(VLOOKUP(A254,BOOKINGS!$A:$Q,7,FALSE),SETUP_RATES!$A:$H,5,FALSE))</f>
        <v/>
      </c>
      <c r="F254" s="38" t="str">
        <f>IF(A254="","",IFERROR(VLOOKUP(A254,TRIP_ACTUALS!$A:$O,5,FALSE),0))</f>
        <v/>
      </c>
      <c r="G254" s="38" t="str">
        <f>IF(A254="","",IFERROR(VLOOKUP(A254,TRIP_ACTUALS!$A:$O,6,FALSE),0)+IFERROR(VLOOKUP(A254,TRIP_ACTUALS!$A:$O,7,FALSE),0))</f>
        <v/>
      </c>
      <c r="H254" s="38" t="str">
        <f>IF(A254="","",IFERROR(VLOOKUP(VLOOKUP(A254,BOOKINGS!$A:$Q,7,FALSE),SETUP_RATES!$A:$H,8,FALSE),0))</f>
        <v/>
      </c>
      <c r="I254" s="38" t="str">
        <f t="shared" si="1"/>
        <v/>
      </c>
      <c r="J254" s="38" t="str">
        <f>IF(A254="","",IFERROR(VLOOKUP(A254,BOOKINGS!$A:$Q,13,FALSE),0))</f>
        <v/>
      </c>
      <c r="K254" s="38" t="str">
        <f t="shared" si="2"/>
        <v/>
      </c>
      <c r="L254" s="38" t="str">
        <f t="shared" si="3"/>
        <v/>
      </c>
    </row>
    <row r="255" ht="15.75" customHeight="1">
      <c r="A255" s="33" t="str">
        <f>IF(BOOKINGS!A255="","",BOOKINGS!A255)</f>
        <v/>
      </c>
      <c r="B255" s="38" t="str">
        <f>IF(A255="","",MAX(VLOOKUP(A255,BOOKINGS!$A:$Q,6,FALSE)*VLOOKUP(VLOOKUP(A255,BOOKINGS!$A:$Q,7,FALSE),SETUP_RATES!$A:$H,3,FALSE),VLOOKUP(VLOOKUP(A255,BOOKINGS!$A:$Q,7,FALSE),SETUP_RATES!$A:$H,2,FALSE)))</f>
        <v/>
      </c>
      <c r="C255" s="38" t="str">
        <f>IF(A255="","",VLOOKUP(A255,BOOKINGS!$A:$Q,10,FALSE)*VLOOKUP(VLOOKUP(A255,BOOKINGS!$A:$Q,7,FALSE),SETUP_RATES!$A:$H,6,FALSE))</f>
        <v/>
      </c>
      <c r="D255" s="38" t="str">
        <f>IF(A255="","",MAX(0,VLOOKUP(A255,TRIP_ACTUALS!$A:$O,8,FALSE)-SETUP_RATES!$K$2)*SETUP_RATES!$K$3)</f>
        <v/>
      </c>
      <c r="E255" s="38" t="str">
        <f>IF(A255="","",VLOOKUP(A255,TRIP_ACTUALS!$A:$O,9,FALSE)*VLOOKUP(VLOOKUP(A255,BOOKINGS!$A:$Q,7,FALSE),SETUP_RATES!$A:$H,5,FALSE))</f>
        <v/>
      </c>
      <c r="F255" s="38" t="str">
        <f>IF(A255="","",IFERROR(VLOOKUP(A255,TRIP_ACTUALS!$A:$O,5,FALSE),0))</f>
        <v/>
      </c>
      <c r="G255" s="38" t="str">
        <f>IF(A255="","",IFERROR(VLOOKUP(A255,TRIP_ACTUALS!$A:$O,6,FALSE),0)+IFERROR(VLOOKUP(A255,TRIP_ACTUALS!$A:$O,7,FALSE),0))</f>
        <v/>
      </c>
      <c r="H255" s="38" t="str">
        <f>IF(A255="","",IFERROR(VLOOKUP(VLOOKUP(A255,BOOKINGS!$A:$Q,7,FALSE),SETUP_RATES!$A:$H,8,FALSE),0))</f>
        <v/>
      </c>
      <c r="I255" s="38" t="str">
        <f t="shared" si="1"/>
        <v/>
      </c>
      <c r="J255" s="38" t="str">
        <f>IF(A255="","",IFERROR(VLOOKUP(A255,BOOKINGS!$A:$Q,13,FALSE),0))</f>
        <v/>
      </c>
      <c r="K255" s="38" t="str">
        <f t="shared" si="2"/>
        <v/>
      </c>
      <c r="L255" s="38" t="str">
        <f t="shared" si="3"/>
        <v/>
      </c>
    </row>
    <row r="256" ht="15.75" customHeight="1">
      <c r="A256" s="33" t="str">
        <f>IF(BOOKINGS!A256="","",BOOKINGS!A256)</f>
        <v/>
      </c>
      <c r="B256" s="38" t="str">
        <f>IF(A256="","",MAX(VLOOKUP(A256,BOOKINGS!$A:$Q,6,FALSE)*VLOOKUP(VLOOKUP(A256,BOOKINGS!$A:$Q,7,FALSE),SETUP_RATES!$A:$H,3,FALSE),VLOOKUP(VLOOKUP(A256,BOOKINGS!$A:$Q,7,FALSE),SETUP_RATES!$A:$H,2,FALSE)))</f>
        <v/>
      </c>
      <c r="C256" s="38" t="str">
        <f>IF(A256="","",VLOOKUP(A256,BOOKINGS!$A:$Q,10,FALSE)*VLOOKUP(VLOOKUP(A256,BOOKINGS!$A:$Q,7,FALSE),SETUP_RATES!$A:$H,6,FALSE))</f>
        <v/>
      </c>
      <c r="D256" s="38" t="str">
        <f>IF(A256="","",MAX(0,VLOOKUP(A256,TRIP_ACTUALS!$A:$O,8,FALSE)-SETUP_RATES!$K$2)*SETUP_RATES!$K$3)</f>
        <v/>
      </c>
      <c r="E256" s="38" t="str">
        <f>IF(A256="","",VLOOKUP(A256,TRIP_ACTUALS!$A:$O,9,FALSE)*VLOOKUP(VLOOKUP(A256,BOOKINGS!$A:$Q,7,FALSE),SETUP_RATES!$A:$H,5,FALSE))</f>
        <v/>
      </c>
      <c r="F256" s="38" t="str">
        <f>IF(A256="","",IFERROR(VLOOKUP(A256,TRIP_ACTUALS!$A:$O,5,FALSE),0))</f>
        <v/>
      </c>
      <c r="G256" s="38" t="str">
        <f>IF(A256="","",IFERROR(VLOOKUP(A256,TRIP_ACTUALS!$A:$O,6,FALSE),0)+IFERROR(VLOOKUP(A256,TRIP_ACTUALS!$A:$O,7,FALSE),0))</f>
        <v/>
      </c>
      <c r="H256" s="38" t="str">
        <f>IF(A256="","",IFERROR(VLOOKUP(VLOOKUP(A256,BOOKINGS!$A:$Q,7,FALSE),SETUP_RATES!$A:$H,8,FALSE),0))</f>
        <v/>
      </c>
      <c r="I256" s="38" t="str">
        <f t="shared" si="1"/>
        <v/>
      </c>
      <c r="J256" s="38" t="str">
        <f>IF(A256="","",IFERROR(VLOOKUP(A256,BOOKINGS!$A:$Q,13,FALSE),0))</f>
        <v/>
      </c>
      <c r="K256" s="38" t="str">
        <f t="shared" si="2"/>
        <v/>
      </c>
      <c r="L256" s="38" t="str">
        <f t="shared" si="3"/>
        <v/>
      </c>
    </row>
    <row r="257" ht="15.75" customHeight="1">
      <c r="A257" s="33" t="str">
        <f>IF(BOOKINGS!A257="","",BOOKINGS!A257)</f>
        <v/>
      </c>
      <c r="B257" s="38" t="str">
        <f>IF(A257="","",MAX(VLOOKUP(A257,BOOKINGS!$A:$Q,6,FALSE)*VLOOKUP(VLOOKUP(A257,BOOKINGS!$A:$Q,7,FALSE),SETUP_RATES!$A:$H,3,FALSE),VLOOKUP(VLOOKUP(A257,BOOKINGS!$A:$Q,7,FALSE),SETUP_RATES!$A:$H,2,FALSE)))</f>
        <v/>
      </c>
      <c r="C257" s="38" t="str">
        <f>IF(A257="","",VLOOKUP(A257,BOOKINGS!$A:$Q,10,FALSE)*VLOOKUP(VLOOKUP(A257,BOOKINGS!$A:$Q,7,FALSE),SETUP_RATES!$A:$H,6,FALSE))</f>
        <v/>
      </c>
      <c r="D257" s="38" t="str">
        <f>IF(A257="","",MAX(0,VLOOKUP(A257,TRIP_ACTUALS!$A:$O,8,FALSE)-SETUP_RATES!$K$2)*SETUP_RATES!$K$3)</f>
        <v/>
      </c>
      <c r="E257" s="38" t="str">
        <f>IF(A257="","",VLOOKUP(A257,TRIP_ACTUALS!$A:$O,9,FALSE)*VLOOKUP(VLOOKUP(A257,BOOKINGS!$A:$Q,7,FALSE),SETUP_RATES!$A:$H,5,FALSE))</f>
        <v/>
      </c>
      <c r="F257" s="38" t="str">
        <f>IF(A257="","",IFERROR(VLOOKUP(A257,TRIP_ACTUALS!$A:$O,5,FALSE),0))</f>
        <v/>
      </c>
      <c r="G257" s="38" t="str">
        <f>IF(A257="","",IFERROR(VLOOKUP(A257,TRIP_ACTUALS!$A:$O,6,FALSE),0)+IFERROR(VLOOKUP(A257,TRIP_ACTUALS!$A:$O,7,FALSE),0))</f>
        <v/>
      </c>
      <c r="H257" s="38" t="str">
        <f>IF(A257="","",IFERROR(VLOOKUP(VLOOKUP(A257,BOOKINGS!$A:$Q,7,FALSE),SETUP_RATES!$A:$H,8,FALSE),0))</f>
        <v/>
      </c>
      <c r="I257" s="38" t="str">
        <f t="shared" si="1"/>
        <v/>
      </c>
      <c r="J257" s="38" t="str">
        <f>IF(A257="","",IFERROR(VLOOKUP(A257,BOOKINGS!$A:$Q,13,FALSE),0))</f>
        <v/>
      </c>
      <c r="K257" s="38" t="str">
        <f t="shared" si="2"/>
        <v/>
      </c>
      <c r="L257" s="38" t="str">
        <f t="shared" si="3"/>
        <v/>
      </c>
    </row>
    <row r="258" ht="15.75" customHeight="1">
      <c r="A258" s="33" t="str">
        <f>IF(BOOKINGS!A258="","",BOOKINGS!A258)</f>
        <v/>
      </c>
      <c r="B258" s="38" t="str">
        <f>IF(A258="","",MAX(VLOOKUP(A258,BOOKINGS!$A:$Q,6,FALSE)*VLOOKUP(VLOOKUP(A258,BOOKINGS!$A:$Q,7,FALSE),SETUP_RATES!$A:$H,3,FALSE),VLOOKUP(VLOOKUP(A258,BOOKINGS!$A:$Q,7,FALSE),SETUP_RATES!$A:$H,2,FALSE)))</f>
        <v/>
      </c>
      <c r="C258" s="38" t="str">
        <f>IF(A258="","",VLOOKUP(A258,BOOKINGS!$A:$Q,10,FALSE)*VLOOKUP(VLOOKUP(A258,BOOKINGS!$A:$Q,7,FALSE),SETUP_RATES!$A:$H,6,FALSE))</f>
        <v/>
      </c>
      <c r="D258" s="38" t="str">
        <f>IF(A258="","",MAX(0,VLOOKUP(A258,TRIP_ACTUALS!$A:$O,8,FALSE)-SETUP_RATES!$K$2)*SETUP_RATES!$K$3)</f>
        <v/>
      </c>
      <c r="E258" s="38" t="str">
        <f>IF(A258="","",VLOOKUP(A258,TRIP_ACTUALS!$A:$O,9,FALSE)*VLOOKUP(VLOOKUP(A258,BOOKINGS!$A:$Q,7,FALSE),SETUP_RATES!$A:$H,5,FALSE))</f>
        <v/>
      </c>
      <c r="F258" s="38" t="str">
        <f>IF(A258="","",IFERROR(VLOOKUP(A258,TRIP_ACTUALS!$A:$O,5,FALSE),0))</f>
        <v/>
      </c>
      <c r="G258" s="38" t="str">
        <f>IF(A258="","",IFERROR(VLOOKUP(A258,TRIP_ACTUALS!$A:$O,6,FALSE),0)+IFERROR(VLOOKUP(A258,TRIP_ACTUALS!$A:$O,7,FALSE),0))</f>
        <v/>
      </c>
      <c r="H258" s="38" t="str">
        <f>IF(A258="","",IFERROR(VLOOKUP(VLOOKUP(A258,BOOKINGS!$A:$Q,7,FALSE),SETUP_RATES!$A:$H,8,FALSE),0))</f>
        <v/>
      </c>
      <c r="I258" s="38" t="str">
        <f t="shared" si="1"/>
        <v/>
      </c>
      <c r="J258" s="38" t="str">
        <f>IF(A258="","",IFERROR(VLOOKUP(A258,BOOKINGS!$A:$Q,13,FALSE),0))</f>
        <v/>
      </c>
      <c r="K258" s="38" t="str">
        <f t="shared" si="2"/>
        <v/>
      </c>
      <c r="L258" s="38" t="str">
        <f t="shared" si="3"/>
        <v/>
      </c>
    </row>
    <row r="259" ht="15.75" customHeight="1">
      <c r="A259" s="33" t="str">
        <f>IF(BOOKINGS!A259="","",BOOKINGS!A259)</f>
        <v/>
      </c>
      <c r="B259" s="38" t="str">
        <f>IF(A259="","",MAX(VLOOKUP(A259,BOOKINGS!$A:$Q,6,FALSE)*VLOOKUP(VLOOKUP(A259,BOOKINGS!$A:$Q,7,FALSE),SETUP_RATES!$A:$H,3,FALSE),VLOOKUP(VLOOKUP(A259,BOOKINGS!$A:$Q,7,FALSE),SETUP_RATES!$A:$H,2,FALSE)))</f>
        <v/>
      </c>
      <c r="C259" s="38" t="str">
        <f>IF(A259="","",VLOOKUP(A259,BOOKINGS!$A:$Q,10,FALSE)*VLOOKUP(VLOOKUP(A259,BOOKINGS!$A:$Q,7,FALSE),SETUP_RATES!$A:$H,6,FALSE))</f>
        <v/>
      </c>
      <c r="D259" s="38" t="str">
        <f>IF(A259="","",MAX(0,VLOOKUP(A259,TRIP_ACTUALS!$A:$O,8,FALSE)-SETUP_RATES!$K$2)*SETUP_RATES!$K$3)</f>
        <v/>
      </c>
      <c r="E259" s="38" t="str">
        <f>IF(A259="","",VLOOKUP(A259,TRIP_ACTUALS!$A:$O,9,FALSE)*VLOOKUP(VLOOKUP(A259,BOOKINGS!$A:$Q,7,FALSE),SETUP_RATES!$A:$H,5,FALSE))</f>
        <v/>
      </c>
      <c r="F259" s="38" t="str">
        <f>IF(A259="","",IFERROR(VLOOKUP(A259,TRIP_ACTUALS!$A:$O,5,FALSE),0))</f>
        <v/>
      </c>
      <c r="G259" s="38" t="str">
        <f>IF(A259="","",IFERROR(VLOOKUP(A259,TRIP_ACTUALS!$A:$O,6,FALSE),0)+IFERROR(VLOOKUP(A259,TRIP_ACTUALS!$A:$O,7,FALSE),0))</f>
        <v/>
      </c>
      <c r="H259" s="38" t="str">
        <f>IF(A259="","",IFERROR(VLOOKUP(VLOOKUP(A259,BOOKINGS!$A:$Q,7,FALSE),SETUP_RATES!$A:$H,8,FALSE),0))</f>
        <v/>
      </c>
      <c r="I259" s="38" t="str">
        <f t="shared" si="1"/>
        <v/>
      </c>
      <c r="J259" s="38" t="str">
        <f>IF(A259="","",IFERROR(VLOOKUP(A259,BOOKINGS!$A:$Q,13,FALSE),0))</f>
        <v/>
      </c>
      <c r="K259" s="38" t="str">
        <f t="shared" si="2"/>
        <v/>
      </c>
      <c r="L259" s="38" t="str">
        <f t="shared" si="3"/>
        <v/>
      </c>
    </row>
    <row r="260" ht="15.75" customHeight="1">
      <c r="A260" s="33" t="str">
        <f>IF(BOOKINGS!A260="","",BOOKINGS!A260)</f>
        <v/>
      </c>
      <c r="B260" s="38" t="str">
        <f>IF(A260="","",MAX(VLOOKUP(A260,BOOKINGS!$A:$Q,6,FALSE)*VLOOKUP(VLOOKUP(A260,BOOKINGS!$A:$Q,7,FALSE),SETUP_RATES!$A:$H,3,FALSE),VLOOKUP(VLOOKUP(A260,BOOKINGS!$A:$Q,7,FALSE),SETUP_RATES!$A:$H,2,FALSE)))</f>
        <v/>
      </c>
      <c r="C260" s="38" t="str">
        <f>IF(A260="","",VLOOKUP(A260,BOOKINGS!$A:$Q,10,FALSE)*VLOOKUP(VLOOKUP(A260,BOOKINGS!$A:$Q,7,FALSE),SETUP_RATES!$A:$H,6,FALSE))</f>
        <v/>
      </c>
      <c r="D260" s="38" t="str">
        <f>IF(A260="","",MAX(0,VLOOKUP(A260,TRIP_ACTUALS!$A:$O,8,FALSE)-SETUP_RATES!$K$2)*SETUP_RATES!$K$3)</f>
        <v/>
      </c>
      <c r="E260" s="38" t="str">
        <f>IF(A260="","",VLOOKUP(A260,TRIP_ACTUALS!$A:$O,9,FALSE)*VLOOKUP(VLOOKUP(A260,BOOKINGS!$A:$Q,7,FALSE),SETUP_RATES!$A:$H,5,FALSE))</f>
        <v/>
      </c>
      <c r="F260" s="38" t="str">
        <f>IF(A260="","",IFERROR(VLOOKUP(A260,TRIP_ACTUALS!$A:$O,5,FALSE),0))</f>
        <v/>
      </c>
      <c r="G260" s="38" t="str">
        <f>IF(A260="","",IFERROR(VLOOKUP(A260,TRIP_ACTUALS!$A:$O,6,FALSE),0)+IFERROR(VLOOKUP(A260,TRIP_ACTUALS!$A:$O,7,FALSE),0))</f>
        <v/>
      </c>
      <c r="H260" s="38" t="str">
        <f>IF(A260="","",IFERROR(VLOOKUP(VLOOKUP(A260,BOOKINGS!$A:$Q,7,FALSE),SETUP_RATES!$A:$H,8,FALSE),0))</f>
        <v/>
      </c>
      <c r="I260" s="38" t="str">
        <f t="shared" si="1"/>
        <v/>
      </c>
      <c r="J260" s="38" t="str">
        <f>IF(A260="","",IFERROR(VLOOKUP(A260,BOOKINGS!$A:$Q,13,FALSE),0))</f>
        <v/>
      </c>
      <c r="K260" s="38" t="str">
        <f t="shared" si="2"/>
        <v/>
      </c>
      <c r="L260" s="38" t="str">
        <f t="shared" si="3"/>
        <v/>
      </c>
    </row>
    <row r="261" ht="15.75" customHeight="1">
      <c r="A261" s="33" t="str">
        <f>IF(BOOKINGS!A261="","",BOOKINGS!A261)</f>
        <v/>
      </c>
      <c r="B261" s="38" t="str">
        <f>IF(A261="","",MAX(VLOOKUP(A261,BOOKINGS!$A:$Q,6,FALSE)*VLOOKUP(VLOOKUP(A261,BOOKINGS!$A:$Q,7,FALSE),SETUP_RATES!$A:$H,3,FALSE),VLOOKUP(VLOOKUP(A261,BOOKINGS!$A:$Q,7,FALSE),SETUP_RATES!$A:$H,2,FALSE)))</f>
        <v/>
      </c>
      <c r="C261" s="38" t="str">
        <f>IF(A261="","",VLOOKUP(A261,BOOKINGS!$A:$Q,10,FALSE)*VLOOKUP(VLOOKUP(A261,BOOKINGS!$A:$Q,7,FALSE),SETUP_RATES!$A:$H,6,FALSE))</f>
        <v/>
      </c>
      <c r="D261" s="38" t="str">
        <f>IF(A261="","",MAX(0,VLOOKUP(A261,TRIP_ACTUALS!$A:$O,8,FALSE)-SETUP_RATES!$K$2)*SETUP_RATES!$K$3)</f>
        <v/>
      </c>
      <c r="E261" s="38" t="str">
        <f>IF(A261="","",VLOOKUP(A261,TRIP_ACTUALS!$A:$O,9,FALSE)*VLOOKUP(VLOOKUP(A261,BOOKINGS!$A:$Q,7,FALSE),SETUP_RATES!$A:$H,5,FALSE))</f>
        <v/>
      </c>
      <c r="F261" s="38" t="str">
        <f>IF(A261="","",IFERROR(VLOOKUP(A261,TRIP_ACTUALS!$A:$O,5,FALSE),0))</f>
        <v/>
      </c>
      <c r="G261" s="38" t="str">
        <f>IF(A261="","",IFERROR(VLOOKUP(A261,TRIP_ACTUALS!$A:$O,6,FALSE),0)+IFERROR(VLOOKUP(A261,TRIP_ACTUALS!$A:$O,7,FALSE),0))</f>
        <v/>
      </c>
      <c r="H261" s="38" t="str">
        <f>IF(A261="","",IFERROR(VLOOKUP(VLOOKUP(A261,BOOKINGS!$A:$Q,7,FALSE),SETUP_RATES!$A:$H,8,FALSE),0))</f>
        <v/>
      </c>
      <c r="I261" s="38" t="str">
        <f t="shared" si="1"/>
        <v/>
      </c>
      <c r="J261" s="38" t="str">
        <f>IF(A261="","",IFERROR(VLOOKUP(A261,BOOKINGS!$A:$Q,13,FALSE),0))</f>
        <v/>
      </c>
      <c r="K261" s="38" t="str">
        <f t="shared" si="2"/>
        <v/>
      </c>
      <c r="L261" s="38" t="str">
        <f t="shared" si="3"/>
        <v/>
      </c>
    </row>
    <row r="262" ht="15.75" customHeight="1">
      <c r="A262" s="33" t="str">
        <f>IF(BOOKINGS!A262="","",BOOKINGS!A262)</f>
        <v/>
      </c>
      <c r="B262" s="38" t="str">
        <f>IF(A262="","",MAX(VLOOKUP(A262,BOOKINGS!$A:$Q,6,FALSE)*VLOOKUP(VLOOKUP(A262,BOOKINGS!$A:$Q,7,FALSE),SETUP_RATES!$A:$H,3,FALSE),VLOOKUP(VLOOKUP(A262,BOOKINGS!$A:$Q,7,FALSE),SETUP_RATES!$A:$H,2,FALSE)))</f>
        <v/>
      </c>
      <c r="C262" s="38" t="str">
        <f>IF(A262="","",VLOOKUP(A262,BOOKINGS!$A:$Q,10,FALSE)*VLOOKUP(VLOOKUP(A262,BOOKINGS!$A:$Q,7,FALSE),SETUP_RATES!$A:$H,6,FALSE))</f>
        <v/>
      </c>
      <c r="D262" s="38" t="str">
        <f>IF(A262="","",MAX(0,VLOOKUP(A262,TRIP_ACTUALS!$A:$O,8,FALSE)-SETUP_RATES!$K$2)*SETUP_RATES!$K$3)</f>
        <v/>
      </c>
      <c r="E262" s="38" t="str">
        <f>IF(A262="","",VLOOKUP(A262,TRIP_ACTUALS!$A:$O,9,FALSE)*VLOOKUP(VLOOKUP(A262,BOOKINGS!$A:$Q,7,FALSE),SETUP_RATES!$A:$H,5,FALSE))</f>
        <v/>
      </c>
      <c r="F262" s="38" t="str">
        <f>IF(A262="","",IFERROR(VLOOKUP(A262,TRIP_ACTUALS!$A:$O,5,FALSE),0))</f>
        <v/>
      </c>
      <c r="G262" s="38" t="str">
        <f>IF(A262="","",IFERROR(VLOOKUP(A262,TRIP_ACTUALS!$A:$O,6,FALSE),0)+IFERROR(VLOOKUP(A262,TRIP_ACTUALS!$A:$O,7,FALSE),0))</f>
        <v/>
      </c>
      <c r="H262" s="38" t="str">
        <f>IF(A262="","",IFERROR(VLOOKUP(VLOOKUP(A262,BOOKINGS!$A:$Q,7,FALSE),SETUP_RATES!$A:$H,8,FALSE),0))</f>
        <v/>
      </c>
      <c r="I262" s="38" t="str">
        <f t="shared" si="1"/>
        <v/>
      </c>
      <c r="J262" s="38" t="str">
        <f>IF(A262="","",IFERROR(VLOOKUP(A262,BOOKINGS!$A:$Q,13,FALSE),0))</f>
        <v/>
      </c>
      <c r="K262" s="38" t="str">
        <f t="shared" si="2"/>
        <v/>
      </c>
      <c r="L262" s="38" t="str">
        <f t="shared" si="3"/>
        <v/>
      </c>
    </row>
    <row r="263" ht="15.75" customHeight="1">
      <c r="A263" s="33" t="str">
        <f>IF(BOOKINGS!A263="","",BOOKINGS!A263)</f>
        <v/>
      </c>
      <c r="B263" s="38" t="str">
        <f>IF(A263="","",MAX(VLOOKUP(A263,BOOKINGS!$A:$Q,6,FALSE)*VLOOKUP(VLOOKUP(A263,BOOKINGS!$A:$Q,7,FALSE),SETUP_RATES!$A:$H,3,FALSE),VLOOKUP(VLOOKUP(A263,BOOKINGS!$A:$Q,7,FALSE),SETUP_RATES!$A:$H,2,FALSE)))</f>
        <v/>
      </c>
      <c r="C263" s="38" t="str">
        <f>IF(A263="","",VLOOKUP(A263,BOOKINGS!$A:$Q,10,FALSE)*VLOOKUP(VLOOKUP(A263,BOOKINGS!$A:$Q,7,FALSE),SETUP_RATES!$A:$H,6,FALSE))</f>
        <v/>
      </c>
      <c r="D263" s="38" t="str">
        <f>IF(A263="","",MAX(0,VLOOKUP(A263,TRIP_ACTUALS!$A:$O,8,FALSE)-SETUP_RATES!$K$2)*SETUP_RATES!$K$3)</f>
        <v/>
      </c>
      <c r="E263" s="38" t="str">
        <f>IF(A263="","",VLOOKUP(A263,TRIP_ACTUALS!$A:$O,9,FALSE)*VLOOKUP(VLOOKUP(A263,BOOKINGS!$A:$Q,7,FALSE),SETUP_RATES!$A:$H,5,FALSE))</f>
        <v/>
      </c>
      <c r="F263" s="38" t="str">
        <f>IF(A263="","",IFERROR(VLOOKUP(A263,TRIP_ACTUALS!$A:$O,5,FALSE),0))</f>
        <v/>
      </c>
      <c r="G263" s="38" t="str">
        <f>IF(A263="","",IFERROR(VLOOKUP(A263,TRIP_ACTUALS!$A:$O,6,FALSE),0)+IFERROR(VLOOKUP(A263,TRIP_ACTUALS!$A:$O,7,FALSE),0))</f>
        <v/>
      </c>
      <c r="H263" s="38" t="str">
        <f>IF(A263="","",IFERROR(VLOOKUP(VLOOKUP(A263,BOOKINGS!$A:$Q,7,FALSE),SETUP_RATES!$A:$H,8,FALSE),0))</f>
        <v/>
      </c>
      <c r="I263" s="38" t="str">
        <f t="shared" si="1"/>
        <v/>
      </c>
      <c r="J263" s="38" t="str">
        <f>IF(A263="","",IFERROR(VLOOKUP(A263,BOOKINGS!$A:$Q,13,FALSE),0))</f>
        <v/>
      </c>
      <c r="K263" s="38" t="str">
        <f t="shared" si="2"/>
        <v/>
      </c>
      <c r="L263" s="38" t="str">
        <f t="shared" si="3"/>
        <v/>
      </c>
    </row>
    <row r="264" ht="15.75" customHeight="1">
      <c r="A264" s="33" t="str">
        <f>IF(BOOKINGS!A264="","",BOOKINGS!A264)</f>
        <v/>
      </c>
      <c r="B264" s="38" t="str">
        <f>IF(A264="","",MAX(VLOOKUP(A264,BOOKINGS!$A:$Q,6,FALSE)*VLOOKUP(VLOOKUP(A264,BOOKINGS!$A:$Q,7,FALSE),SETUP_RATES!$A:$H,3,FALSE),VLOOKUP(VLOOKUP(A264,BOOKINGS!$A:$Q,7,FALSE),SETUP_RATES!$A:$H,2,FALSE)))</f>
        <v/>
      </c>
      <c r="C264" s="38" t="str">
        <f>IF(A264="","",VLOOKUP(A264,BOOKINGS!$A:$Q,10,FALSE)*VLOOKUP(VLOOKUP(A264,BOOKINGS!$A:$Q,7,FALSE),SETUP_RATES!$A:$H,6,FALSE))</f>
        <v/>
      </c>
      <c r="D264" s="38" t="str">
        <f>IF(A264="","",MAX(0,VLOOKUP(A264,TRIP_ACTUALS!$A:$O,8,FALSE)-SETUP_RATES!$K$2)*SETUP_RATES!$K$3)</f>
        <v/>
      </c>
      <c r="E264" s="38" t="str">
        <f>IF(A264="","",VLOOKUP(A264,TRIP_ACTUALS!$A:$O,9,FALSE)*VLOOKUP(VLOOKUP(A264,BOOKINGS!$A:$Q,7,FALSE),SETUP_RATES!$A:$H,5,FALSE))</f>
        <v/>
      </c>
      <c r="F264" s="38" t="str">
        <f>IF(A264="","",IFERROR(VLOOKUP(A264,TRIP_ACTUALS!$A:$O,5,FALSE),0))</f>
        <v/>
      </c>
      <c r="G264" s="38" t="str">
        <f>IF(A264="","",IFERROR(VLOOKUP(A264,TRIP_ACTUALS!$A:$O,6,FALSE),0)+IFERROR(VLOOKUP(A264,TRIP_ACTUALS!$A:$O,7,FALSE),0))</f>
        <v/>
      </c>
      <c r="H264" s="38" t="str">
        <f>IF(A264="","",IFERROR(VLOOKUP(VLOOKUP(A264,BOOKINGS!$A:$Q,7,FALSE),SETUP_RATES!$A:$H,8,FALSE),0))</f>
        <v/>
      </c>
      <c r="I264" s="38" t="str">
        <f t="shared" si="1"/>
        <v/>
      </c>
      <c r="J264" s="38" t="str">
        <f>IF(A264="","",IFERROR(VLOOKUP(A264,BOOKINGS!$A:$Q,13,FALSE),0))</f>
        <v/>
      </c>
      <c r="K264" s="38" t="str">
        <f t="shared" si="2"/>
        <v/>
      </c>
      <c r="L264" s="38" t="str">
        <f t="shared" si="3"/>
        <v/>
      </c>
    </row>
    <row r="265" ht="15.75" customHeight="1">
      <c r="A265" s="33" t="str">
        <f>IF(BOOKINGS!A265="","",BOOKINGS!A265)</f>
        <v/>
      </c>
      <c r="B265" s="38" t="str">
        <f>IF(A265="","",MAX(VLOOKUP(A265,BOOKINGS!$A:$Q,6,FALSE)*VLOOKUP(VLOOKUP(A265,BOOKINGS!$A:$Q,7,FALSE),SETUP_RATES!$A:$H,3,FALSE),VLOOKUP(VLOOKUP(A265,BOOKINGS!$A:$Q,7,FALSE),SETUP_RATES!$A:$H,2,FALSE)))</f>
        <v/>
      </c>
      <c r="C265" s="38" t="str">
        <f>IF(A265="","",VLOOKUP(A265,BOOKINGS!$A:$Q,10,FALSE)*VLOOKUP(VLOOKUP(A265,BOOKINGS!$A:$Q,7,FALSE),SETUP_RATES!$A:$H,6,FALSE))</f>
        <v/>
      </c>
      <c r="D265" s="38" t="str">
        <f>IF(A265="","",MAX(0,VLOOKUP(A265,TRIP_ACTUALS!$A:$O,8,FALSE)-SETUP_RATES!$K$2)*SETUP_RATES!$K$3)</f>
        <v/>
      </c>
      <c r="E265" s="38" t="str">
        <f>IF(A265="","",VLOOKUP(A265,TRIP_ACTUALS!$A:$O,9,FALSE)*VLOOKUP(VLOOKUP(A265,BOOKINGS!$A:$Q,7,FALSE),SETUP_RATES!$A:$H,5,FALSE))</f>
        <v/>
      </c>
      <c r="F265" s="38" t="str">
        <f>IF(A265="","",IFERROR(VLOOKUP(A265,TRIP_ACTUALS!$A:$O,5,FALSE),0))</f>
        <v/>
      </c>
      <c r="G265" s="38" t="str">
        <f>IF(A265="","",IFERROR(VLOOKUP(A265,TRIP_ACTUALS!$A:$O,6,FALSE),0)+IFERROR(VLOOKUP(A265,TRIP_ACTUALS!$A:$O,7,FALSE),0))</f>
        <v/>
      </c>
      <c r="H265" s="38" t="str">
        <f>IF(A265="","",IFERROR(VLOOKUP(VLOOKUP(A265,BOOKINGS!$A:$Q,7,FALSE),SETUP_RATES!$A:$H,8,FALSE),0))</f>
        <v/>
      </c>
      <c r="I265" s="38" t="str">
        <f t="shared" si="1"/>
        <v/>
      </c>
      <c r="J265" s="38" t="str">
        <f>IF(A265="","",IFERROR(VLOOKUP(A265,BOOKINGS!$A:$Q,13,FALSE),0))</f>
        <v/>
      </c>
      <c r="K265" s="38" t="str">
        <f t="shared" si="2"/>
        <v/>
      </c>
      <c r="L265" s="38" t="str">
        <f t="shared" si="3"/>
        <v/>
      </c>
    </row>
    <row r="266" ht="15.75" customHeight="1">
      <c r="A266" s="33" t="str">
        <f>IF(BOOKINGS!A266="","",BOOKINGS!A266)</f>
        <v/>
      </c>
      <c r="B266" s="38" t="str">
        <f>IF(A266="","",MAX(VLOOKUP(A266,BOOKINGS!$A:$Q,6,FALSE)*VLOOKUP(VLOOKUP(A266,BOOKINGS!$A:$Q,7,FALSE),SETUP_RATES!$A:$H,3,FALSE),VLOOKUP(VLOOKUP(A266,BOOKINGS!$A:$Q,7,FALSE),SETUP_RATES!$A:$H,2,FALSE)))</f>
        <v/>
      </c>
      <c r="C266" s="38" t="str">
        <f>IF(A266="","",VLOOKUP(A266,BOOKINGS!$A:$Q,10,FALSE)*VLOOKUP(VLOOKUP(A266,BOOKINGS!$A:$Q,7,FALSE),SETUP_RATES!$A:$H,6,FALSE))</f>
        <v/>
      </c>
      <c r="D266" s="38" t="str">
        <f>IF(A266="","",MAX(0,VLOOKUP(A266,TRIP_ACTUALS!$A:$O,8,FALSE)-SETUP_RATES!$K$2)*SETUP_RATES!$K$3)</f>
        <v/>
      </c>
      <c r="E266" s="38" t="str">
        <f>IF(A266="","",VLOOKUP(A266,TRIP_ACTUALS!$A:$O,9,FALSE)*VLOOKUP(VLOOKUP(A266,BOOKINGS!$A:$Q,7,FALSE),SETUP_RATES!$A:$H,5,FALSE))</f>
        <v/>
      </c>
      <c r="F266" s="38" t="str">
        <f>IF(A266="","",IFERROR(VLOOKUP(A266,TRIP_ACTUALS!$A:$O,5,FALSE),0))</f>
        <v/>
      </c>
      <c r="G266" s="38" t="str">
        <f>IF(A266="","",IFERROR(VLOOKUP(A266,TRIP_ACTUALS!$A:$O,6,FALSE),0)+IFERROR(VLOOKUP(A266,TRIP_ACTUALS!$A:$O,7,FALSE),0))</f>
        <v/>
      </c>
      <c r="H266" s="38" t="str">
        <f>IF(A266="","",IFERROR(VLOOKUP(VLOOKUP(A266,BOOKINGS!$A:$Q,7,FALSE),SETUP_RATES!$A:$H,8,FALSE),0))</f>
        <v/>
      </c>
      <c r="I266" s="38" t="str">
        <f t="shared" si="1"/>
        <v/>
      </c>
      <c r="J266" s="38" t="str">
        <f>IF(A266="","",IFERROR(VLOOKUP(A266,BOOKINGS!$A:$Q,13,FALSE),0))</f>
        <v/>
      </c>
      <c r="K266" s="38" t="str">
        <f t="shared" si="2"/>
        <v/>
      </c>
      <c r="L266" s="38" t="str">
        <f t="shared" si="3"/>
        <v/>
      </c>
    </row>
    <row r="267" ht="15.75" customHeight="1">
      <c r="A267" s="33" t="str">
        <f>IF(BOOKINGS!A267="","",BOOKINGS!A267)</f>
        <v/>
      </c>
      <c r="B267" s="38" t="str">
        <f>IF(A267="","",MAX(VLOOKUP(A267,BOOKINGS!$A:$Q,6,FALSE)*VLOOKUP(VLOOKUP(A267,BOOKINGS!$A:$Q,7,FALSE),SETUP_RATES!$A:$H,3,FALSE),VLOOKUP(VLOOKUP(A267,BOOKINGS!$A:$Q,7,FALSE),SETUP_RATES!$A:$H,2,FALSE)))</f>
        <v/>
      </c>
      <c r="C267" s="38" t="str">
        <f>IF(A267="","",VLOOKUP(A267,BOOKINGS!$A:$Q,10,FALSE)*VLOOKUP(VLOOKUP(A267,BOOKINGS!$A:$Q,7,FALSE),SETUP_RATES!$A:$H,6,FALSE))</f>
        <v/>
      </c>
      <c r="D267" s="38" t="str">
        <f>IF(A267="","",MAX(0,VLOOKUP(A267,TRIP_ACTUALS!$A:$O,8,FALSE)-SETUP_RATES!$K$2)*SETUP_RATES!$K$3)</f>
        <v/>
      </c>
      <c r="E267" s="38" t="str">
        <f>IF(A267="","",VLOOKUP(A267,TRIP_ACTUALS!$A:$O,9,FALSE)*VLOOKUP(VLOOKUP(A267,BOOKINGS!$A:$Q,7,FALSE),SETUP_RATES!$A:$H,5,FALSE))</f>
        <v/>
      </c>
      <c r="F267" s="38" t="str">
        <f>IF(A267="","",IFERROR(VLOOKUP(A267,TRIP_ACTUALS!$A:$O,5,FALSE),0))</f>
        <v/>
      </c>
      <c r="G267" s="38" t="str">
        <f>IF(A267="","",IFERROR(VLOOKUP(A267,TRIP_ACTUALS!$A:$O,6,FALSE),0)+IFERROR(VLOOKUP(A267,TRIP_ACTUALS!$A:$O,7,FALSE),0))</f>
        <v/>
      </c>
      <c r="H267" s="38" t="str">
        <f>IF(A267="","",IFERROR(VLOOKUP(VLOOKUP(A267,BOOKINGS!$A:$Q,7,FALSE),SETUP_RATES!$A:$H,8,FALSE),0))</f>
        <v/>
      </c>
      <c r="I267" s="38" t="str">
        <f t="shared" si="1"/>
        <v/>
      </c>
      <c r="J267" s="38" t="str">
        <f>IF(A267="","",IFERROR(VLOOKUP(A267,BOOKINGS!$A:$Q,13,FALSE),0))</f>
        <v/>
      </c>
      <c r="K267" s="38" t="str">
        <f t="shared" si="2"/>
        <v/>
      </c>
      <c r="L267" s="38" t="str">
        <f t="shared" si="3"/>
        <v/>
      </c>
    </row>
    <row r="268" ht="15.75" customHeight="1">
      <c r="A268" s="33" t="str">
        <f>IF(BOOKINGS!A268="","",BOOKINGS!A268)</f>
        <v/>
      </c>
      <c r="B268" s="38" t="str">
        <f>IF(A268="","",MAX(VLOOKUP(A268,BOOKINGS!$A:$Q,6,FALSE)*VLOOKUP(VLOOKUP(A268,BOOKINGS!$A:$Q,7,FALSE),SETUP_RATES!$A:$H,3,FALSE),VLOOKUP(VLOOKUP(A268,BOOKINGS!$A:$Q,7,FALSE),SETUP_RATES!$A:$H,2,FALSE)))</f>
        <v/>
      </c>
      <c r="C268" s="38" t="str">
        <f>IF(A268="","",VLOOKUP(A268,BOOKINGS!$A:$Q,10,FALSE)*VLOOKUP(VLOOKUP(A268,BOOKINGS!$A:$Q,7,FALSE),SETUP_RATES!$A:$H,6,FALSE))</f>
        <v/>
      </c>
      <c r="D268" s="38" t="str">
        <f>IF(A268="","",MAX(0,VLOOKUP(A268,TRIP_ACTUALS!$A:$O,8,FALSE)-SETUP_RATES!$K$2)*SETUP_RATES!$K$3)</f>
        <v/>
      </c>
      <c r="E268" s="38" t="str">
        <f>IF(A268="","",VLOOKUP(A268,TRIP_ACTUALS!$A:$O,9,FALSE)*VLOOKUP(VLOOKUP(A268,BOOKINGS!$A:$Q,7,FALSE),SETUP_RATES!$A:$H,5,FALSE))</f>
        <v/>
      </c>
      <c r="F268" s="38" t="str">
        <f>IF(A268="","",IFERROR(VLOOKUP(A268,TRIP_ACTUALS!$A:$O,5,FALSE),0))</f>
        <v/>
      </c>
      <c r="G268" s="38" t="str">
        <f>IF(A268="","",IFERROR(VLOOKUP(A268,TRIP_ACTUALS!$A:$O,6,FALSE),0)+IFERROR(VLOOKUP(A268,TRIP_ACTUALS!$A:$O,7,FALSE),0))</f>
        <v/>
      </c>
      <c r="H268" s="38" t="str">
        <f>IF(A268="","",IFERROR(VLOOKUP(VLOOKUP(A268,BOOKINGS!$A:$Q,7,FALSE),SETUP_RATES!$A:$H,8,FALSE),0))</f>
        <v/>
      </c>
      <c r="I268" s="38" t="str">
        <f t="shared" si="1"/>
        <v/>
      </c>
      <c r="J268" s="38" t="str">
        <f>IF(A268="","",IFERROR(VLOOKUP(A268,BOOKINGS!$A:$Q,13,FALSE),0))</f>
        <v/>
      </c>
      <c r="K268" s="38" t="str">
        <f t="shared" si="2"/>
        <v/>
      </c>
      <c r="L268" s="38" t="str">
        <f t="shared" si="3"/>
        <v/>
      </c>
    </row>
    <row r="269" ht="15.75" customHeight="1">
      <c r="A269" s="33" t="str">
        <f>IF(BOOKINGS!A269="","",BOOKINGS!A269)</f>
        <v/>
      </c>
      <c r="B269" s="38" t="str">
        <f>IF(A269="","",MAX(VLOOKUP(A269,BOOKINGS!$A:$Q,6,FALSE)*VLOOKUP(VLOOKUP(A269,BOOKINGS!$A:$Q,7,FALSE),SETUP_RATES!$A:$H,3,FALSE),VLOOKUP(VLOOKUP(A269,BOOKINGS!$A:$Q,7,FALSE),SETUP_RATES!$A:$H,2,FALSE)))</f>
        <v/>
      </c>
      <c r="C269" s="38" t="str">
        <f>IF(A269="","",VLOOKUP(A269,BOOKINGS!$A:$Q,10,FALSE)*VLOOKUP(VLOOKUP(A269,BOOKINGS!$A:$Q,7,FALSE),SETUP_RATES!$A:$H,6,FALSE))</f>
        <v/>
      </c>
      <c r="D269" s="38" t="str">
        <f>IF(A269="","",MAX(0,VLOOKUP(A269,TRIP_ACTUALS!$A:$O,8,FALSE)-SETUP_RATES!$K$2)*SETUP_RATES!$K$3)</f>
        <v/>
      </c>
      <c r="E269" s="38" t="str">
        <f>IF(A269="","",VLOOKUP(A269,TRIP_ACTUALS!$A:$O,9,FALSE)*VLOOKUP(VLOOKUP(A269,BOOKINGS!$A:$Q,7,FALSE),SETUP_RATES!$A:$H,5,FALSE))</f>
        <v/>
      </c>
      <c r="F269" s="38" t="str">
        <f>IF(A269="","",IFERROR(VLOOKUP(A269,TRIP_ACTUALS!$A:$O,5,FALSE),0))</f>
        <v/>
      </c>
      <c r="G269" s="38" t="str">
        <f>IF(A269="","",IFERROR(VLOOKUP(A269,TRIP_ACTUALS!$A:$O,6,FALSE),0)+IFERROR(VLOOKUP(A269,TRIP_ACTUALS!$A:$O,7,FALSE),0))</f>
        <v/>
      </c>
      <c r="H269" s="38" t="str">
        <f>IF(A269="","",IFERROR(VLOOKUP(VLOOKUP(A269,BOOKINGS!$A:$Q,7,FALSE),SETUP_RATES!$A:$H,8,FALSE),0))</f>
        <v/>
      </c>
      <c r="I269" s="38" t="str">
        <f t="shared" si="1"/>
        <v/>
      </c>
      <c r="J269" s="38" t="str">
        <f>IF(A269="","",IFERROR(VLOOKUP(A269,BOOKINGS!$A:$Q,13,FALSE),0))</f>
        <v/>
      </c>
      <c r="K269" s="38" t="str">
        <f t="shared" si="2"/>
        <v/>
      </c>
      <c r="L269" s="38" t="str">
        <f t="shared" si="3"/>
        <v/>
      </c>
    </row>
    <row r="270" ht="15.75" customHeight="1">
      <c r="A270" s="33" t="str">
        <f>IF(BOOKINGS!A270="","",BOOKINGS!A270)</f>
        <v/>
      </c>
      <c r="B270" s="38" t="str">
        <f>IF(A270="","",MAX(VLOOKUP(A270,BOOKINGS!$A:$Q,6,FALSE)*VLOOKUP(VLOOKUP(A270,BOOKINGS!$A:$Q,7,FALSE),SETUP_RATES!$A:$H,3,FALSE),VLOOKUP(VLOOKUP(A270,BOOKINGS!$A:$Q,7,FALSE),SETUP_RATES!$A:$H,2,FALSE)))</f>
        <v/>
      </c>
      <c r="C270" s="38" t="str">
        <f>IF(A270="","",VLOOKUP(A270,BOOKINGS!$A:$Q,10,FALSE)*VLOOKUP(VLOOKUP(A270,BOOKINGS!$A:$Q,7,FALSE),SETUP_RATES!$A:$H,6,FALSE))</f>
        <v/>
      </c>
      <c r="D270" s="38" t="str">
        <f>IF(A270="","",MAX(0,VLOOKUP(A270,TRIP_ACTUALS!$A:$O,8,FALSE)-SETUP_RATES!$K$2)*SETUP_RATES!$K$3)</f>
        <v/>
      </c>
      <c r="E270" s="38" t="str">
        <f>IF(A270="","",VLOOKUP(A270,TRIP_ACTUALS!$A:$O,9,FALSE)*VLOOKUP(VLOOKUP(A270,BOOKINGS!$A:$Q,7,FALSE),SETUP_RATES!$A:$H,5,FALSE))</f>
        <v/>
      </c>
      <c r="F270" s="38" t="str">
        <f>IF(A270="","",IFERROR(VLOOKUP(A270,TRIP_ACTUALS!$A:$O,5,FALSE),0))</f>
        <v/>
      </c>
      <c r="G270" s="38" t="str">
        <f>IF(A270="","",IFERROR(VLOOKUP(A270,TRIP_ACTUALS!$A:$O,6,FALSE),0)+IFERROR(VLOOKUP(A270,TRIP_ACTUALS!$A:$O,7,FALSE),0))</f>
        <v/>
      </c>
      <c r="H270" s="38" t="str">
        <f>IF(A270="","",IFERROR(VLOOKUP(VLOOKUP(A270,BOOKINGS!$A:$Q,7,FALSE),SETUP_RATES!$A:$H,8,FALSE),0))</f>
        <v/>
      </c>
      <c r="I270" s="38" t="str">
        <f t="shared" si="1"/>
        <v/>
      </c>
      <c r="J270" s="38" t="str">
        <f>IF(A270="","",IFERROR(VLOOKUP(A270,BOOKINGS!$A:$Q,13,FALSE),0))</f>
        <v/>
      </c>
      <c r="K270" s="38" t="str">
        <f t="shared" si="2"/>
        <v/>
      </c>
      <c r="L270" s="38" t="str">
        <f t="shared" si="3"/>
        <v/>
      </c>
    </row>
    <row r="271" ht="15.75" customHeight="1">
      <c r="A271" s="33" t="str">
        <f>IF(BOOKINGS!A271="","",BOOKINGS!A271)</f>
        <v/>
      </c>
      <c r="B271" s="38" t="str">
        <f>IF(A271="","",MAX(VLOOKUP(A271,BOOKINGS!$A:$Q,6,FALSE)*VLOOKUP(VLOOKUP(A271,BOOKINGS!$A:$Q,7,FALSE),SETUP_RATES!$A:$H,3,FALSE),VLOOKUP(VLOOKUP(A271,BOOKINGS!$A:$Q,7,FALSE),SETUP_RATES!$A:$H,2,FALSE)))</f>
        <v/>
      </c>
      <c r="C271" s="38" t="str">
        <f>IF(A271="","",VLOOKUP(A271,BOOKINGS!$A:$Q,10,FALSE)*VLOOKUP(VLOOKUP(A271,BOOKINGS!$A:$Q,7,FALSE),SETUP_RATES!$A:$H,6,FALSE))</f>
        <v/>
      </c>
      <c r="D271" s="38" t="str">
        <f>IF(A271="","",MAX(0,VLOOKUP(A271,TRIP_ACTUALS!$A:$O,8,FALSE)-SETUP_RATES!$K$2)*SETUP_RATES!$K$3)</f>
        <v/>
      </c>
      <c r="E271" s="38" t="str">
        <f>IF(A271="","",VLOOKUP(A271,TRIP_ACTUALS!$A:$O,9,FALSE)*VLOOKUP(VLOOKUP(A271,BOOKINGS!$A:$Q,7,FALSE),SETUP_RATES!$A:$H,5,FALSE))</f>
        <v/>
      </c>
      <c r="F271" s="38" t="str">
        <f>IF(A271="","",IFERROR(VLOOKUP(A271,TRIP_ACTUALS!$A:$O,5,FALSE),0))</f>
        <v/>
      </c>
      <c r="G271" s="38" t="str">
        <f>IF(A271="","",IFERROR(VLOOKUP(A271,TRIP_ACTUALS!$A:$O,6,FALSE),0)+IFERROR(VLOOKUP(A271,TRIP_ACTUALS!$A:$O,7,FALSE),0))</f>
        <v/>
      </c>
      <c r="H271" s="38" t="str">
        <f>IF(A271="","",IFERROR(VLOOKUP(VLOOKUP(A271,BOOKINGS!$A:$Q,7,FALSE),SETUP_RATES!$A:$H,8,FALSE),0))</f>
        <v/>
      </c>
      <c r="I271" s="38" t="str">
        <f t="shared" si="1"/>
        <v/>
      </c>
      <c r="J271" s="38" t="str">
        <f>IF(A271="","",IFERROR(VLOOKUP(A271,BOOKINGS!$A:$Q,13,FALSE),0))</f>
        <v/>
      </c>
      <c r="K271" s="38" t="str">
        <f t="shared" si="2"/>
        <v/>
      </c>
      <c r="L271" s="38" t="str">
        <f t="shared" si="3"/>
        <v/>
      </c>
    </row>
    <row r="272" ht="15.75" customHeight="1">
      <c r="A272" s="33" t="str">
        <f>IF(BOOKINGS!A272="","",BOOKINGS!A272)</f>
        <v/>
      </c>
      <c r="B272" s="38" t="str">
        <f>IF(A272="","",MAX(VLOOKUP(A272,BOOKINGS!$A:$Q,6,FALSE)*VLOOKUP(VLOOKUP(A272,BOOKINGS!$A:$Q,7,FALSE),SETUP_RATES!$A:$H,3,FALSE),VLOOKUP(VLOOKUP(A272,BOOKINGS!$A:$Q,7,FALSE),SETUP_RATES!$A:$H,2,FALSE)))</f>
        <v/>
      </c>
      <c r="C272" s="38" t="str">
        <f>IF(A272="","",VLOOKUP(A272,BOOKINGS!$A:$Q,10,FALSE)*VLOOKUP(VLOOKUP(A272,BOOKINGS!$A:$Q,7,FALSE),SETUP_RATES!$A:$H,6,FALSE))</f>
        <v/>
      </c>
      <c r="D272" s="38" t="str">
        <f>IF(A272="","",MAX(0,VLOOKUP(A272,TRIP_ACTUALS!$A:$O,8,FALSE)-SETUP_RATES!$K$2)*SETUP_RATES!$K$3)</f>
        <v/>
      </c>
      <c r="E272" s="38" t="str">
        <f>IF(A272="","",VLOOKUP(A272,TRIP_ACTUALS!$A:$O,9,FALSE)*VLOOKUP(VLOOKUP(A272,BOOKINGS!$A:$Q,7,FALSE),SETUP_RATES!$A:$H,5,FALSE))</f>
        <v/>
      </c>
      <c r="F272" s="38" t="str">
        <f>IF(A272="","",IFERROR(VLOOKUP(A272,TRIP_ACTUALS!$A:$O,5,FALSE),0))</f>
        <v/>
      </c>
      <c r="G272" s="38" t="str">
        <f>IF(A272="","",IFERROR(VLOOKUP(A272,TRIP_ACTUALS!$A:$O,6,FALSE),0)+IFERROR(VLOOKUP(A272,TRIP_ACTUALS!$A:$O,7,FALSE),0))</f>
        <v/>
      </c>
      <c r="H272" s="38" t="str">
        <f>IF(A272="","",IFERROR(VLOOKUP(VLOOKUP(A272,BOOKINGS!$A:$Q,7,FALSE),SETUP_RATES!$A:$H,8,FALSE),0))</f>
        <v/>
      </c>
      <c r="I272" s="38" t="str">
        <f t="shared" si="1"/>
        <v/>
      </c>
      <c r="J272" s="38" t="str">
        <f>IF(A272="","",IFERROR(VLOOKUP(A272,BOOKINGS!$A:$Q,13,FALSE),0))</f>
        <v/>
      </c>
      <c r="K272" s="38" t="str">
        <f t="shared" si="2"/>
        <v/>
      </c>
      <c r="L272" s="38" t="str">
        <f t="shared" si="3"/>
        <v/>
      </c>
    </row>
    <row r="273" ht="15.75" customHeight="1">
      <c r="A273" s="33" t="str">
        <f>IF(BOOKINGS!A273="","",BOOKINGS!A273)</f>
        <v/>
      </c>
      <c r="B273" s="38" t="str">
        <f>IF(A273="","",MAX(VLOOKUP(A273,BOOKINGS!$A:$Q,6,FALSE)*VLOOKUP(VLOOKUP(A273,BOOKINGS!$A:$Q,7,FALSE),SETUP_RATES!$A:$H,3,FALSE),VLOOKUP(VLOOKUP(A273,BOOKINGS!$A:$Q,7,FALSE),SETUP_RATES!$A:$H,2,FALSE)))</f>
        <v/>
      </c>
      <c r="C273" s="38" t="str">
        <f>IF(A273="","",VLOOKUP(A273,BOOKINGS!$A:$Q,10,FALSE)*VLOOKUP(VLOOKUP(A273,BOOKINGS!$A:$Q,7,FALSE),SETUP_RATES!$A:$H,6,FALSE))</f>
        <v/>
      </c>
      <c r="D273" s="38" t="str">
        <f>IF(A273="","",MAX(0,VLOOKUP(A273,TRIP_ACTUALS!$A:$O,8,FALSE)-SETUP_RATES!$K$2)*SETUP_RATES!$K$3)</f>
        <v/>
      </c>
      <c r="E273" s="38" t="str">
        <f>IF(A273="","",VLOOKUP(A273,TRIP_ACTUALS!$A:$O,9,FALSE)*VLOOKUP(VLOOKUP(A273,BOOKINGS!$A:$Q,7,FALSE),SETUP_RATES!$A:$H,5,FALSE))</f>
        <v/>
      </c>
      <c r="F273" s="38" t="str">
        <f>IF(A273="","",IFERROR(VLOOKUP(A273,TRIP_ACTUALS!$A:$O,5,FALSE),0))</f>
        <v/>
      </c>
      <c r="G273" s="38" t="str">
        <f>IF(A273="","",IFERROR(VLOOKUP(A273,TRIP_ACTUALS!$A:$O,6,FALSE),0)+IFERROR(VLOOKUP(A273,TRIP_ACTUALS!$A:$O,7,FALSE),0))</f>
        <v/>
      </c>
      <c r="H273" s="38" t="str">
        <f>IF(A273="","",IFERROR(VLOOKUP(VLOOKUP(A273,BOOKINGS!$A:$Q,7,FALSE),SETUP_RATES!$A:$H,8,FALSE),0))</f>
        <v/>
      </c>
      <c r="I273" s="38" t="str">
        <f t="shared" si="1"/>
        <v/>
      </c>
      <c r="J273" s="38" t="str">
        <f>IF(A273="","",IFERROR(VLOOKUP(A273,BOOKINGS!$A:$Q,13,FALSE),0))</f>
        <v/>
      </c>
      <c r="K273" s="38" t="str">
        <f t="shared" si="2"/>
        <v/>
      </c>
      <c r="L273" s="38" t="str">
        <f t="shared" si="3"/>
        <v/>
      </c>
    </row>
    <row r="274" ht="15.75" customHeight="1">
      <c r="A274" s="33" t="str">
        <f>IF(BOOKINGS!A274="","",BOOKINGS!A274)</f>
        <v/>
      </c>
      <c r="B274" s="38" t="str">
        <f>IF(A274="","",MAX(VLOOKUP(A274,BOOKINGS!$A:$Q,6,FALSE)*VLOOKUP(VLOOKUP(A274,BOOKINGS!$A:$Q,7,FALSE),SETUP_RATES!$A:$H,3,FALSE),VLOOKUP(VLOOKUP(A274,BOOKINGS!$A:$Q,7,FALSE),SETUP_RATES!$A:$H,2,FALSE)))</f>
        <v/>
      </c>
      <c r="C274" s="38" t="str">
        <f>IF(A274="","",VLOOKUP(A274,BOOKINGS!$A:$Q,10,FALSE)*VLOOKUP(VLOOKUP(A274,BOOKINGS!$A:$Q,7,FALSE),SETUP_RATES!$A:$H,6,FALSE))</f>
        <v/>
      </c>
      <c r="D274" s="38" t="str">
        <f>IF(A274="","",MAX(0,VLOOKUP(A274,TRIP_ACTUALS!$A:$O,8,FALSE)-SETUP_RATES!$K$2)*SETUP_RATES!$K$3)</f>
        <v/>
      </c>
      <c r="E274" s="38" t="str">
        <f>IF(A274="","",VLOOKUP(A274,TRIP_ACTUALS!$A:$O,9,FALSE)*VLOOKUP(VLOOKUP(A274,BOOKINGS!$A:$Q,7,FALSE),SETUP_RATES!$A:$H,5,FALSE))</f>
        <v/>
      </c>
      <c r="F274" s="38" t="str">
        <f>IF(A274="","",IFERROR(VLOOKUP(A274,TRIP_ACTUALS!$A:$O,5,FALSE),0))</f>
        <v/>
      </c>
      <c r="G274" s="38" t="str">
        <f>IF(A274="","",IFERROR(VLOOKUP(A274,TRIP_ACTUALS!$A:$O,6,FALSE),0)+IFERROR(VLOOKUP(A274,TRIP_ACTUALS!$A:$O,7,FALSE),0))</f>
        <v/>
      </c>
      <c r="H274" s="38" t="str">
        <f>IF(A274="","",IFERROR(VLOOKUP(VLOOKUP(A274,BOOKINGS!$A:$Q,7,FALSE),SETUP_RATES!$A:$H,8,FALSE),0))</f>
        <v/>
      </c>
      <c r="I274" s="38" t="str">
        <f t="shared" si="1"/>
        <v/>
      </c>
      <c r="J274" s="38" t="str">
        <f>IF(A274="","",IFERROR(VLOOKUP(A274,BOOKINGS!$A:$Q,13,FALSE),0))</f>
        <v/>
      </c>
      <c r="K274" s="38" t="str">
        <f t="shared" si="2"/>
        <v/>
      </c>
      <c r="L274" s="38" t="str">
        <f t="shared" si="3"/>
        <v/>
      </c>
    </row>
    <row r="275" ht="15.75" customHeight="1">
      <c r="A275" s="33" t="str">
        <f>IF(BOOKINGS!A275="","",BOOKINGS!A275)</f>
        <v/>
      </c>
      <c r="B275" s="38" t="str">
        <f>IF(A275="","",MAX(VLOOKUP(A275,BOOKINGS!$A:$Q,6,FALSE)*VLOOKUP(VLOOKUP(A275,BOOKINGS!$A:$Q,7,FALSE),SETUP_RATES!$A:$H,3,FALSE),VLOOKUP(VLOOKUP(A275,BOOKINGS!$A:$Q,7,FALSE),SETUP_RATES!$A:$H,2,FALSE)))</f>
        <v/>
      </c>
      <c r="C275" s="38" t="str">
        <f>IF(A275="","",VLOOKUP(A275,BOOKINGS!$A:$Q,10,FALSE)*VLOOKUP(VLOOKUP(A275,BOOKINGS!$A:$Q,7,FALSE),SETUP_RATES!$A:$H,6,FALSE))</f>
        <v/>
      </c>
      <c r="D275" s="38" t="str">
        <f>IF(A275="","",MAX(0,VLOOKUP(A275,TRIP_ACTUALS!$A:$O,8,FALSE)-SETUP_RATES!$K$2)*SETUP_RATES!$K$3)</f>
        <v/>
      </c>
      <c r="E275" s="38" t="str">
        <f>IF(A275="","",VLOOKUP(A275,TRIP_ACTUALS!$A:$O,9,FALSE)*VLOOKUP(VLOOKUP(A275,BOOKINGS!$A:$Q,7,FALSE),SETUP_RATES!$A:$H,5,FALSE))</f>
        <v/>
      </c>
      <c r="F275" s="38" t="str">
        <f>IF(A275="","",IFERROR(VLOOKUP(A275,TRIP_ACTUALS!$A:$O,5,FALSE),0))</f>
        <v/>
      </c>
      <c r="G275" s="38" t="str">
        <f>IF(A275="","",IFERROR(VLOOKUP(A275,TRIP_ACTUALS!$A:$O,6,FALSE),0)+IFERROR(VLOOKUP(A275,TRIP_ACTUALS!$A:$O,7,FALSE),0))</f>
        <v/>
      </c>
      <c r="H275" s="38" t="str">
        <f>IF(A275="","",IFERROR(VLOOKUP(VLOOKUP(A275,BOOKINGS!$A:$Q,7,FALSE),SETUP_RATES!$A:$H,8,FALSE),0))</f>
        <v/>
      </c>
      <c r="I275" s="38" t="str">
        <f t="shared" si="1"/>
        <v/>
      </c>
      <c r="J275" s="38" t="str">
        <f>IF(A275="","",IFERROR(VLOOKUP(A275,BOOKINGS!$A:$Q,13,FALSE),0))</f>
        <v/>
      </c>
      <c r="K275" s="38" t="str">
        <f t="shared" si="2"/>
        <v/>
      </c>
      <c r="L275" s="38" t="str">
        <f t="shared" si="3"/>
        <v/>
      </c>
    </row>
    <row r="276" ht="15.75" customHeight="1">
      <c r="A276" s="33" t="str">
        <f>IF(BOOKINGS!A276="","",BOOKINGS!A276)</f>
        <v/>
      </c>
      <c r="B276" s="38" t="str">
        <f>IF(A276="","",MAX(VLOOKUP(A276,BOOKINGS!$A:$Q,6,FALSE)*VLOOKUP(VLOOKUP(A276,BOOKINGS!$A:$Q,7,FALSE),SETUP_RATES!$A:$H,3,FALSE),VLOOKUP(VLOOKUP(A276,BOOKINGS!$A:$Q,7,FALSE),SETUP_RATES!$A:$H,2,FALSE)))</f>
        <v/>
      </c>
      <c r="C276" s="38" t="str">
        <f>IF(A276="","",VLOOKUP(A276,BOOKINGS!$A:$Q,10,FALSE)*VLOOKUP(VLOOKUP(A276,BOOKINGS!$A:$Q,7,FALSE),SETUP_RATES!$A:$H,6,FALSE))</f>
        <v/>
      </c>
      <c r="D276" s="38" t="str">
        <f>IF(A276="","",MAX(0,VLOOKUP(A276,TRIP_ACTUALS!$A:$O,8,FALSE)-SETUP_RATES!$K$2)*SETUP_RATES!$K$3)</f>
        <v/>
      </c>
      <c r="E276" s="38" t="str">
        <f>IF(A276="","",VLOOKUP(A276,TRIP_ACTUALS!$A:$O,9,FALSE)*VLOOKUP(VLOOKUP(A276,BOOKINGS!$A:$Q,7,FALSE),SETUP_RATES!$A:$H,5,FALSE))</f>
        <v/>
      </c>
      <c r="F276" s="38" t="str">
        <f>IF(A276="","",IFERROR(VLOOKUP(A276,TRIP_ACTUALS!$A:$O,5,FALSE),0))</f>
        <v/>
      </c>
      <c r="G276" s="38" t="str">
        <f>IF(A276="","",IFERROR(VLOOKUP(A276,TRIP_ACTUALS!$A:$O,6,FALSE),0)+IFERROR(VLOOKUP(A276,TRIP_ACTUALS!$A:$O,7,FALSE),0))</f>
        <v/>
      </c>
      <c r="H276" s="38" t="str">
        <f>IF(A276="","",IFERROR(VLOOKUP(VLOOKUP(A276,BOOKINGS!$A:$Q,7,FALSE),SETUP_RATES!$A:$H,8,FALSE),0))</f>
        <v/>
      </c>
      <c r="I276" s="38" t="str">
        <f t="shared" si="1"/>
        <v/>
      </c>
      <c r="J276" s="38" t="str">
        <f>IF(A276="","",IFERROR(VLOOKUP(A276,BOOKINGS!$A:$Q,13,FALSE),0))</f>
        <v/>
      </c>
      <c r="K276" s="38" t="str">
        <f t="shared" si="2"/>
        <v/>
      </c>
      <c r="L276" s="38" t="str">
        <f t="shared" si="3"/>
        <v/>
      </c>
    </row>
    <row r="277" ht="15.75" customHeight="1">
      <c r="A277" s="33" t="str">
        <f>IF(BOOKINGS!A277="","",BOOKINGS!A277)</f>
        <v/>
      </c>
      <c r="B277" s="38" t="str">
        <f>IF(A277="","",MAX(VLOOKUP(A277,BOOKINGS!$A:$Q,6,FALSE)*VLOOKUP(VLOOKUP(A277,BOOKINGS!$A:$Q,7,FALSE),SETUP_RATES!$A:$H,3,FALSE),VLOOKUP(VLOOKUP(A277,BOOKINGS!$A:$Q,7,FALSE),SETUP_RATES!$A:$H,2,FALSE)))</f>
        <v/>
      </c>
      <c r="C277" s="38" t="str">
        <f>IF(A277="","",VLOOKUP(A277,BOOKINGS!$A:$Q,10,FALSE)*VLOOKUP(VLOOKUP(A277,BOOKINGS!$A:$Q,7,FALSE),SETUP_RATES!$A:$H,6,FALSE))</f>
        <v/>
      </c>
      <c r="D277" s="38" t="str">
        <f>IF(A277="","",MAX(0,VLOOKUP(A277,TRIP_ACTUALS!$A:$O,8,FALSE)-SETUP_RATES!$K$2)*SETUP_RATES!$K$3)</f>
        <v/>
      </c>
      <c r="E277" s="38" t="str">
        <f>IF(A277="","",VLOOKUP(A277,TRIP_ACTUALS!$A:$O,9,FALSE)*VLOOKUP(VLOOKUP(A277,BOOKINGS!$A:$Q,7,FALSE),SETUP_RATES!$A:$H,5,FALSE))</f>
        <v/>
      </c>
      <c r="F277" s="38" t="str">
        <f>IF(A277="","",IFERROR(VLOOKUP(A277,TRIP_ACTUALS!$A:$O,5,FALSE),0))</f>
        <v/>
      </c>
      <c r="G277" s="38" t="str">
        <f>IF(A277="","",IFERROR(VLOOKUP(A277,TRIP_ACTUALS!$A:$O,6,FALSE),0)+IFERROR(VLOOKUP(A277,TRIP_ACTUALS!$A:$O,7,FALSE),0))</f>
        <v/>
      </c>
      <c r="H277" s="38" t="str">
        <f>IF(A277="","",IFERROR(VLOOKUP(VLOOKUP(A277,BOOKINGS!$A:$Q,7,FALSE),SETUP_RATES!$A:$H,8,FALSE),0))</f>
        <v/>
      </c>
      <c r="I277" s="38" t="str">
        <f t="shared" si="1"/>
        <v/>
      </c>
      <c r="J277" s="38" t="str">
        <f>IF(A277="","",IFERROR(VLOOKUP(A277,BOOKINGS!$A:$Q,13,FALSE),0))</f>
        <v/>
      </c>
      <c r="K277" s="38" t="str">
        <f t="shared" si="2"/>
        <v/>
      </c>
      <c r="L277" s="38" t="str">
        <f t="shared" si="3"/>
        <v/>
      </c>
    </row>
    <row r="278" ht="15.75" customHeight="1">
      <c r="A278" s="33" t="str">
        <f>IF(BOOKINGS!A278="","",BOOKINGS!A278)</f>
        <v/>
      </c>
      <c r="B278" s="38" t="str">
        <f>IF(A278="","",MAX(VLOOKUP(A278,BOOKINGS!$A:$Q,6,FALSE)*VLOOKUP(VLOOKUP(A278,BOOKINGS!$A:$Q,7,FALSE),SETUP_RATES!$A:$H,3,FALSE),VLOOKUP(VLOOKUP(A278,BOOKINGS!$A:$Q,7,FALSE),SETUP_RATES!$A:$H,2,FALSE)))</f>
        <v/>
      </c>
      <c r="C278" s="38" t="str">
        <f>IF(A278="","",VLOOKUP(A278,BOOKINGS!$A:$Q,10,FALSE)*VLOOKUP(VLOOKUP(A278,BOOKINGS!$A:$Q,7,FALSE),SETUP_RATES!$A:$H,6,FALSE))</f>
        <v/>
      </c>
      <c r="D278" s="38" t="str">
        <f>IF(A278="","",MAX(0,VLOOKUP(A278,TRIP_ACTUALS!$A:$O,8,FALSE)-SETUP_RATES!$K$2)*SETUP_RATES!$K$3)</f>
        <v/>
      </c>
      <c r="E278" s="38" t="str">
        <f>IF(A278="","",VLOOKUP(A278,TRIP_ACTUALS!$A:$O,9,FALSE)*VLOOKUP(VLOOKUP(A278,BOOKINGS!$A:$Q,7,FALSE),SETUP_RATES!$A:$H,5,FALSE))</f>
        <v/>
      </c>
      <c r="F278" s="38" t="str">
        <f>IF(A278="","",IFERROR(VLOOKUP(A278,TRIP_ACTUALS!$A:$O,5,FALSE),0))</f>
        <v/>
      </c>
      <c r="G278" s="38" t="str">
        <f>IF(A278="","",IFERROR(VLOOKUP(A278,TRIP_ACTUALS!$A:$O,6,FALSE),0)+IFERROR(VLOOKUP(A278,TRIP_ACTUALS!$A:$O,7,FALSE),0))</f>
        <v/>
      </c>
      <c r="H278" s="38" t="str">
        <f>IF(A278="","",IFERROR(VLOOKUP(VLOOKUP(A278,BOOKINGS!$A:$Q,7,FALSE),SETUP_RATES!$A:$H,8,FALSE),0))</f>
        <v/>
      </c>
      <c r="I278" s="38" t="str">
        <f t="shared" si="1"/>
        <v/>
      </c>
      <c r="J278" s="38" t="str">
        <f>IF(A278="","",IFERROR(VLOOKUP(A278,BOOKINGS!$A:$Q,13,FALSE),0))</f>
        <v/>
      </c>
      <c r="K278" s="38" t="str">
        <f t="shared" si="2"/>
        <v/>
      </c>
      <c r="L278" s="38" t="str">
        <f t="shared" si="3"/>
        <v/>
      </c>
    </row>
    <row r="279" ht="15.75" customHeight="1">
      <c r="A279" s="33" t="str">
        <f>IF(BOOKINGS!A279="","",BOOKINGS!A279)</f>
        <v/>
      </c>
      <c r="B279" s="38" t="str">
        <f>IF(A279="","",MAX(VLOOKUP(A279,BOOKINGS!$A:$Q,6,FALSE)*VLOOKUP(VLOOKUP(A279,BOOKINGS!$A:$Q,7,FALSE),SETUP_RATES!$A:$H,3,FALSE),VLOOKUP(VLOOKUP(A279,BOOKINGS!$A:$Q,7,FALSE),SETUP_RATES!$A:$H,2,FALSE)))</f>
        <v/>
      </c>
      <c r="C279" s="38" t="str">
        <f>IF(A279="","",VLOOKUP(A279,BOOKINGS!$A:$Q,10,FALSE)*VLOOKUP(VLOOKUP(A279,BOOKINGS!$A:$Q,7,FALSE),SETUP_RATES!$A:$H,6,FALSE))</f>
        <v/>
      </c>
      <c r="D279" s="38" t="str">
        <f>IF(A279="","",MAX(0,VLOOKUP(A279,TRIP_ACTUALS!$A:$O,8,FALSE)-SETUP_RATES!$K$2)*SETUP_RATES!$K$3)</f>
        <v/>
      </c>
      <c r="E279" s="38" t="str">
        <f>IF(A279="","",VLOOKUP(A279,TRIP_ACTUALS!$A:$O,9,FALSE)*VLOOKUP(VLOOKUP(A279,BOOKINGS!$A:$Q,7,FALSE),SETUP_RATES!$A:$H,5,FALSE))</f>
        <v/>
      </c>
      <c r="F279" s="38" t="str">
        <f>IF(A279="","",IFERROR(VLOOKUP(A279,TRIP_ACTUALS!$A:$O,5,FALSE),0))</f>
        <v/>
      </c>
      <c r="G279" s="38" t="str">
        <f>IF(A279="","",IFERROR(VLOOKUP(A279,TRIP_ACTUALS!$A:$O,6,FALSE),0)+IFERROR(VLOOKUP(A279,TRIP_ACTUALS!$A:$O,7,FALSE),0))</f>
        <v/>
      </c>
      <c r="H279" s="38" t="str">
        <f>IF(A279="","",IFERROR(VLOOKUP(VLOOKUP(A279,BOOKINGS!$A:$Q,7,FALSE),SETUP_RATES!$A:$H,8,FALSE),0))</f>
        <v/>
      </c>
      <c r="I279" s="38" t="str">
        <f t="shared" si="1"/>
        <v/>
      </c>
      <c r="J279" s="38" t="str">
        <f>IF(A279="","",IFERROR(VLOOKUP(A279,BOOKINGS!$A:$Q,13,FALSE),0))</f>
        <v/>
      </c>
      <c r="K279" s="38" t="str">
        <f t="shared" si="2"/>
        <v/>
      </c>
      <c r="L279" s="38" t="str">
        <f t="shared" si="3"/>
        <v/>
      </c>
    </row>
    <row r="280" ht="15.75" customHeight="1">
      <c r="A280" s="33" t="str">
        <f>IF(BOOKINGS!A280="","",BOOKINGS!A280)</f>
        <v/>
      </c>
      <c r="B280" s="38" t="str">
        <f>IF(A280="","",MAX(VLOOKUP(A280,BOOKINGS!$A:$Q,6,FALSE)*VLOOKUP(VLOOKUP(A280,BOOKINGS!$A:$Q,7,FALSE),SETUP_RATES!$A:$H,3,FALSE),VLOOKUP(VLOOKUP(A280,BOOKINGS!$A:$Q,7,FALSE),SETUP_RATES!$A:$H,2,FALSE)))</f>
        <v/>
      </c>
      <c r="C280" s="38" t="str">
        <f>IF(A280="","",VLOOKUP(A280,BOOKINGS!$A:$Q,10,FALSE)*VLOOKUP(VLOOKUP(A280,BOOKINGS!$A:$Q,7,FALSE),SETUP_RATES!$A:$H,6,FALSE))</f>
        <v/>
      </c>
      <c r="D280" s="38" t="str">
        <f>IF(A280="","",MAX(0,VLOOKUP(A280,TRIP_ACTUALS!$A:$O,8,FALSE)-SETUP_RATES!$K$2)*SETUP_RATES!$K$3)</f>
        <v/>
      </c>
      <c r="E280" s="38" t="str">
        <f>IF(A280="","",VLOOKUP(A280,TRIP_ACTUALS!$A:$O,9,FALSE)*VLOOKUP(VLOOKUP(A280,BOOKINGS!$A:$Q,7,FALSE),SETUP_RATES!$A:$H,5,FALSE))</f>
        <v/>
      </c>
      <c r="F280" s="38" t="str">
        <f>IF(A280="","",IFERROR(VLOOKUP(A280,TRIP_ACTUALS!$A:$O,5,FALSE),0))</f>
        <v/>
      </c>
      <c r="G280" s="38" t="str">
        <f>IF(A280="","",IFERROR(VLOOKUP(A280,TRIP_ACTUALS!$A:$O,6,FALSE),0)+IFERROR(VLOOKUP(A280,TRIP_ACTUALS!$A:$O,7,FALSE),0))</f>
        <v/>
      </c>
      <c r="H280" s="38" t="str">
        <f>IF(A280="","",IFERROR(VLOOKUP(VLOOKUP(A280,BOOKINGS!$A:$Q,7,FALSE),SETUP_RATES!$A:$H,8,FALSE),0))</f>
        <v/>
      </c>
      <c r="I280" s="38" t="str">
        <f t="shared" si="1"/>
        <v/>
      </c>
      <c r="J280" s="38" t="str">
        <f>IF(A280="","",IFERROR(VLOOKUP(A280,BOOKINGS!$A:$Q,13,FALSE),0))</f>
        <v/>
      </c>
      <c r="K280" s="38" t="str">
        <f t="shared" si="2"/>
        <v/>
      </c>
      <c r="L280" s="38" t="str">
        <f t="shared" si="3"/>
        <v/>
      </c>
    </row>
    <row r="281" ht="15.75" customHeight="1">
      <c r="A281" s="33" t="str">
        <f>IF(BOOKINGS!A281="","",BOOKINGS!A281)</f>
        <v/>
      </c>
      <c r="B281" s="38" t="str">
        <f>IF(A281="","",MAX(VLOOKUP(A281,BOOKINGS!$A:$Q,6,FALSE)*VLOOKUP(VLOOKUP(A281,BOOKINGS!$A:$Q,7,FALSE),SETUP_RATES!$A:$H,3,FALSE),VLOOKUP(VLOOKUP(A281,BOOKINGS!$A:$Q,7,FALSE),SETUP_RATES!$A:$H,2,FALSE)))</f>
        <v/>
      </c>
      <c r="C281" s="38" t="str">
        <f>IF(A281="","",VLOOKUP(A281,BOOKINGS!$A:$Q,10,FALSE)*VLOOKUP(VLOOKUP(A281,BOOKINGS!$A:$Q,7,FALSE),SETUP_RATES!$A:$H,6,FALSE))</f>
        <v/>
      </c>
      <c r="D281" s="38" t="str">
        <f>IF(A281="","",MAX(0,VLOOKUP(A281,TRIP_ACTUALS!$A:$O,8,FALSE)-SETUP_RATES!$K$2)*SETUP_RATES!$K$3)</f>
        <v/>
      </c>
      <c r="E281" s="38" t="str">
        <f>IF(A281="","",VLOOKUP(A281,TRIP_ACTUALS!$A:$O,9,FALSE)*VLOOKUP(VLOOKUP(A281,BOOKINGS!$A:$Q,7,FALSE),SETUP_RATES!$A:$H,5,FALSE))</f>
        <v/>
      </c>
      <c r="F281" s="38" t="str">
        <f>IF(A281="","",IFERROR(VLOOKUP(A281,TRIP_ACTUALS!$A:$O,5,FALSE),0))</f>
        <v/>
      </c>
      <c r="G281" s="38" t="str">
        <f>IF(A281="","",IFERROR(VLOOKUP(A281,TRIP_ACTUALS!$A:$O,6,FALSE),0)+IFERROR(VLOOKUP(A281,TRIP_ACTUALS!$A:$O,7,FALSE),0))</f>
        <v/>
      </c>
      <c r="H281" s="38" t="str">
        <f>IF(A281="","",IFERROR(VLOOKUP(VLOOKUP(A281,BOOKINGS!$A:$Q,7,FALSE),SETUP_RATES!$A:$H,8,FALSE),0))</f>
        <v/>
      </c>
      <c r="I281" s="38" t="str">
        <f t="shared" si="1"/>
        <v/>
      </c>
      <c r="J281" s="38" t="str">
        <f>IF(A281="","",IFERROR(VLOOKUP(A281,BOOKINGS!$A:$Q,13,FALSE),0))</f>
        <v/>
      </c>
      <c r="K281" s="38" t="str">
        <f t="shared" si="2"/>
        <v/>
      </c>
      <c r="L281" s="38" t="str">
        <f t="shared" si="3"/>
        <v/>
      </c>
    </row>
    <row r="282" ht="15.75" customHeight="1">
      <c r="A282" s="33" t="str">
        <f>IF(BOOKINGS!A282="","",BOOKINGS!A282)</f>
        <v/>
      </c>
      <c r="B282" s="38" t="str">
        <f>IF(A282="","",MAX(VLOOKUP(A282,BOOKINGS!$A:$Q,6,FALSE)*VLOOKUP(VLOOKUP(A282,BOOKINGS!$A:$Q,7,FALSE),SETUP_RATES!$A:$H,3,FALSE),VLOOKUP(VLOOKUP(A282,BOOKINGS!$A:$Q,7,FALSE),SETUP_RATES!$A:$H,2,FALSE)))</f>
        <v/>
      </c>
      <c r="C282" s="38" t="str">
        <f>IF(A282="","",VLOOKUP(A282,BOOKINGS!$A:$Q,10,FALSE)*VLOOKUP(VLOOKUP(A282,BOOKINGS!$A:$Q,7,FALSE),SETUP_RATES!$A:$H,6,FALSE))</f>
        <v/>
      </c>
      <c r="D282" s="38" t="str">
        <f>IF(A282="","",MAX(0,VLOOKUP(A282,TRIP_ACTUALS!$A:$O,8,FALSE)-SETUP_RATES!$K$2)*SETUP_RATES!$K$3)</f>
        <v/>
      </c>
      <c r="E282" s="38" t="str">
        <f>IF(A282="","",VLOOKUP(A282,TRIP_ACTUALS!$A:$O,9,FALSE)*VLOOKUP(VLOOKUP(A282,BOOKINGS!$A:$Q,7,FALSE),SETUP_RATES!$A:$H,5,FALSE))</f>
        <v/>
      </c>
      <c r="F282" s="38" t="str">
        <f>IF(A282="","",IFERROR(VLOOKUP(A282,TRIP_ACTUALS!$A:$O,5,FALSE),0))</f>
        <v/>
      </c>
      <c r="G282" s="38" t="str">
        <f>IF(A282="","",IFERROR(VLOOKUP(A282,TRIP_ACTUALS!$A:$O,6,FALSE),0)+IFERROR(VLOOKUP(A282,TRIP_ACTUALS!$A:$O,7,FALSE),0))</f>
        <v/>
      </c>
      <c r="H282" s="38" t="str">
        <f>IF(A282="","",IFERROR(VLOOKUP(VLOOKUP(A282,BOOKINGS!$A:$Q,7,FALSE),SETUP_RATES!$A:$H,8,FALSE),0))</f>
        <v/>
      </c>
      <c r="I282" s="38" t="str">
        <f t="shared" si="1"/>
        <v/>
      </c>
      <c r="J282" s="38" t="str">
        <f>IF(A282="","",IFERROR(VLOOKUP(A282,BOOKINGS!$A:$Q,13,FALSE),0))</f>
        <v/>
      </c>
      <c r="K282" s="38" t="str">
        <f t="shared" si="2"/>
        <v/>
      </c>
      <c r="L282" s="38" t="str">
        <f t="shared" si="3"/>
        <v/>
      </c>
    </row>
    <row r="283" ht="15.75" customHeight="1">
      <c r="A283" s="33" t="str">
        <f>IF(BOOKINGS!A283="","",BOOKINGS!A283)</f>
        <v/>
      </c>
      <c r="B283" s="38" t="str">
        <f>IF(A283="","",MAX(VLOOKUP(A283,BOOKINGS!$A:$Q,6,FALSE)*VLOOKUP(VLOOKUP(A283,BOOKINGS!$A:$Q,7,FALSE),SETUP_RATES!$A:$H,3,FALSE),VLOOKUP(VLOOKUP(A283,BOOKINGS!$A:$Q,7,FALSE),SETUP_RATES!$A:$H,2,FALSE)))</f>
        <v/>
      </c>
      <c r="C283" s="38" t="str">
        <f>IF(A283="","",VLOOKUP(A283,BOOKINGS!$A:$Q,10,FALSE)*VLOOKUP(VLOOKUP(A283,BOOKINGS!$A:$Q,7,FALSE),SETUP_RATES!$A:$H,6,FALSE))</f>
        <v/>
      </c>
      <c r="D283" s="38" t="str">
        <f>IF(A283="","",MAX(0,VLOOKUP(A283,TRIP_ACTUALS!$A:$O,8,FALSE)-SETUP_RATES!$K$2)*SETUP_RATES!$K$3)</f>
        <v/>
      </c>
      <c r="E283" s="38" t="str">
        <f>IF(A283="","",VLOOKUP(A283,TRIP_ACTUALS!$A:$O,9,FALSE)*VLOOKUP(VLOOKUP(A283,BOOKINGS!$A:$Q,7,FALSE),SETUP_RATES!$A:$H,5,FALSE))</f>
        <v/>
      </c>
      <c r="F283" s="38" t="str">
        <f>IF(A283="","",IFERROR(VLOOKUP(A283,TRIP_ACTUALS!$A:$O,5,FALSE),0))</f>
        <v/>
      </c>
      <c r="G283" s="38" t="str">
        <f>IF(A283="","",IFERROR(VLOOKUP(A283,TRIP_ACTUALS!$A:$O,6,FALSE),0)+IFERROR(VLOOKUP(A283,TRIP_ACTUALS!$A:$O,7,FALSE),0))</f>
        <v/>
      </c>
      <c r="H283" s="38" t="str">
        <f>IF(A283="","",IFERROR(VLOOKUP(VLOOKUP(A283,BOOKINGS!$A:$Q,7,FALSE),SETUP_RATES!$A:$H,8,FALSE),0))</f>
        <v/>
      </c>
      <c r="I283" s="38" t="str">
        <f t="shared" si="1"/>
        <v/>
      </c>
      <c r="J283" s="38" t="str">
        <f>IF(A283="","",IFERROR(VLOOKUP(A283,BOOKINGS!$A:$Q,13,FALSE),0))</f>
        <v/>
      </c>
      <c r="K283" s="38" t="str">
        <f t="shared" si="2"/>
        <v/>
      </c>
      <c r="L283" s="38" t="str">
        <f t="shared" si="3"/>
        <v/>
      </c>
    </row>
    <row r="284" ht="15.75" customHeight="1">
      <c r="A284" s="33" t="str">
        <f>IF(BOOKINGS!A284="","",BOOKINGS!A284)</f>
        <v/>
      </c>
      <c r="B284" s="38" t="str">
        <f>IF(A284="","",MAX(VLOOKUP(A284,BOOKINGS!$A:$Q,6,FALSE)*VLOOKUP(VLOOKUP(A284,BOOKINGS!$A:$Q,7,FALSE),SETUP_RATES!$A:$H,3,FALSE),VLOOKUP(VLOOKUP(A284,BOOKINGS!$A:$Q,7,FALSE),SETUP_RATES!$A:$H,2,FALSE)))</f>
        <v/>
      </c>
      <c r="C284" s="38" t="str">
        <f>IF(A284="","",VLOOKUP(A284,BOOKINGS!$A:$Q,10,FALSE)*VLOOKUP(VLOOKUP(A284,BOOKINGS!$A:$Q,7,FALSE),SETUP_RATES!$A:$H,6,FALSE))</f>
        <v/>
      </c>
      <c r="D284" s="38" t="str">
        <f>IF(A284="","",MAX(0,VLOOKUP(A284,TRIP_ACTUALS!$A:$O,8,FALSE)-SETUP_RATES!$K$2)*SETUP_RATES!$K$3)</f>
        <v/>
      </c>
      <c r="E284" s="38" t="str">
        <f>IF(A284="","",VLOOKUP(A284,TRIP_ACTUALS!$A:$O,9,FALSE)*VLOOKUP(VLOOKUP(A284,BOOKINGS!$A:$Q,7,FALSE),SETUP_RATES!$A:$H,5,FALSE))</f>
        <v/>
      </c>
      <c r="F284" s="38" t="str">
        <f>IF(A284="","",IFERROR(VLOOKUP(A284,TRIP_ACTUALS!$A:$O,5,FALSE),0))</f>
        <v/>
      </c>
      <c r="G284" s="38" t="str">
        <f>IF(A284="","",IFERROR(VLOOKUP(A284,TRIP_ACTUALS!$A:$O,6,FALSE),0)+IFERROR(VLOOKUP(A284,TRIP_ACTUALS!$A:$O,7,FALSE),0))</f>
        <v/>
      </c>
      <c r="H284" s="38" t="str">
        <f>IF(A284="","",IFERROR(VLOOKUP(VLOOKUP(A284,BOOKINGS!$A:$Q,7,FALSE),SETUP_RATES!$A:$H,8,FALSE),0))</f>
        <v/>
      </c>
      <c r="I284" s="38" t="str">
        <f t="shared" si="1"/>
        <v/>
      </c>
      <c r="J284" s="38" t="str">
        <f>IF(A284="","",IFERROR(VLOOKUP(A284,BOOKINGS!$A:$Q,13,FALSE),0))</f>
        <v/>
      </c>
      <c r="K284" s="38" t="str">
        <f t="shared" si="2"/>
        <v/>
      </c>
      <c r="L284" s="38" t="str">
        <f t="shared" si="3"/>
        <v/>
      </c>
    </row>
    <row r="285" ht="15.75" customHeight="1">
      <c r="A285" s="33" t="str">
        <f>IF(BOOKINGS!A285="","",BOOKINGS!A285)</f>
        <v/>
      </c>
      <c r="B285" s="38" t="str">
        <f>IF(A285="","",MAX(VLOOKUP(A285,BOOKINGS!$A:$Q,6,FALSE)*VLOOKUP(VLOOKUP(A285,BOOKINGS!$A:$Q,7,FALSE),SETUP_RATES!$A:$H,3,FALSE),VLOOKUP(VLOOKUP(A285,BOOKINGS!$A:$Q,7,FALSE),SETUP_RATES!$A:$H,2,FALSE)))</f>
        <v/>
      </c>
      <c r="C285" s="38" t="str">
        <f>IF(A285="","",VLOOKUP(A285,BOOKINGS!$A:$Q,10,FALSE)*VLOOKUP(VLOOKUP(A285,BOOKINGS!$A:$Q,7,FALSE),SETUP_RATES!$A:$H,6,FALSE))</f>
        <v/>
      </c>
      <c r="D285" s="38" t="str">
        <f>IF(A285="","",MAX(0,VLOOKUP(A285,TRIP_ACTUALS!$A:$O,8,FALSE)-SETUP_RATES!$K$2)*SETUP_RATES!$K$3)</f>
        <v/>
      </c>
      <c r="E285" s="38" t="str">
        <f>IF(A285="","",VLOOKUP(A285,TRIP_ACTUALS!$A:$O,9,FALSE)*VLOOKUP(VLOOKUP(A285,BOOKINGS!$A:$Q,7,FALSE),SETUP_RATES!$A:$H,5,FALSE))</f>
        <v/>
      </c>
      <c r="F285" s="38" t="str">
        <f>IF(A285="","",IFERROR(VLOOKUP(A285,TRIP_ACTUALS!$A:$O,5,FALSE),0))</f>
        <v/>
      </c>
      <c r="G285" s="38" t="str">
        <f>IF(A285="","",IFERROR(VLOOKUP(A285,TRIP_ACTUALS!$A:$O,6,FALSE),0)+IFERROR(VLOOKUP(A285,TRIP_ACTUALS!$A:$O,7,FALSE),0))</f>
        <v/>
      </c>
      <c r="H285" s="38" t="str">
        <f>IF(A285="","",IFERROR(VLOOKUP(VLOOKUP(A285,BOOKINGS!$A:$Q,7,FALSE),SETUP_RATES!$A:$H,8,FALSE),0))</f>
        <v/>
      </c>
      <c r="I285" s="38" t="str">
        <f t="shared" si="1"/>
        <v/>
      </c>
      <c r="J285" s="38" t="str">
        <f>IF(A285="","",IFERROR(VLOOKUP(A285,BOOKINGS!$A:$Q,13,FALSE),0))</f>
        <v/>
      </c>
      <c r="K285" s="38" t="str">
        <f t="shared" si="2"/>
        <v/>
      </c>
      <c r="L285" s="38" t="str">
        <f t="shared" si="3"/>
        <v/>
      </c>
    </row>
    <row r="286" ht="15.75" customHeight="1">
      <c r="A286" s="33" t="str">
        <f>IF(BOOKINGS!A286="","",BOOKINGS!A286)</f>
        <v/>
      </c>
      <c r="B286" s="38" t="str">
        <f>IF(A286="","",MAX(VLOOKUP(A286,BOOKINGS!$A:$Q,6,FALSE)*VLOOKUP(VLOOKUP(A286,BOOKINGS!$A:$Q,7,FALSE),SETUP_RATES!$A:$H,3,FALSE),VLOOKUP(VLOOKUP(A286,BOOKINGS!$A:$Q,7,FALSE),SETUP_RATES!$A:$H,2,FALSE)))</f>
        <v/>
      </c>
      <c r="C286" s="38" t="str">
        <f>IF(A286="","",VLOOKUP(A286,BOOKINGS!$A:$Q,10,FALSE)*VLOOKUP(VLOOKUP(A286,BOOKINGS!$A:$Q,7,FALSE),SETUP_RATES!$A:$H,6,FALSE))</f>
        <v/>
      </c>
      <c r="D286" s="38" t="str">
        <f>IF(A286="","",MAX(0,VLOOKUP(A286,TRIP_ACTUALS!$A:$O,8,FALSE)-SETUP_RATES!$K$2)*SETUP_RATES!$K$3)</f>
        <v/>
      </c>
      <c r="E286" s="38" t="str">
        <f>IF(A286="","",VLOOKUP(A286,TRIP_ACTUALS!$A:$O,9,FALSE)*VLOOKUP(VLOOKUP(A286,BOOKINGS!$A:$Q,7,FALSE),SETUP_RATES!$A:$H,5,FALSE))</f>
        <v/>
      </c>
      <c r="F286" s="38" t="str">
        <f>IF(A286="","",IFERROR(VLOOKUP(A286,TRIP_ACTUALS!$A:$O,5,FALSE),0))</f>
        <v/>
      </c>
      <c r="G286" s="38" t="str">
        <f>IF(A286="","",IFERROR(VLOOKUP(A286,TRIP_ACTUALS!$A:$O,6,FALSE),0)+IFERROR(VLOOKUP(A286,TRIP_ACTUALS!$A:$O,7,FALSE),0))</f>
        <v/>
      </c>
      <c r="H286" s="38" t="str">
        <f>IF(A286="","",IFERROR(VLOOKUP(VLOOKUP(A286,BOOKINGS!$A:$Q,7,FALSE),SETUP_RATES!$A:$H,8,FALSE),0))</f>
        <v/>
      </c>
      <c r="I286" s="38" t="str">
        <f t="shared" si="1"/>
        <v/>
      </c>
      <c r="J286" s="38" t="str">
        <f>IF(A286="","",IFERROR(VLOOKUP(A286,BOOKINGS!$A:$Q,13,FALSE),0))</f>
        <v/>
      </c>
      <c r="K286" s="38" t="str">
        <f t="shared" si="2"/>
        <v/>
      </c>
      <c r="L286" s="38" t="str">
        <f t="shared" si="3"/>
        <v/>
      </c>
    </row>
    <row r="287" ht="15.75" customHeight="1">
      <c r="A287" s="33" t="str">
        <f>IF(BOOKINGS!A287="","",BOOKINGS!A287)</f>
        <v/>
      </c>
      <c r="B287" s="38" t="str">
        <f>IF(A287="","",MAX(VLOOKUP(A287,BOOKINGS!$A:$Q,6,FALSE)*VLOOKUP(VLOOKUP(A287,BOOKINGS!$A:$Q,7,FALSE),SETUP_RATES!$A:$H,3,FALSE),VLOOKUP(VLOOKUP(A287,BOOKINGS!$A:$Q,7,FALSE),SETUP_RATES!$A:$H,2,FALSE)))</f>
        <v/>
      </c>
      <c r="C287" s="38" t="str">
        <f>IF(A287="","",VLOOKUP(A287,BOOKINGS!$A:$Q,10,FALSE)*VLOOKUP(VLOOKUP(A287,BOOKINGS!$A:$Q,7,FALSE),SETUP_RATES!$A:$H,6,FALSE))</f>
        <v/>
      </c>
      <c r="D287" s="38" t="str">
        <f>IF(A287="","",MAX(0,VLOOKUP(A287,TRIP_ACTUALS!$A:$O,8,FALSE)-SETUP_RATES!$K$2)*SETUP_RATES!$K$3)</f>
        <v/>
      </c>
      <c r="E287" s="38" t="str">
        <f>IF(A287="","",VLOOKUP(A287,TRIP_ACTUALS!$A:$O,9,FALSE)*VLOOKUP(VLOOKUP(A287,BOOKINGS!$A:$Q,7,FALSE),SETUP_RATES!$A:$H,5,FALSE))</f>
        <v/>
      </c>
      <c r="F287" s="38" t="str">
        <f>IF(A287="","",IFERROR(VLOOKUP(A287,TRIP_ACTUALS!$A:$O,5,FALSE),0))</f>
        <v/>
      </c>
      <c r="G287" s="38" t="str">
        <f>IF(A287="","",IFERROR(VLOOKUP(A287,TRIP_ACTUALS!$A:$O,6,FALSE),0)+IFERROR(VLOOKUP(A287,TRIP_ACTUALS!$A:$O,7,FALSE),0))</f>
        <v/>
      </c>
      <c r="H287" s="38" t="str">
        <f>IF(A287="","",IFERROR(VLOOKUP(VLOOKUP(A287,BOOKINGS!$A:$Q,7,FALSE),SETUP_RATES!$A:$H,8,FALSE),0))</f>
        <v/>
      </c>
      <c r="I287" s="38" t="str">
        <f t="shared" si="1"/>
        <v/>
      </c>
      <c r="J287" s="38" t="str">
        <f>IF(A287="","",IFERROR(VLOOKUP(A287,BOOKINGS!$A:$Q,13,FALSE),0))</f>
        <v/>
      </c>
      <c r="K287" s="38" t="str">
        <f t="shared" si="2"/>
        <v/>
      </c>
      <c r="L287" s="38" t="str">
        <f t="shared" si="3"/>
        <v/>
      </c>
    </row>
    <row r="288" ht="15.75" customHeight="1">
      <c r="A288" s="33" t="str">
        <f>IF(BOOKINGS!A288="","",BOOKINGS!A288)</f>
        <v/>
      </c>
      <c r="B288" s="38" t="str">
        <f>IF(A288="","",MAX(VLOOKUP(A288,BOOKINGS!$A:$Q,6,FALSE)*VLOOKUP(VLOOKUP(A288,BOOKINGS!$A:$Q,7,FALSE),SETUP_RATES!$A:$H,3,FALSE),VLOOKUP(VLOOKUP(A288,BOOKINGS!$A:$Q,7,FALSE),SETUP_RATES!$A:$H,2,FALSE)))</f>
        <v/>
      </c>
      <c r="C288" s="38" t="str">
        <f>IF(A288="","",VLOOKUP(A288,BOOKINGS!$A:$Q,10,FALSE)*VLOOKUP(VLOOKUP(A288,BOOKINGS!$A:$Q,7,FALSE),SETUP_RATES!$A:$H,6,FALSE))</f>
        <v/>
      </c>
      <c r="D288" s="38" t="str">
        <f>IF(A288="","",MAX(0,VLOOKUP(A288,TRIP_ACTUALS!$A:$O,8,FALSE)-SETUP_RATES!$K$2)*SETUP_RATES!$K$3)</f>
        <v/>
      </c>
      <c r="E288" s="38" t="str">
        <f>IF(A288="","",VLOOKUP(A288,TRIP_ACTUALS!$A:$O,9,FALSE)*VLOOKUP(VLOOKUP(A288,BOOKINGS!$A:$Q,7,FALSE),SETUP_RATES!$A:$H,5,FALSE))</f>
        <v/>
      </c>
      <c r="F288" s="38" t="str">
        <f>IF(A288="","",IFERROR(VLOOKUP(A288,TRIP_ACTUALS!$A:$O,5,FALSE),0))</f>
        <v/>
      </c>
      <c r="G288" s="38" t="str">
        <f>IF(A288="","",IFERROR(VLOOKUP(A288,TRIP_ACTUALS!$A:$O,6,FALSE),0)+IFERROR(VLOOKUP(A288,TRIP_ACTUALS!$A:$O,7,FALSE),0))</f>
        <v/>
      </c>
      <c r="H288" s="38" t="str">
        <f>IF(A288="","",IFERROR(VLOOKUP(VLOOKUP(A288,BOOKINGS!$A:$Q,7,FALSE),SETUP_RATES!$A:$H,8,FALSE),0))</f>
        <v/>
      </c>
      <c r="I288" s="38" t="str">
        <f t="shared" si="1"/>
        <v/>
      </c>
      <c r="J288" s="38" t="str">
        <f>IF(A288="","",IFERROR(VLOOKUP(A288,BOOKINGS!$A:$Q,13,FALSE),0))</f>
        <v/>
      </c>
      <c r="K288" s="38" t="str">
        <f t="shared" si="2"/>
        <v/>
      </c>
      <c r="L288" s="38" t="str">
        <f t="shared" si="3"/>
        <v/>
      </c>
    </row>
    <row r="289" ht="15.75" customHeight="1">
      <c r="A289" s="33" t="str">
        <f>IF(BOOKINGS!A289="","",BOOKINGS!A289)</f>
        <v/>
      </c>
      <c r="B289" s="38" t="str">
        <f>IF(A289="","",MAX(VLOOKUP(A289,BOOKINGS!$A:$Q,6,FALSE)*VLOOKUP(VLOOKUP(A289,BOOKINGS!$A:$Q,7,FALSE),SETUP_RATES!$A:$H,3,FALSE),VLOOKUP(VLOOKUP(A289,BOOKINGS!$A:$Q,7,FALSE),SETUP_RATES!$A:$H,2,FALSE)))</f>
        <v/>
      </c>
      <c r="C289" s="38" t="str">
        <f>IF(A289="","",VLOOKUP(A289,BOOKINGS!$A:$Q,10,FALSE)*VLOOKUP(VLOOKUP(A289,BOOKINGS!$A:$Q,7,FALSE),SETUP_RATES!$A:$H,6,FALSE))</f>
        <v/>
      </c>
      <c r="D289" s="38" t="str">
        <f>IF(A289="","",MAX(0,VLOOKUP(A289,TRIP_ACTUALS!$A:$O,8,FALSE)-SETUP_RATES!$K$2)*SETUP_RATES!$K$3)</f>
        <v/>
      </c>
      <c r="E289" s="38" t="str">
        <f>IF(A289="","",VLOOKUP(A289,TRIP_ACTUALS!$A:$O,9,FALSE)*VLOOKUP(VLOOKUP(A289,BOOKINGS!$A:$Q,7,FALSE),SETUP_RATES!$A:$H,5,FALSE))</f>
        <v/>
      </c>
      <c r="F289" s="38" t="str">
        <f>IF(A289="","",IFERROR(VLOOKUP(A289,TRIP_ACTUALS!$A:$O,5,FALSE),0))</f>
        <v/>
      </c>
      <c r="G289" s="38" t="str">
        <f>IF(A289="","",IFERROR(VLOOKUP(A289,TRIP_ACTUALS!$A:$O,6,FALSE),0)+IFERROR(VLOOKUP(A289,TRIP_ACTUALS!$A:$O,7,FALSE),0))</f>
        <v/>
      </c>
      <c r="H289" s="38" t="str">
        <f>IF(A289="","",IFERROR(VLOOKUP(VLOOKUP(A289,BOOKINGS!$A:$Q,7,FALSE),SETUP_RATES!$A:$H,8,FALSE),0))</f>
        <v/>
      </c>
      <c r="I289" s="38" t="str">
        <f t="shared" si="1"/>
        <v/>
      </c>
      <c r="J289" s="38" t="str">
        <f>IF(A289="","",IFERROR(VLOOKUP(A289,BOOKINGS!$A:$Q,13,FALSE),0))</f>
        <v/>
      </c>
      <c r="K289" s="38" t="str">
        <f t="shared" si="2"/>
        <v/>
      </c>
      <c r="L289" s="38" t="str">
        <f t="shared" si="3"/>
        <v/>
      </c>
    </row>
    <row r="290" ht="15.75" customHeight="1">
      <c r="A290" s="33" t="str">
        <f>IF(BOOKINGS!A290="","",BOOKINGS!A290)</f>
        <v/>
      </c>
      <c r="B290" s="38" t="str">
        <f>IF(A290="","",MAX(VLOOKUP(A290,BOOKINGS!$A:$Q,6,FALSE)*VLOOKUP(VLOOKUP(A290,BOOKINGS!$A:$Q,7,FALSE),SETUP_RATES!$A:$H,3,FALSE),VLOOKUP(VLOOKUP(A290,BOOKINGS!$A:$Q,7,FALSE),SETUP_RATES!$A:$H,2,FALSE)))</f>
        <v/>
      </c>
      <c r="C290" s="38" t="str">
        <f>IF(A290="","",VLOOKUP(A290,BOOKINGS!$A:$Q,10,FALSE)*VLOOKUP(VLOOKUP(A290,BOOKINGS!$A:$Q,7,FALSE),SETUP_RATES!$A:$H,6,FALSE))</f>
        <v/>
      </c>
      <c r="D290" s="38" t="str">
        <f>IF(A290="","",MAX(0,VLOOKUP(A290,TRIP_ACTUALS!$A:$O,8,FALSE)-SETUP_RATES!$K$2)*SETUP_RATES!$K$3)</f>
        <v/>
      </c>
      <c r="E290" s="38" t="str">
        <f>IF(A290="","",VLOOKUP(A290,TRIP_ACTUALS!$A:$O,9,FALSE)*VLOOKUP(VLOOKUP(A290,BOOKINGS!$A:$Q,7,FALSE),SETUP_RATES!$A:$H,5,FALSE))</f>
        <v/>
      </c>
      <c r="F290" s="38" t="str">
        <f>IF(A290="","",IFERROR(VLOOKUP(A290,TRIP_ACTUALS!$A:$O,5,FALSE),0))</f>
        <v/>
      </c>
      <c r="G290" s="38" t="str">
        <f>IF(A290="","",IFERROR(VLOOKUP(A290,TRIP_ACTUALS!$A:$O,6,FALSE),0)+IFERROR(VLOOKUP(A290,TRIP_ACTUALS!$A:$O,7,FALSE),0))</f>
        <v/>
      </c>
      <c r="H290" s="38" t="str">
        <f>IF(A290="","",IFERROR(VLOOKUP(VLOOKUP(A290,BOOKINGS!$A:$Q,7,FALSE),SETUP_RATES!$A:$H,8,FALSE),0))</f>
        <v/>
      </c>
      <c r="I290" s="38" t="str">
        <f t="shared" si="1"/>
        <v/>
      </c>
      <c r="J290" s="38" t="str">
        <f>IF(A290="","",IFERROR(VLOOKUP(A290,BOOKINGS!$A:$Q,13,FALSE),0))</f>
        <v/>
      </c>
      <c r="K290" s="38" t="str">
        <f t="shared" si="2"/>
        <v/>
      </c>
      <c r="L290" s="38" t="str">
        <f t="shared" si="3"/>
        <v/>
      </c>
    </row>
    <row r="291" ht="15.75" customHeight="1">
      <c r="A291" s="33" t="str">
        <f>IF(BOOKINGS!A291="","",BOOKINGS!A291)</f>
        <v/>
      </c>
      <c r="B291" s="38" t="str">
        <f>IF(A291="","",MAX(VLOOKUP(A291,BOOKINGS!$A:$Q,6,FALSE)*VLOOKUP(VLOOKUP(A291,BOOKINGS!$A:$Q,7,FALSE),SETUP_RATES!$A:$H,3,FALSE),VLOOKUP(VLOOKUP(A291,BOOKINGS!$A:$Q,7,FALSE),SETUP_RATES!$A:$H,2,FALSE)))</f>
        <v/>
      </c>
      <c r="C291" s="38" t="str">
        <f>IF(A291="","",VLOOKUP(A291,BOOKINGS!$A:$Q,10,FALSE)*VLOOKUP(VLOOKUP(A291,BOOKINGS!$A:$Q,7,FALSE),SETUP_RATES!$A:$H,6,FALSE))</f>
        <v/>
      </c>
      <c r="D291" s="38" t="str">
        <f>IF(A291="","",MAX(0,VLOOKUP(A291,TRIP_ACTUALS!$A:$O,8,FALSE)-SETUP_RATES!$K$2)*SETUP_RATES!$K$3)</f>
        <v/>
      </c>
      <c r="E291" s="38" t="str">
        <f>IF(A291="","",VLOOKUP(A291,TRIP_ACTUALS!$A:$O,9,FALSE)*VLOOKUP(VLOOKUP(A291,BOOKINGS!$A:$Q,7,FALSE),SETUP_RATES!$A:$H,5,FALSE))</f>
        <v/>
      </c>
      <c r="F291" s="38" t="str">
        <f>IF(A291="","",IFERROR(VLOOKUP(A291,TRIP_ACTUALS!$A:$O,5,FALSE),0))</f>
        <v/>
      </c>
      <c r="G291" s="38" t="str">
        <f>IF(A291="","",IFERROR(VLOOKUP(A291,TRIP_ACTUALS!$A:$O,6,FALSE),0)+IFERROR(VLOOKUP(A291,TRIP_ACTUALS!$A:$O,7,FALSE),0))</f>
        <v/>
      </c>
      <c r="H291" s="38" t="str">
        <f>IF(A291="","",IFERROR(VLOOKUP(VLOOKUP(A291,BOOKINGS!$A:$Q,7,FALSE),SETUP_RATES!$A:$H,8,FALSE),0))</f>
        <v/>
      </c>
      <c r="I291" s="38" t="str">
        <f t="shared" si="1"/>
        <v/>
      </c>
      <c r="J291" s="38" t="str">
        <f>IF(A291="","",IFERROR(VLOOKUP(A291,BOOKINGS!$A:$Q,13,FALSE),0))</f>
        <v/>
      </c>
      <c r="K291" s="38" t="str">
        <f t="shared" si="2"/>
        <v/>
      </c>
      <c r="L291" s="38" t="str">
        <f t="shared" si="3"/>
        <v/>
      </c>
    </row>
    <row r="292" ht="15.75" customHeight="1">
      <c r="A292" s="33" t="str">
        <f>IF(BOOKINGS!A292="","",BOOKINGS!A292)</f>
        <v/>
      </c>
      <c r="B292" s="38" t="str">
        <f>IF(A292="","",MAX(VLOOKUP(A292,BOOKINGS!$A:$Q,6,FALSE)*VLOOKUP(VLOOKUP(A292,BOOKINGS!$A:$Q,7,FALSE),SETUP_RATES!$A:$H,3,FALSE),VLOOKUP(VLOOKUP(A292,BOOKINGS!$A:$Q,7,FALSE),SETUP_RATES!$A:$H,2,FALSE)))</f>
        <v/>
      </c>
      <c r="C292" s="38" t="str">
        <f>IF(A292="","",VLOOKUP(A292,BOOKINGS!$A:$Q,10,FALSE)*VLOOKUP(VLOOKUP(A292,BOOKINGS!$A:$Q,7,FALSE),SETUP_RATES!$A:$H,6,FALSE))</f>
        <v/>
      </c>
      <c r="D292" s="38" t="str">
        <f>IF(A292="","",MAX(0,VLOOKUP(A292,TRIP_ACTUALS!$A:$O,8,FALSE)-SETUP_RATES!$K$2)*SETUP_RATES!$K$3)</f>
        <v/>
      </c>
      <c r="E292" s="38" t="str">
        <f>IF(A292="","",VLOOKUP(A292,TRIP_ACTUALS!$A:$O,9,FALSE)*VLOOKUP(VLOOKUP(A292,BOOKINGS!$A:$Q,7,FALSE),SETUP_RATES!$A:$H,5,FALSE))</f>
        <v/>
      </c>
      <c r="F292" s="38" t="str">
        <f>IF(A292="","",IFERROR(VLOOKUP(A292,TRIP_ACTUALS!$A:$O,5,FALSE),0))</f>
        <v/>
      </c>
      <c r="G292" s="38" t="str">
        <f>IF(A292="","",IFERROR(VLOOKUP(A292,TRIP_ACTUALS!$A:$O,6,FALSE),0)+IFERROR(VLOOKUP(A292,TRIP_ACTUALS!$A:$O,7,FALSE),0))</f>
        <v/>
      </c>
      <c r="H292" s="38" t="str">
        <f>IF(A292="","",IFERROR(VLOOKUP(VLOOKUP(A292,BOOKINGS!$A:$Q,7,FALSE),SETUP_RATES!$A:$H,8,FALSE),0))</f>
        <v/>
      </c>
      <c r="I292" s="38" t="str">
        <f t="shared" si="1"/>
        <v/>
      </c>
      <c r="J292" s="38" t="str">
        <f>IF(A292="","",IFERROR(VLOOKUP(A292,BOOKINGS!$A:$Q,13,FALSE),0))</f>
        <v/>
      </c>
      <c r="K292" s="38" t="str">
        <f t="shared" si="2"/>
        <v/>
      </c>
      <c r="L292" s="38" t="str">
        <f t="shared" si="3"/>
        <v/>
      </c>
    </row>
    <row r="293" ht="15.75" customHeight="1">
      <c r="A293" s="33" t="str">
        <f>IF(BOOKINGS!A293="","",BOOKINGS!A293)</f>
        <v/>
      </c>
      <c r="B293" s="38" t="str">
        <f>IF(A293="","",MAX(VLOOKUP(A293,BOOKINGS!$A:$Q,6,FALSE)*VLOOKUP(VLOOKUP(A293,BOOKINGS!$A:$Q,7,FALSE),SETUP_RATES!$A:$H,3,FALSE),VLOOKUP(VLOOKUP(A293,BOOKINGS!$A:$Q,7,FALSE),SETUP_RATES!$A:$H,2,FALSE)))</f>
        <v/>
      </c>
      <c r="C293" s="38" t="str">
        <f>IF(A293="","",VLOOKUP(A293,BOOKINGS!$A:$Q,10,FALSE)*VLOOKUP(VLOOKUP(A293,BOOKINGS!$A:$Q,7,FALSE),SETUP_RATES!$A:$H,6,FALSE))</f>
        <v/>
      </c>
      <c r="D293" s="38" t="str">
        <f>IF(A293="","",MAX(0,VLOOKUP(A293,TRIP_ACTUALS!$A:$O,8,FALSE)-SETUP_RATES!$K$2)*SETUP_RATES!$K$3)</f>
        <v/>
      </c>
      <c r="E293" s="38" t="str">
        <f>IF(A293="","",VLOOKUP(A293,TRIP_ACTUALS!$A:$O,9,FALSE)*VLOOKUP(VLOOKUP(A293,BOOKINGS!$A:$Q,7,FALSE),SETUP_RATES!$A:$H,5,FALSE))</f>
        <v/>
      </c>
      <c r="F293" s="38" t="str">
        <f>IF(A293="","",IFERROR(VLOOKUP(A293,TRIP_ACTUALS!$A:$O,5,FALSE),0))</f>
        <v/>
      </c>
      <c r="G293" s="38" t="str">
        <f>IF(A293="","",IFERROR(VLOOKUP(A293,TRIP_ACTUALS!$A:$O,6,FALSE),0)+IFERROR(VLOOKUP(A293,TRIP_ACTUALS!$A:$O,7,FALSE),0))</f>
        <v/>
      </c>
      <c r="H293" s="38" t="str">
        <f>IF(A293="","",IFERROR(VLOOKUP(VLOOKUP(A293,BOOKINGS!$A:$Q,7,FALSE),SETUP_RATES!$A:$H,8,FALSE),0))</f>
        <v/>
      </c>
      <c r="I293" s="38" t="str">
        <f t="shared" si="1"/>
        <v/>
      </c>
      <c r="J293" s="38" t="str">
        <f>IF(A293="","",IFERROR(VLOOKUP(A293,BOOKINGS!$A:$Q,13,FALSE),0))</f>
        <v/>
      </c>
      <c r="K293" s="38" t="str">
        <f t="shared" si="2"/>
        <v/>
      </c>
      <c r="L293" s="38" t="str">
        <f t="shared" si="3"/>
        <v/>
      </c>
    </row>
    <row r="294" ht="15.75" customHeight="1">
      <c r="A294" s="33" t="str">
        <f>IF(BOOKINGS!A294="","",BOOKINGS!A294)</f>
        <v/>
      </c>
      <c r="B294" s="38" t="str">
        <f>IF(A294="","",MAX(VLOOKUP(A294,BOOKINGS!$A:$Q,6,FALSE)*VLOOKUP(VLOOKUP(A294,BOOKINGS!$A:$Q,7,FALSE),SETUP_RATES!$A:$H,3,FALSE),VLOOKUP(VLOOKUP(A294,BOOKINGS!$A:$Q,7,FALSE),SETUP_RATES!$A:$H,2,FALSE)))</f>
        <v/>
      </c>
      <c r="C294" s="38" t="str">
        <f>IF(A294="","",VLOOKUP(A294,BOOKINGS!$A:$Q,10,FALSE)*VLOOKUP(VLOOKUP(A294,BOOKINGS!$A:$Q,7,FALSE),SETUP_RATES!$A:$H,6,FALSE))</f>
        <v/>
      </c>
      <c r="D294" s="38" t="str">
        <f>IF(A294="","",MAX(0,VLOOKUP(A294,TRIP_ACTUALS!$A:$O,8,FALSE)-SETUP_RATES!$K$2)*SETUP_RATES!$K$3)</f>
        <v/>
      </c>
      <c r="E294" s="38" t="str">
        <f>IF(A294="","",VLOOKUP(A294,TRIP_ACTUALS!$A:$O,9,FALSE)*VLOOKUP(VLOOKUP(A294,BOOKINGS!$A:$Q,7,FALSE),SETUP_RATES!$A:$H,5,FALSE))</f>
        <v/>
      </c>
      <c r="F294" s="38" t="str">
        <f>IF(A294="","",IFERROR(VLOOKUP(A294,TRIP_ACTUALS!$A:$O,5,FALSE),0))</f>
        <v/>
      </c>
      <c r="G294" s="38" t="str">
        <f>IF(A294="","",IFERROR(VLOOKUP(A294,TRIP_ACTUALS!$A:$O,6,FALSE),0)+IFERROR(VLOOKUP(A294,TRIP_ACTUALS!$A:$O,7,FALSE),0))</f>
        <v/>
      </c>
      <c r="H294" s="38" t="str">
        <f>IF(A294="","",IFERROR(VLOOKUP(VLOOKUP(A294,BOOKINGS!$A:$Q,7,FALSE),SETUP_RATES!$A:$H,8,FALSE),0))</f>
        <v/>
      </c>
      <c r="I294" s="38" t="str">
        <f t="shared" si="1"/>
        <v/>
      </c>
      <c r="J294" s="38" t="str">
        <f>IF(A294="","",IFERROR(VLOOKUP(A294,BOOKINGS!$A:$Q,13,FALSE),0))</f>
        <v/>
      </c>
      <c r="K294" s="38" t="str">
        <f t="shared" si="2"/>
        <v/>
      </c>
      <c r="L294" s="38" t="str">
        <f t="shared" si="3"/>
        <v/>
      </c>
    </row>
    <row r="295" ht="15.75" customHeight="1">
      <c r="A295" s="33" t="str">
        <f>IF(BOOKINGS!A295="","",BOOKINGS!A295)</f>
        <v/>
      </c>
      <c r="B295" s="38" t="str">
        <f>IF(A295="","",MAX(VLOOKUP(A295,BOOKINGS!$A:$Q,6,FALSE)*VLOOKUP(VLOOKUP(A295,BOOKINGS!$A:$Q,7,FALSE),SETUP_RATES!$A:$H,3,FALSE),VLOOKUP(VLOOKUP(A295,BOOKINGS!$A:$Q,7,FALSE),SETUP_RATES!$A:$H,2,FALSE)))</f>
        <v/>
      </c>
      <c r="C295" s="38" t="str">
        <f>IF(A295="","",VLOOKUP(A295,BOOKINGS!$A:$Q,10,FALSE)*VLOOKUP(VLOOKUP(A295,BOOKINGS!$A:$Q,7,FALSE),SETUP_RATES!$A:$H,6,FALSE))</f>
        <v/>
      </c>
      <c r="D295" s="38" t="str">
        <f>IF(A295="","",MAX(0,VLOOKUP(A295,TRIP_ACTUALS!$A:$O,8,FALSE)-SETUP_RATES!$K$2)*SETUP_RATES!$K$3)</f>
        <v/>
      </c>
      <c r="E295" s="38" t="str">
        <f>IF(A295="","",VLOOKUP(A295,TRIP_ACTUALS!$A:$O,9,FALSE)*VLOOKUP(VLOOKUP(A295,BOOKINGS!$A:$Q,7,FALSE),SETUP_RATES!$A:$H,5,FALSE))</f>
        <v/>
      </c>
      <c r="F295" s="38" t="str">
        <f>IF(A295="","",IFERROR(VLOOKUP(A295,TRIP_ACTUALS!$A:$O,5,FALSE),0))</f>
        <v/>
      </c>
      <c r="G295" s="38" t="str">
        <f>IF(A295="","",IFERROR(VLOOKUP(A295,TRIP_ACTUALS!$A:$O,6,FALSE),0)+IFERROR(VLOOKUP(A295,TRIP_ACTUALS!$A:$O,7,FALSE),0))</f>
        <v/>
      </c>
      <c r="H295" s="38" t="str">
        <f>IF(A295="","",IFERROR(VLOOKUP(VLOOKUP(A295,BOOKINGS!$A:$Q,7,FALSE),SETUP_RATES!$A:$H,8,FALSE),0))</f>
        <v/>
      </c>
      <c r="I295" s="38" t="str">
        <f t="shared" si="1"/>
        <v/>
      </c>
      <c r="J295" s="38" t="str">
        <f>IF(A295="","",IFERROR(VLOOKUP(A295,BOOKINGS!$A:$Q,13,FALSE),0))</f>
        <v/>
      </c>
      <c r="K295" s="38" t="str">
        <f t="shared" si="2"/>
        <v/>
      </c>
      <c r="L295" s="38" t="str">
        <f t="shared" si="3"/>
        <v/>
      </c>
    </row>
    <row r="296" ht="15.75" customHeight="1">
      <c r="A296" s="33" t="str">
        <f>IF(BOOKINGS!A296="","",BOOKINGS!A296)</f>
        <v/>
      </c>
      <c r="B296" s="38" t="str">
        <f>IF(A296="","",MAX(VLOOKUP(A296,BOOKINGS!$A:$Q,6,FALSE)*VLOOKUP(VLOOKUP(A296,BOOKINGS!$A:$Q,7,FALSE),SETUP_RATES!$A:$H,3,FALSE),VLOOKUP(VLOOKUP(A296,BOOKINGS!$A:$Q,7,FALSE),SETUP_RATES!$A:$H,2,FALSE)))</f>
        <v/>
      </c>
      <c r="C296" s="38" t="str">
        <f>IF(A296="","",VLOOKUP(A296,BOOKINGS!$A:$Q,10,FALSE)*VLOOKUP(VLOOKUP(A296,BOOKINGS!$A:$Q,7,FALSE),SETUP_RATES!$A:$H,6,FALSE))</f>
        <v/>
      </c>
      <c r="D296" s="38" t="str">
        <f>IF(A296="","",MAX(0,VLOOKUP(A296,TRIP_ACTUALS!$A:$O,8,FALSE)-SETUP_RATES!$K$2)*SETUP_RATES!$K$3)</f>
        <v/>
      </c>
      <c r="E296" s="38" t="str">
        <f>IF(A296="","",VLOOKUP(A296,TRIP_ACTUALS!$A:$O,9,FALSE)*VLOOKUP(VLOOKUP(A296,BOOKINGS!$A:$Q,7,FALSE),SETUP_RATES!$A:$H,5,FALSE))</f>
        <v/>
      </c>
      <c r="F296" s="38" t="str">
        <f>IF(A296="","",IFERROR(VLOOKUP(A296,TRIP_ACTUALS!$A:$O,5,FALSE),0))</f>
        <v/>
      </c>
      <c r="G296" s="38" t="str">
        <f>IF(A296="","",IFERROR(VLOOKUP(A296,TRIP_ACTUALS!$A:$O,6,FALSE),0)+IFERROR(VLOOKUP(A296,TRIP_ACTUALS!$A:$O,7,FALSE),0))</f>
        <v/>
      </c>
      <c r="H296" s="38" t="str">
        <f>IF(A296="","",IFERROR(VLOOKUP(VLOOKUP(A296,BOOKINGS!$A:$Q,7,FALSE),SETUP_RATES!$A:$H,8,FALSE),0))</f>
        <v/>
      </c>
      <c r="I296" s="38" t="str">
        <f t="shared" si="1"/>
        <v/>
      </c>
      <c r="J296" s="38" t="str">
        <f>IF(A296="","",IFERROR(VLOOKUP(A296,BOOKINGS!$A:$Q,13,FALSE),0))</f>
        <v/>
      </c>
      <c r="K296" s="38" t="str">
        <f t="shared" si="2"/>
        <v/>
      </c>
      <c r="L296" s="38" t="str">
        <f t="shared" si="3"/>
        <v/>
      </c>
    </row>
    <row r="297" ht="15.75" customHeight="1">
      <c r="A297" s="33" t="str">
        <f>IF(BOOKINGS!A297="","",BOOKINGS!A297)</f>
        <v/>
      </c>
      <c r="B297" s="38" t="str">
        <f>IF(A297="","",MAX(VLOOKUP(A297,BOOKINGS!$A:$Q,6,FALSE)*VLOOKUP(VLOOKUP(A297,BOOKINGS!$A:$Q,7,FALSE),SETUP_RATES!$A:$H,3,FALSE),VLOOKUP(VLOOKUP(A297,BOOKINGS!$A:$Q,7,FALSE),SETUP_RATES!$A:$H,2,FALSE)))</f>
        <v/>
      </c>
      <c r="C297" s="38" t="str">
        <f>IF(A297="","",VLOOKUP(A297,BOOKINGS!$A:$Q,10,FALSE)*VLOOKUP(VLOOKUP(A297,BOOKINGS!$A:$Q,7,FALSE),SETUP_RATES!$A:$H,6,FALSE))</f>
        <v/>
      </c>
      <c r="D297" s="38" t="str">
        <f>IF(A297="","",MAX(0,VLOOKUP(A297,TRIP_ACTUALS!$A:$O,8,FALSE)-SETUP_RATES!$K$2)*SETUP_RATES!$K$3)</f>
        <v/>
      </c>
      <c r="E297" s="38" t="str">
        <f>IF(A297="","",VLOOKUP(A297,TRIP_ACTUALS!$A:$O,9,FALSE)*VLOOKUP(VLOOKUP(A297,BOOKINGS!$A:$Q,7,FALSE),SETUP_RATES!$A:$H,5,FALSE))</f>
        <v/>
      </c>
      <c r="F297" s="38" t="str">
        <f>IF(A297="","",IFERROR(VLOOKUP(A297,TRIP_ACTUALS!$A:$O,5,FALSE),0))</f>
        <v/>
      </c>
      <c r="G297" s="38" t="str">
        <f>IF(A297="","",IFERROR(VLOOKUP(A297,TRIP_ACTUALS!$A:$O,6,FALSE),0)+IFERROR(VLOOKUP(A297,TRIP_ACTUALS!$A:$O,7,FALSE),0))</f>
        <v/>
      </c>
      <c r="H297" s="38" t="str">
        <f>IF(A297="","",IFERROR(VLOOKUP(VLOOKUP(A297,BOOKINGS!$A:$Q,7,FALSE),SETUP_RATES!$A:$H,8,FALSE),0))</f>
        <v/>
      </c>
      <c r="I297" s="38" t="str">
        <f t="shared" si="1"/>
        <v/>
      </c>
      <c r="J297" s="38" t="str">
        <f>IF(A297="","",IFERROR(VLOOKUP(A297,BOOKINGS!$A:$Q,13,FALSE),0))</f>
        <v/>
      </c>
      <c r="K297" s="38" t="str">
        <f t="shared" si="2"/>
        <v/>
      </c>
      <c r="L297" s="38" t="str">
        <f t="shared" si="3"/>
        <v/>
      </c>
    </row>
    <row r="298" ht="15.75" customHeight="1">
      <c r="A298" s="33" t="str">
        <f>IF(BOOKINGS!A298="","",BOOKINGS!A298)</f>
        <v/>
      </c>
      <c r="B298" s="38" t="str">
        <f>IF(A298="","",MAX(VLOOKUP(A298,BOOKINGS!$A:$Q,6,FALSE)*VLOOKUP(VLOOKUP(A298,BOOKINGS!$A:$Q,7,FALSE),SETUP_RATES!$A:$H,3,FALSE),VLOOKUP(VLOOKUP(A298,BOOKINGS!$A:$Q,7,FALSE),SETUP_RATES!$A:$H,2,FALSE)))</f>
        <v/>
      </c>
      <c r="C298" s="38" t="str">
        <f>IF(A298="","",VLOOKUP(A298,BOOKINGS!$A:$Q,10,FALSE)*VLOOKUP(VLOOKUP(A298,BOOKINGS!$A:$Q,7,FALSE),SETUP_RATES!$A:$H,6,FALSE))</f>
        <v/>
      </c>
      <c r="D298" s="38" t="str">
        <f>IF(A298="","",MAX(0,VLOOKUP(A298,TRIP_ACTUALS!$A:$O,8,FALSE)-SETUP_RATES!$K$2)*SETUP_RATES!$K$3)</f>
        <v/>
      </c>
      <c r="E298" s="38" t="str">
        <f>IF(A298="","",VLOOKUP(A298,TRIP_ACTUALS!$A:$O,9,FALSE)*VLOOKUP(VLOOKUP(A298,BOOKINGS!$A:$Q,7,FALSE),SETUP_RATES!$A:$H,5,FALSE))</f>
        <v/>
      </c>
      <c r="F298" s="38" t="str">
        <f>IF(A298="","",IFERROR(VLOOKUP(A298,TRIP_ACTUALS!$A:$O,5,FALSE),0))</f>
        <v/>
      </c>
      <c r="G298" s="38" t="str">
        <f>IF(A298="","",IFERROR(VLOOKUP(A298,TRIP_ACTUALS!$A:$O,6,FALSE),0)+IFERROR(VLOOKUP(A298,TRIP_ACTUALS!$A:$O,7,FALSE),0))</f>
        <v/>
      </c>
      <c r="H298" s="38" t="str">
        <f>IF(A298="","",IFERROR(VLOOKUP(VLOOKUP(A298,BOOKINGS!$A:$Q,7,FALSE),SETUP_RATES!$A:$H,8,FALSE),0))</f>
        <v/>
      </c>
      <c r="I298" s="38" t="str">
        <f t="shared" si="1"/>
        <v/>
      </c>
      <c r="J298" s="38" t="str">
        <f>IF(A298="","",IFERROR(VLOOKUP(A298,BOOKINGS!$A:$Q,13,FALSE),0))</f>
        <v/>
      </c>
      <c r="K298" s="38" t="str">
        <f t="shared" si="2"/>
        <v/>
      </c>
      <c r="L298" s="38" t="str">
        <f t="shared" si="3"/>
        <v/>
      </c>
    </row>
    <row r="299" ht="15.75" customHeight="1">
      <c r="A299" s="33" t="str">
        <f>IF(BOOKINGS!A299="","",BOOKINGS!A299)</f>
        <v/>
      </c>
      <c r="B299" s="38" t="str">
        <f>IF(A299="","",MAX(VLOOKUP(A299,BOOKINGS!$A:$Q,6,FALSE)*VLOOKUP(VLOOKUP(A299,BOOKINGS!$A:$Q,7,FALSE),SETUP_RATES!$A:$H,3,FALSE),VLOOKUP(VLOOKUP(A299,BOOKINGS!$A:$Q,7,FALSE),SETUP_RATES!$A:$H,2,FALSE)))</f>
        <v/>
      </c>
      <c r="C299" s="38" t="str">
        <f>IF(A299="","",VLOOKUP(A299,BOOKINGS!$A:$Q,10,FALSE)*VLOOKUP(VLOOKUP(A299,BOOKINGS!$A:$Q,7,FALSE),SETUP_RATES!$A:$H,6,FALSE))</f>
        <v/>
      </c>
      <c r="D299" s="38" t="str">
        <f>IF(A299="","",MAX(0,VLOOKUP(A299,TRIP_ACTUALS!$A:$O,8,FALSE)-SETUP_RATES!$K$2)*SETUP_RATES!$K$3)</f>
        <v/>
      </c>
      <c r="E299" s="38" t="str">
        <f>IF(A299="","",VLOOKUP(A299,TRIP_ACTUALS!$A:$O,9,FALSE)*VLOOKUP(VLOOKUP(A299,BOOKINGS!$A:$Q,7,FALSE),SETUP_RATES!$A:$H,5,FALSE))</f>
        <v/>
      </c>
      <c r="F299" s="38" t="str">
        <f>IF(A299="","",IFERROR(VLOOKUP(A299,TRIP_ACTUALS!$A:$O,5,FALSE),0))</f>
        <v/>
      </c>
      <c r="G299" s="38" t="str">
        <f>IF(A299="","",IFERROR(VLOOKUP(A299,TRIP_ACTUALS!$A:$O,6,FALSE),0)+IFERROR(VLOOKUP(A299,TRIP_ACTUALS!$A:$O,7,FALSE),0))</f>
        <v/>
      </c>
      <c r="H299" s="38" t="str">
        <f>IF(A299="","",IFERROR(VLOOKUP(VLOOKUP(A299,BOOKINGS!$A:$Q,7,FALSE),SETUP_RATES!$A:$H,8,FALSE),0))</f>
        <v/>
      </c>
      <c r="I299" s="38" t="str">
        <f t="shared" si="1"/>
        <v/>
      </c>
      <c r="J299" s="38" t="str">
        <f>IF(A299="","",IFERROR(VLOOKUP(A299,BOOKINGS!$A:$Q,13,FALSE),0))</f>
        <v/>
      </c>
      <c r="K299" s="38" t="str">
        <f t="shared" si="2"/>
        <v/>
      </c>
      <c r="L299" s="38" t="str">
        <f t="shared" si="3"/>
        <v/>
      </c>
    </row>
    <row r="300" ht="15.75" customHeight="1">
      <c r="A300" s="33" t="str">
        <f>IF(BOOKINGS!A300="","",BOOKINGS!A300)</f>
        <v/>
      </c>
      <c r="B300" s="38" t="str">
        <f>IF(A300="","",MAX(VLOOKUP(A300,BOOKINGS!$A:$Q,6,FALSE)*VLOOKUP(VLOOKUP(A300,BOOKINGS!$A:$Q,7,FALSE),SETUP_RATES!$A:$H,3,FALSE),VLOOKUP(VLOOKUP(A300,BOOKINGS!$A:$Q,7,FALSE),SETUP_RATES!$A:$H,2,FALSE)))</f>
        <v/>
      </c>
      <c r="C300" s="38" t="str">
        <f>IF(A300="","",VLOOKUP(A300,BOOKINGS!$A:$Q,10,FALSE)*VLOOKUP(VLOOKUP(A300,BOOKINGS!$A:$Q,7,FALSE),SETUP_RATES!$A:$H,6,FALSE))</f>
        <v/>
      </c>
      <c r="D300" s="38" t="str">
        <f>IF(A300="","",MAX(0,VLOOKUP(A300,TRIP_ACTUALS!$A:$O,8,FALSE)-SETUP_RATES!$K$2)*SETUP_RATES!$K$3)</f>
        <v/>
      </c>
      <c r="E300" s="38" t="str">
        <f>IF(A300="","",VLOOKUP(A300,TRIP_ACTUALS!$A:$O,9,FALSE)*VLOOKUP(VLOOKUP(A300,BOOKINGS!$A:$Q,7,FALSE),SETUP_RATES!$A:$H,5,FALSE))</f>
        <v/>
      </c>
      <c r="F300" s="38" t="str">
        <f>IF(A300="","",IFERROR(VLOOKUP(A300,TRIP_ACTUALS!$A:$O,5,FALSE),0))</f>
        <v/>
      </c>
      <c r="G300" s="38" t="str">
        <f>IF(A300="","",IFERROR(VLOOKUP(A300,TRIP_ACTUALS!$A:$O,6,FALSE),0)+IFERROR(VLOOKUP(A300,TRIP_ACTUALS!$A:$O,7,FALSE),0))</f>
        <v/>
      </c>
      <c r="H300" s="38" t="str">
        <f>IF(A300="","",IFERROR(VLOOKUP(VLOOKUP(A300,BOOKINGS!$A:$Q,7,FALSE),SETUP_RATES!$A:$H,8,FALSE),0))</f>
        <v/>
      </c>
      <c r="I300" s="38" t="str">
        <f t="shared" si="1"/>
        <v/>
      </c>
      <c r="J300" s="38" t="str">
        <f>IF(A300="","",IFERROR(VLOOKUP(A300,BOOKINGS!$A:$Q,13,FALSE),0))</f>
        <v/>
      </c>
      <c r="K300" s="38" t="str">
        <f t="shared" si="2"/>
        <v/>
      </c>
      <c r="L300" s="38" t="str">
        <f t="shared" si="3"/>
        <v/>
      </c>
    </row>
    <row r="301" ht="15.75" customHeight="1">
      <c r="A301" s="33" t="str">
        <f>IF(BOOKINGS!A301="","",BOOKINGS!A301)</f>
        <v/>
      </c>
      <c r="B301" s="38" t="str">
        <f>IF(A301="","",MAX(VLOOKUP(A301,BOOKINGS!$A:$Q,6,FALSE)*VLOOKUP(VLOOKUP(A301,BOOKINGS!$A:$Q,7,FALSE),SETUP_RATES!$A:$H,3,FALSE),VLOOKUP(VLOOKUP(A301,BOOKINGS!$A:$Q,7,FALSE),SETUP_RATES!$A:$H,2,FALSE)))</f>
        <v/>
      </c>
      <c r="C301" s="38" t="str">
        <f>IF(A301="","",VLOOKUP(A301,BOOKINGS!$A:$Q,10,FALSE)*VLOOKUP(VLOOKUP(A301,BOOKINGS!$A:$Q,7,FALSE),SETUP_RATES!$A:$H,6,FALSE))</f>
        <v/>
      </c>
      <c r="D301" s="38" t="str">
        <f>IF(A301="","",MAX(0,VLOOKUP(A301,TRIP_ACTUALS!$A:$O,8,FALSE)-SETUP_RATES!$K$2)*SETUP_RATES!$K$3)</f>
        <v/>
      </c>
      <c r="E301" s="38" t="str">
        <f>IF(A301="","",VLOOKUP(A301,TRIP_ACTUALS!$A:$O,9,FALSE)*VLOOKUP(VLOOKUP(A301,BOOKINGS!$A:$Q,7,FALSE),SETUP_RATES!$A:$H,5,FALSE))</f>
        <v/>
      </c>
      <c r="F301" s="38" t="str">
        <f>IF(A301="","",IFERROR(VLOOKUP(A301,TRIP_ACTUALS!$A:$O,5,FALSE),0))</f>
        <v/>
      </c>
      <c r="G301" s="38" t="str">
        <f>IF(A301="","",IFERROR(VLOOKUP(A301,TRIP_ACTUALS!$A:$O,6,FALSE),0)+IFERROR(VLOOKUP(A301,TRIP_ACTUALS!$A:$O,7,FALSE),0))</f>
        <v/>
      </c>
      <c r="H301" s="38" t="str">
        <f>IF(A301="","",IFERROR(VLOOKUP(VLOOKUP(A301,BOOKINGS!$A:$Q,7,FALSE),SETUP_RATES!$A:$H,8,FALSE),0))</f>
        <v/>
      </c>
      <c r="I301" s="38" t="str">
        <f t="shared" si="1"/>
        <v/>
      </c>
      <c r="J301" s="38" t="str">
        <f>IF(A301="","",IFERROR(VLOOKUP(A301,BOOKINGS!$A:$Q,13,FALSE),0))</f>
        <v/>
      </c>
      <c r="K301" s="38" t="str">
        <f t="shared" si="2"/>
        <v/>
      </c>
      <c r="L301" s="38" t="str">
        <f t="shared" si="3"/>
        <v/>
      </c>
    </row>
    <row r="302" ht="15.75" customHeight="1">
      <c r="A302" s="33" t="str">
        <f>IF(BOOKINGS!A302="","",BOOKINGS!A302)</f>
        <v/>
      </c>
      <c r="B302" s="38" t="str">
        <f>IF(A302="","",MAX(VLOOKUP(A302,BOOKINGS!$A:$Q,6,FALSE)*VLOOKUP(VLOOKUP(A302,BOOKINGS!$A:$Q,7,FALSE),SETUP_RATES!$A:$H,3,FALSE),VLOOKUP(VLOOKUP(A302,BOOKINGS!$A:$Q,7,FALSE),SETUP_RATES!$A:$H,2,FALSE)))</f>
        <v/>
      </c>
      <c r="C302" s="38" t="str">
        <f>IF(A302="","",VLOOKUP(A302,BOOKINGS!$A:$Q,10,FALSE)*VLOOKUP(VLOOKUP(A302,BOOKINGS!$A:$Q,7,FALSE),SETUP_RATES!$A:$H,6,FALSE))</f>
        <v/>
      </c>
      <c r="D302" s="38" t="str">
        <f>IF(A302="","",MAX(0,VLOOKUP(A302,TRIP_ACTUALS!$A:$O,8,FALSE)-SETUP_RATES!$K$2)*SETUP_RATES!$K$3)</f>
        <v/>
      </c>
      <c r="E302" s="38" t="str">
        <f>IF(A302="","",VLOOKUP(A302,TRIP_ACTUALS!$A:$O,9,FALSE)*VLOOKUP(VLOOKUP(A302,BOOKINGS!$A:$Q,7,FALSE),SETUP_RATES!$A:$H,5,FALSE))</f>
        <v/>
      </c>
      <c r="F302" s="38" t="str">
        <f>IF(A302="","",IFERROR(VLOOKUP(A302,TRIP_ACTUALS!$A:$O,5,FALSE),0))</f>
        <v/>
      </c>
      <c r="G302" s="38" t="str">
        <f>IF(A302="","",IFERROR(VLOOKUP(A302,TRIP_ACTUALS!$A:$O,6,FALSE),0)+IFERROR(VLOOKUP(A302,TRIP_ACTUALS!$A:$O,7,FALSE),0))</f>
        <v/>
      </c>
      <c r="H302" s="38" t="str">
        <f>IF(A302="","",IFERROR(VLOOKUP(VLOOKUP(A302,BOOKINGS!$A:$Q,7,FALSE),SETUP_RATES!$A:$H,8,FALSE),0))</f>
        <v/>
      </c>
      <c r="I302" s="38" t="str">
        <f t="shared" si="1"/>
        <v/>
      </c>
      <c r="J302" s="38" t="str">
        <f>IF(A302="","",IFERROR(VLOOKUP(A302,BOOKINGS!$A:$Q,13,FALSE),0))</f>
        <v/>
      </c>
      <c r="K302" s="38" t="str">
        <f t="shared" si="2"/>
        <v/>
      </c>
      <c r="L302" s="38" t="str">
        <f t="shared" si="3"/>
        <v/>
      </c>
    </row>
    <row r="303" ht="15.75" customHeight="1">
      <c r="A303" s="33" t="str">
        <f>IF(BOOKINGS!A303="","",BOOKINGS!A303)</f>
        <v/>
      </c>
      <c r="B303" s="38" t="str">
        <f>IF(A303="","",MAX(VLOOKUP(A303,BOOKINGS!$A:$Q,6,FALSE)*VLOOKUP(VLOOKUP(A303,BOOKINGS!$A:$Q,7,FALSE),SETUP_RATES!$A:$H,3,FALSE),VLOOKUP(VLOOKUP(A303,BOOKINGS!$A:$Q,7,FALSE),SETUP_RATES!$A:$H,2,FALSE)))</f>
        <v/>
      </c>
      <c r="C303" s="38" t="str">
        <f>IF(A303="","",VLOOKUP(A303,BOOKINGS!$A:$Q,10,FALSE)*VLOOKUP(VLOOKUP(A303,BOOKINGS!$A:$Q,7,FALSE),SETUP_RATES!$A:$H,6,FALSE))</f>
        <v/>
      </c>
      <c r="D303" s="38" t="str">
        <f>IF(A303="","",MAX(0,VLOOKUP(A303,TRIP_ACTUALS!$A:$O,8,FALSE)-SETUP_RATES!$K$2)*SETUP_RATES!$K$3)</f>
        <v/>
      </c>
      <c r="E303" s="38" t="str">
        <f>IF(A303="","",VLOOKUP(A303,TRIP_ACTUALS!$A:$O,9,FALSE)*VLOOKUP(VLOOKUP(A303,BOOKINGS!$A:$Q,7,FALSE),SETUP_RATES!$A:$H,5,FALSE))</f>
        <v/>
      </c>
      <c r="F303" s="38" t="str">
        <f>IF(A303="","",IFERROR(VLOOKUP(A303,TRIP_ACTUALS!$A:$O,5,FALSE),0))</f>
        <v/>
      </c>
      <c r="G303" s="38" t="str">
        <f>IF(A303="","",IFERROR(VLOOKUP(A303,TRIP_ACTUALS!$A:$O,6,FALSE),0)+IFERROR(VLOOKUP(A303,TRIP_ACTUALS!$A:$O,7,FALSE),0))</f>
        <v/>
      </c>
      <c r="H303" s="38" t="str">
        <f>IF(A303="","",IFERROR(VLOOKUP(VLOOKUP(A303,BOOKINGS!$A:$Q,7,FALSE),SETUP_RATES!$A:$H,8,FALSE),0))</f>
        <v/>
      </c>
      <c r="I303" s="38" t="str">
        <f t="shared" si="1"/>
        <v/>
      </c>
      <c r="J303" s="38" t="str">
        <f>IF(A303="","",IFERROR(VLOOKUP(A303,BOOKINGS!$A:$Q,13,FALSE),0))</f>
        <v/>
      </c>
      <c r="K303" s="38" t="str">
        <f t="shared" si="2"/>
        <v/>
      </c>
      <c r="L303" s="38" t="str">
        <f t="shared" si="3"/>
        <v/>
      </c>
    </row>
    <row r="304" ht="15.75" customHeight="1">
      <c r="A304" s="33" t="str">
        <f>IF(BOOKINGS!A304="","",BOOKINGS!A304)</f>
        <v/>
      </c>
      <c r="B304" s="38" t="str">
        <f>IF(A304="","",MAX(VLOOKUP(A304,BOOKINGS!$A:$Q,6,FALSE)*VLOOKUP(VLOOKUP(A304,BOOKINGS!$A:$Q,7,FALSE),SETUP_RATES!$A:$H,3,FALSE),VLOOKUP(VLOOKUP(A304,BOOKINGS!$A:$Q,7,FALSE),SETUP_RATES!$A:$H,2,FALSE)))</f>
        <v/>
      </c>
      <c r="C304" s="38" t="str">
        <f>IF(A304="","",VLOOKUP(A304,BOOKINGS!$A:$Q,10,FALSE)*VLOOKUP(VLOOKUP(A304,BOOKINGS!$A:$Q,7,FALSE),SETUP_RATES!$A:$H,6,FALSE))</f>
        <v/>
      </c>
      <c r="D304" s="38" t="str">
        <f>IF(A304="","",MAX(0,VLOOKUP(A304,TRIP_ACTUALS!$A:$O,8,FALSE)-SETUP_RATES!$K$2)*SETUP_RATES!$K$3)</f>
        <v/>
      </c>
      <c r="E304" s="38" t="str">
        <f>IF(A304="","",VLOOKUP(A304,TRIP_ACTUALS!$A:$O,9,FALSE)*VLOOKUP(VLOOKUP(A304,BOOKINGS!$A:$Q,7,FALSE),SETUP_RATES!$A:$H,5,FALSE))</f>
        <v/>
      </c>
      <c r="F304" s="38" t="str">
        <f>IF(A304="","",IFERROR(VLOOKUP(A304,TRIP_ACTUALS!$A:$O,5,FALSE),0))</f>
        <v/>
      </c>
      <c r="G304" s="38" t="str">
        <f>IF(A304="","",IFERROR(VLOOKUP(A304,TRIP_ACTUALS!$A:$O,6,FALSE),0)+IFERROR(VLOOKUP(A304,TRIP_ACTUALS!$A:$O,7,FALSE),0))</f>
        <v/>
      </c>
      <c r="H304" s="38" t="str">
        <f>IF(A304="","",IFERROR(VLOOKUP(VLOOKUP(A304,BOOKINGS!$A:$Q,7,FALSE),SETUP_RATES!$A:$H,8,FALSE),0))</f>
        <v/>
      </c>
      <c r="I304" s="38" t="str">
        <f t="shared" si="1"/>
        <v/>
      </c>
      <c r="J304" s="38" t="str">
        <f>IF(A304="","",IFERROR(VLOOKUP(A304,BOOKINGS!$A:$Q,13,FALSE),0))</f>
        <v/>
      </c>
      <c r="K304" s="38" t="str">
        <f t="shared" si="2"/>
        <v/>
      </c>
      <c r="L304" s="38" t="str">
        <f t="shared" si="3"/>
        <v/>
      </c>
    </row>
    <row r="305" ht="15.75" customHeight="1">
      <c r="A305" s="33" t="str">
        <f>IF(BOOKINGS!A305="","",BOOKINGS!A305)</f>
        <v/>
      </c>
      <c r="B305" s="38" t="str">
        <f>IF(A305="","",MAX(VLOOKUP(A305,BOOKINGS!$A:$Q,6,FALSE)*VLOOKUP(VLOOKUP(A305,BOOKINGS!$A:$Q,7,FALSE),SETUP_RATES!$A:$H,3,FALSE),VLOOKUP(VLOOKUP(A305,BOOKINGS!$A:$Q,7,FALSE),SETUP_RATES!$A:$H,2,FALSE)))</f>
        <v/>
      </c>
      <c r="C305" s="38" t="str">
        <f>IF(A305="","",VLOOKUP(A305,BOOKINGS!$A:$Q,10,FALSE)*VLOOKUP(VLOOKUP(A305,BOOKINGS!$A:$Q,7,FALSE),SETUP_RATES!$A:$H,6,FALSE))</f>
        <v/>
      </c>
      <c r="D305" s="38" t="str">
        <f>IF(A305="","",MAX(0,VLOOKUP(A305,TRIP_ACTUALS!$A:$O,8,FALSE)-SETUP_RATES!$K$2)*SETUP_RATES!$K$3)</f>
        <v/>
      </c>
      <c r="E305" s="38" t="str">
        <f>IF(A305="","",VLOOKUP(A305,TRIP_ACTUALS!$A:$O,9,FALSE)*VLOOKUP(VLOOKUP(A305,BOOKINGS!$A:$Q,7,FALSE),SETUP_RATES!$A:$H,5,FALSE))</f>
        <v/>
      </c>
      <c r="F305" s="38" t="str">
        <f>IF(A305="","",IFERROR(VLOOKUP(A305,TRIP_ACTUALS!$A:$O,5,FALSE),0))</f>
        <v/>
      </c>
      <c r="G305" s="38" t="str">
        <f>IF(A305="","",IFERROR(VLOOKUP(A305,TRIP_ACTUALS!$A:$O,6,FALSE),0)+IFERROR(VLOOKUP(A305,TRIP_ACTUALS!$A:$O,7,FALSE),0))</f>
        <v/>
      </c>
      <c r="H305" s="38" t="str">
        <f>IF(A305="","",IFERROR(VLOOKUP(VLOOKUP(A305,BOOKINGS!$A:$Q,7,FALSE),SETUP_RATES!$A:$H,8,FALSE),0))</f>
        <v/>
      </c>
      <c r="I305" s="38" t="str">
        <f t="shared" si="1"/>
        <v/>
      </c>
      <c r="J305" s="38" t="str">
        <f>IF(A305="","",IFERROR(VLOOKUP(A305,BOOKINGS!$A:$Q,13,FALSE),0))</f>
        <v/>
      </c>
      <c r="K305" s="38" t="str">
        <f t="shared" si="2"/>
        <v/>
      </c>
      <c r="L305" s="38" t="str">
        <f t="shared" si="3"/>
        <v/>
      </c>
    </row>
    <row r="306" ht="15.75" customHeight="1">
      <c r="A306" s="33" t="str">
        <f>IF(BOOKINGS!A306="","",BOOKINGS!A306)</f>
        <v/>
      </c>
      <c r="B306" s="38" t="str">
        <f>IF(A306="","",MAX(VLOOKUP(A306,BOOKINGS!$A:$Q,6,FALSE)*VLOOKUP(VLOOKUP(A306,BOOKINGS!$A:$Q,7,FALSE),SETUP_RATES!$A:$H,3,FALSE),VLOOKUP(VLOOKUP(A306,BOOKINGS!$A:$Q,7,FALSE),SETUP_RATES!$A:$H,2,FALSE)))</f>
        <v/>
      </c>
      <c r="C306" s="38" t="str">
        <f>IF(A306="","",VLOOKUP(A306,BOOKINGS!$A:$Q,10,FALSE)*VLOOKUP(VLOOKUP(A306,BOOKINGS!$A:$Q,7,FALSE),SETUP_RATES!$A:$H,6,FALSE))</f>
        <v/>
      </c>
      <c r="D306" s="38" t="str">
        <f>IF(A306="","",MAX(0,VLOOKUP(A306,TRIP_ACTUALS!$A:$O,8,FALSE)-SETUP_RATES!$K$2)*SETUP_RATES!$K$3)</f>
        <v/>
      </c>
      <c r="E306" s="38" t="str">
        <f>IF(A306="","",VLOOKUP(A306,TRIP_ACTUALS!$A:$O,9,FALSE)*VLOOKUP(VLOOKUP(A306,BOOKINGS!$A:$Q,7,FALSE),SETUP_RATES!$A:$H,5,FALSE))</f>
        <v/>
      </c>
      <c r="F306" s="38" t="str">
        <f>IF(A306="","",IFERROR(VLOOKUP(A306,TRIP_ACTUALS!$A:$O,5,FALSE),0))</f>
        <v/>
      </c>
      <c r="G306" s="38" t="str">
        <f>IF(A306="","",IFERROR(VLOOKUP(A306,TRIP_ACTUALS!$A:$O,6,FALSE),0)+IFERROR(VLOOKUP(A306,TRIP_ACTUALS!$A:$O,7,FALSE),0))</f>
        <v/>
      </c>
      <c r="H306" s="38" t="str">
        <f>IF(A306="","",IFERROR(VLOOKUP(VLOOKUP(A306,BOOKINGS!$A:$Q,7,FALSE),SETUP_RATES!$A:$H,8,FALSE),0))</f>
        <v/>
      </c>
      <c r="I306" s="38" t="str">
        <f t="shared" si="1"/>
        <v/>
      </c>
      <c r="J306" s="38" t="str">
        <f>IF(A306="","",IFERROR(VLOOKUP(A306,BOOKINGS!$A:$Q,13,FALSE),0))</f>
        <v/>
      </c>
      <c r="K306" s="38" t="str">
        <f t="shared" si="2"/>
        <v/>
      </c>
      <c r="L306" s="38" t="str">
        <f t="shared" si="3"/>
        <v/>
      </c>
    </row>
    <row r="307" ht="15.75" customHeight="1">
      <c r="A307" s="33" t="str">
        <f>IF(BOOKINGS!A307="","",BOOKINGS!A307)</f>
        <v/>
      </c>
      <c r="B307" s="38" t="str">
        <f>IF(A307="","",MAX(VLOOKUP(A307,BOOKINGS!$A:$Q,6,FALSE)*VLOOKUP(VLOOKUP(A307,BOOKINGS!$A:$Q,7,FALSE),SETUP_RATES!$A:$H,3,FALSE),VLOOKUP(VLOOKUP(A307,BOOKINGS!$A:$Q,7,FALSE),SETUP_RATES!$A:$H,2,FALSE)))</f>
        <v/>
      </c>
      <c r="C307" s="38" t="str">
        <f>IF(A307="","",VLOOKUP(A307,BOOKINGS!$A:$Q,10,FALSE)*VLOOKUP(VLOOKUP(A307,BOOKINGS!$A:$Q,7,FALSE),SETUP_RATES!$A:$H,6,FALSE))</f>
        <v/>
      </c>
      <c r="D307" s="38" t="str">
        <f>IF(A307="","",MAX(0,VLOOKUP(A307,TRIP_ACTUALS!$A:$O,8,FALSE)-SETUP_RATES!$K$2)*SETUP_RATES!$K$3)</f>
        <v/>
      </c>
      <c r="E307" s="38" t="str">
        <f>IF(A307="","",VLOOKUP(A307,TRIP_ACTUALS!$A:$O,9,FALSE)*VLOOKUP(VLOOKUP(A307,BOOKINGS!$A:$Q,7,FALSE),SETUP_RATES!$A:$H,5,FALSE))</f>
        <v/>
      </c>
      <c r="F307" s="38" t="str">
        <f>IF(A307="","",IFERROR(VLOOKUP(A307,TRIP_ACTUALS!$A:$O,5,FALSE),0))</f>
        <v/>
      </c>
      <c r="G307" s="38" t="str">
        <f>IF(A307="","",IFERROR(VLOOKUP(A307,TRIP_ACTUALS!$A:$O,6,FALSE),0)+IFERROR(VLOOKUP(A307,TRIP_ACTUALS!$A:$O,7,FALSE),0))</f>
        <v/>
      </c>
      <c r="H307" s="38" t="str">
        <f>IF(A307="","",IFERROR(VLOOKUP(VLOOKUP(A307,BOOKINGS!$A:$Q,7,FALSE),SETUP_RATES!$A:$H,8,FALSE),0))</f>
        <v/>
      </c>
      <c r="I307" s="38" t="str">
        <f t="shared" si="1"/>
        <v/>
      </c>
      <c r="J307" s="38" t="str">
        <f>IF(A307="","",IFERROR(VLOOKUP(A307,BOOKINGS!$A:$Q,13,FALSE),0))</f>
        <v/>
      </c>
      <c r="K307" s="38" t="str">
        <f t="shared" si="2"/>
        <v/>
      </c>
      <c r="L307" s="38" t="str">
        <f t="shared" si="3"/>
        <v/>
      </c>
    </row>
    <row r="308" ht="15.75" customHeight="1">
      <c r="A308" s="33" t="str">
        <f>IF(BOOKINGS!A308="","",BOOKINGS!A308)</f>
        <v/>
      </c>
      <c r="B308" s="38" t="str">
        <f>IF(A308="","",MAX(VLOOKUP(A308,BOOKINGS!$A:$Q,6,FALSE)*VLOOKUP(VLOOKUP(A308,BOOKINGS!$A:$Q,7,FALSE),SETUP_RATES!$A:$H,3,FALSE),VLOOKUP(VLOOKUP(A308,BOOKINGS!$A:$Q,7,FALSE),SETUP_RATES!$A:$H,2,FALSE)))</f>
        <v/>
      </c>
      <c r="C308" s="38" t="str">
        <f>IF(A308="","",VLOOKUP(A308,BOOKINGS!$A:$Q,10,FALSE)*VLOOKUP(VLOOKUP(A308,BOOKINGS!$A:$Q,7,FALSE),SETUP_RATES!$A:$H,6,FALSE))</f>
        <v/>
      </c>
      <c r="D308" s="38" t="str">
        <f>IF(A308="","",MAX(0,VLOOKUP(A308,TRIP_ACTUALS!$A:$O,8,FALSE)-SETUP_RATES!$K$2)*SETUP_RATES!$K$3)</f>
        <v/>
      </c>
      <c r="E308" s="38" t="str">
        <f>IF(A308="","",VLOOKUP(A308,TRIP_ACTUALS!$A:$O,9,FALSE)*VLOOKUP(VLOOKUP(A308,BOOKINGS!$A:$Q,7,FALSE),SETUP_RATES!$A:$H,5,FALSE))</f>
        <v/>
      </c>
      <c r="F308" s="38" t="str">
        <f>IF(A308="","",IFERROR(VLOOKUP(A308,TRIP_ACTUALS!$A:$O,5,FALSE),0))</f>
        <v/>
      </c>
      <c r="G308" s="38" t="str">
        <f>IF(A308="","",IFERROR(VLOOKUP(A308,TRIP_ACTUALS!$A:$O,6,FALSE),0)+IFERROR(VLOOKUP(A308,TRIP_ACTUALS!$A:$O,7,FALSE),0))</f>
        <v/>
      </c>
      <c r="H308" s="38" t="str">
        <f>IF(A308="","",IFERROR(VLOOKUP(VLOOKUP(A308,BOOKINGS!$A:$Q,7,FALSE),SETUP_RATES!$A:$H,8,FALSE),0))</f>
        <v/>
      </c>
      <c r="I308" s="38" t="str">
        <f t="shared" si="1"/>
        <v/>
      </c>
      <c r="J308" s="38" t="str">
        <f>IF(A308="","",IFERROR(VLOOKUP(A308,BOOKINGS!$A:$Q,13,FALSE),0))</f>
        <v/>
      </c>
      <c r="K308" s="38" t="str">
        <f t="shared" si="2"/>
        <v/>
      </c>
      <c r="L308" s="38" t="str">
        <f t="shared" si="3"/>
        <v/>
      </c>
    </row>
    <row r="309" ht="15.75" customHeight="1">
      <c r="A309" s="33" t="str">
        <f>IF(BOOKINGS!A309="","",BOOKINGS!A309)</f>
        <v/>
      </c>
      <c r="B309" s="38" t="str">
        <f>IF(A309="","",MAX(VLOOKUP(A309,BOOKINGS!$A:$Q,6,FALSE)*VLOOKUP(VLOOKUP(A309,BOOKINGS!$A:$Q,7,FALSE),SETUP_RATES!$A:$H,3,FALSE),VLOOKUP(VLOOKUP(A309,BOOKINGS!$A:$Q,7,FALSE),SETUP_RATES!$A:$H,2,FALSE)))</f>
        <v/>
      </c>
      <c r="C309" s="38" t="str">
        <f>IF(A309="","",VLOOKUP(A309,BOOKINGS!$A:$Q,10,FALSE)*VLOOKUP(VLOOKUP(A309,BOOKINGS!$A:$Q,7,FALSE),SETUP_RATES!$A:$H,6,FALSE))</f>
        <v/>
      </c>
      <c r="D309" s="38" t="str">
        <f>IF(A309="","",MAX(0,VLOOKUP(A309,TRIP_ACTUALS!$A:$O,8,FALSE)-SETUP_RATES!$K$2)*SETUP_RATES!$K$3)</f>
        <v/>
      </c>
      <c r="E309" s="38" t="str">
        <f>IF(A309="","",VLOOKUP(A309,TRIP_ACTUALS!$A:$O,9,FALSE)*VLOOKUP(VLOOKUP(A309,BOOKINGS!$A:$Q,7,FALSE),SETUP_RATES!$A:$H,5,FALSE))</f>
        <v/>
      </c>
      <c r="F309" s="38" t="str">
        <f>IF(A309="","",IFERROR(VLOOKUP(A309,TRIP_ACTUALS!$A:$O,5,FALSE),0))</f>
        <v/>
      </c>
      <c r="G309" s="38" t="str">
        <f>IF(A309="","",IFERROR(VLOOKUP(A309,TRIP_ACTUALS!$A:$O,6,FALSE),0)+IFERROR(VLOOKUP(A309,TRIP_ACTUALS!$A:$O,7,FALSE),0))</f>
        <v/>
      </c>
      <c r="H309" s="38" t="str">
        <f>IF(A309="","",IFERROR(VLOOKUP(VLOOKUP(A309,BOOKINGS!$A:$Q,7,FALSE),SETUP_RATES!$A:$H,8,FALSE),0))</f>
        <v/>
      </c>
      <c r="I309" s="38" t="str">
        <f t="shared" si="1"/>
        <v/>
      </c>
      <c r="J309" s="38" t="str">
        <f>IF(A309="","",IFERROR(VLOOKUP(A309,BOOKINGS!$A:$Q,13,FALSE),0))</f>
        <v/>
      </c>
      <c r="K309" s="38" t="str">
        <f t="shared" si="2"/>
        <v/>
      </c>
      <c r="L309" s="38" t="str">
        <f t="shared" si="3"/>
        <v/>
      </c>
    </row>
    <row r="310" ht="15.75" customHeight="1">
      <c r="A310" s="33" t="str">
        <f>IF(BOOKINGS!A310="","",BOOKINGS!A310)</f>
        <v/>
      </c>
      <c r="B310" s="38" t="str">
        <f>IF(A310="","",MAX(VLOOKUP(A310,BOOKINGS!$A:$Q,6,FALSE)*VLOOKUP(VLOOKUP(A310,BOOKINGS!$A:$Q,7,FALSE),SETUP_RATES!$A:$H,3,FALSE),VLOOKUP(VLOOKUP(A310,BOOKINGS!$A:$Q,7,FALSE),SETUP_RATES!$A:$H,2,FALSE)))</f>
        <v/>
      </c>
      <c r="C310" s="38" t="str">
        <f>IF(A310="","",VLOOKUP(A310,BOOKINGS!$A:$Q,10,FALSE)*VLOOKUP(VLOOKUP(A310,BOOKINGS!$A:$Q,7,FALSE),SETUP_RATES!$A:$H,6,FALSE))</f>
        <v/>
      </c>
      <c r="D310" s="38" t="str">
        <f>IF(A310="","",MAX(0,VLOOKUP(A310,TRIP_ACTUALS!$A:$O,8,FALSE)-SETUP_RATES!$K$2)*SETUP_RATES!$K$3)</f>
        <v/>
      </c>
      <c r="E310" s="38" t="str">
        <f>IF(A310="","",VLOOKUP(A310,TRIP_ACTUALS!$A:$O,9,FALSE)*VLOOKUP(VLOOKUP(A310,BOOKINGS!$A:$Q,7,FALSE),SETUP_RATES!$A:$H,5,FALSE))</f>
        <v/>
      </c>
      <c r="F310" s="38" t="str">
        <f>IF(A310="","",IFERROR(VLOOKUP(A310,TRIP_ACTUALS!$A:$O,5,FALSE),0))</f>
        <v/>
      </c>
      <c r="G310" s="38" t="str">
        <f>IF(A310="","",IFERROR(VLOOKUP(A310,TRIP_ACTUALS!$A:$O,6,FALSE),0)+IFERROR(VLOOKUP(A310,TRIP_ACTUALS!$A:$O,7,FALSE),0))</f>
        <v/>
      </c>
      <c r="H310" s="38" t="str">
        <f>IF(A310="","",IFERROR(VLOOKUP(VLOOKUP(A310,BOOKINGS!$A:$Q,7,FALSE),SETUP_RATES!$A:$H,8,FALSE),0))</f>
        <v/>
      </c>
      <c r="I310" s="38" t="str">
        <f t="shared" si="1"/>
        <v/>
      </c>
      <c r="J310" s="38" t="str">
        <f>IF(A310="","",IFERROR(VLOOKUP(A310,BOOKINGS!$A:$Q,13,FALSE),0))</f>
        <v/>
      </c>
      <c r="K310" s="38" t="str">
        <f t="shared" si="2"/>
        <v/>
      </c>
      <c r="L310" s="38" t="str">
        <f t="shared" si="3"/>
        <v/>
      </c>
    </row>
    <row r="311" ht="15.75" customHeight="1">
      <c r="A311" s="33" t="str">
        <f>IF(BOOKINGS!A311="","",BOOKINGS!A311)</f>
        <v/>
      </c>
      <c r="B311" s="38" t="str">
        <f>IF(A311="","",MAX(VLOOKUP(A311,BOOKINGS!$A:$Q,6,FALSE)*VLOOKUP(VLOOKUP(A311,BOOKINGS!$A:$Q,7,FALSE),SETUP_RATES!$A:$H,3,FALSE),VLOOKUP(VLOOKUP(A311,BOOKINGS!$A:$Q,7,FALSE),SETUP_RATES!$A:$H,2,FALSE)))</f>
        <v/>
      </c>
      <c r="C311" s="38" t="str">
        <f>IF(A311="","",VLOOKUP(A311,BOOKINGS!$A:$Q,10,FALSE)*VLOOKUP(VLOOKUP(A311,BOOKINGS!$A:$Q,7,FALSE),SETUP_RATES!$A:$H,6,FALSE))</f>
        <v/>
      </c>
      <c r="D311" s="38" t="str">
        <f>IF(A311="","",MAX(0,VLOOKUP(A311,TRIP_ACTUALS!$A:$O,8,FALSE)-SETUP_RATES!$K$2)*SETUP_RATES!$K$3)</f>
        <v/>
      </c>
      <c r="E311" s="38" t="str">
        <f>IF(A311="","",VLOOKUP(A311,TRIP_ACTUALS!$A:$O,9,FALSE)*VLOOKUP(VLOOKUP(A311,BOOKINGS!$A:$Q,7,FALSE),SETUP_RATES!$A:$H,5,FALSE))</f>
        <v/>
      </c>
      <c r="F311" s="38" t="str">
        <f>IF(A311="","",IFERROR(VLOOKUP(A311,TRIP_ACTUALS!$A:$O,5,FALSE),0))</f>
        <v/>
      </c>
      <c r="G311" s="38" t="str">
        <f>IF(A311="","",IFERROR(VLOOKUP(A311,TRIP_ACTUALS!$A:$O,6,FALSE),0)+IFERROR(VLOOKUP(A311,TRIP_ACTUALS!$A:$O,7,FALSE),0))</f>
        <v/>
      </c>
      <c r="H311" s="38" t="str">
        <f>IF(A311="","",IFERROR(VLOOKUP(VLOOKUP(A311,BOOKINGS!$A:$Q,7,FALSE),SETUP_RATES!$A:$H,8,FALSE),0))</f>
        <v/>
      </c>
      <c r="I311" s="38" t="str">
        <f t="shared" si="1"/>
        <v/>
      </c>
      <c r="J311" s="38" t="str">
        <f>IF(A311="","",IFERROR(VLOOKUP(A311,BOOKINGS!$A:$Q,13,FALSE),0))</f>
        <v/>
      </c>
      <c r="K311" s="38" t="str">
        <f t="shared" si="2"/>
        <v/>
      </c>
      <c r="L311" s="38" t="str">
        <f t="shared" si="3"/>
        <v/>
      </c>
    </row>
    <row r="312" ht="15.75" customHeight="1">
      <c r="A312" s="33" t="str">
        <f>IF(BOOKINGS!A312="","",BOOKINGS!A312)</f>
        <v/>
      </c>
      <c r="B312" s="38" t="str">
        <f>IF(A312="","",MAX(VLOOKUP(A312,BOOKINGS!$A:$Q,6,FALSE)*VLOOKUP(VLOOKUP(A312,BOOKINGS!$A:$Q,7,FALSE),SETUP_RATES!$A:$H,3,FALSE),VLOOKUP(VLOOKUP(A312,BOOKINGS!$A:$Q,7,FALSE),SETUP_RATES!$A:$H,2,FALSE)))</f>
        <v/>
      </c>
      <c r="C312" s="38" t="str">
        <f>IF(A312="","",VLOOKUP(A312,BOOKINGS!$A:$Q,10,FALSE)*VLOOKUP(VLOOKUP(A312,BOOKINGS!$A:$Q,7,FALSE),SETUP_RATES!$A:$H,6,FALSE))</f>
        <v/>
      </c>
      <c r="D312" s="38" t="str">
        <f>IF(A312="","",MAX(0,VLOOKUP(A312,TRIP_ACTUALS!$A:$O,8,FALSE)-SETUP_RATES!$K$2)*SETUP_RATES!$K$3)</f>
        <v/>
      </c>
      <c r="E312" s="38" t="str">
        <f>IF(A312="","",VLOOKUP(A312,TRIP_ACTUALS!$A:$O,9,FALSE)*VLOOKUP(VLOOKUP(A312,BOOKINGS!$A:$Q,7,FALSE),SETUP_RATES!$A:$H,5,FALSE))</f>
        <v/>
      </c>
      <c r="F312" s="38" t="str">
        <f>IF(A312="","",IFERROR(VLOOKUP(A312,TRIP_ACTUALS!$A:$O,5,FALSE),0))</f>
        <v/>
      </c>
      <c r="G312" s="38" t="str">
        <f>IF(A312="","",IFERROR(VLOOKUP(A312,TRIP_ACTUALS!$A:$O,6,FALSE),0)+IFERROR(VLOOKUP(A312,TRIP_ACTUALS!$A:$O,7,FALSE),0))</f>
        <v/>
      </c>
      <c r="H312" s="38" t="str">
        <f>IF(A312="","",IFERROR(VLOOKUP(VLOOKUP(A312,BOOKINGS!$A:$Q,7,FALSE),SETUP_RATES!$A:$H,8,FALSE),0))</f>
        <v/>
      </c>
      <c r="I312" s="38" t="str">
        <f t="shared" si="1"/>
        <v/>
      </c>
      <c r="J312" s="38" t="str">
        <f>IF(A312="","",IFERROR(VLOOKUP(A312,BOOKINGS!$A:$Q,13,FALSE),0))</f>
        <v/>
      </c>
      <c r="K312" s="38" t="str">
        <f t="shared" si="2"/>
        <v/>
      </c>
      <c r="L312" s="38" t="str">
        <f t="shared" si="3"/>
        <v/>
      </c>
    </row>
    <row r="313" ht="15.75" customHeight="1">
      <c r="A313" s="33" t="str">
        <f>IF(BOOKINGS!A313="","",BOOKINGS!A313)</f>
        <v/>
      </c>
      <c r="B313" s="38" t="str">
        <f>IF(A313="","",MAX(VLOOKUP(A313,BOOKINGS!$A:$Q,6,FALSE)*VLOOKUP(VLOOKUP(A313,BOOKINGS!$A:$Q,7,FALSE),SETUP_RATES!$A:$H,3,FALSE),VLOOKUP(VLOOKUP(A313,BOOKINGS!$A:$Q,7,FALSE),SETUP_RATES!$A:$H,2,FALSE)))</f>
        <v/>
      </c>
      <c r="C313" s="38" t="str">
        <f>IF(A313="","",VLOOKUP(A313,BOOKINGS!$A:$Q,10,FALSE)*VLOOKUP(VLOOKUP(A313,BOOKINGS!$A:$Q,7,FALSE),SETUP_RATES!$A:$H,6,FALSE))</f>
        <v/>
      </c>
      <c r="D313" s="38" t="str">
        <f>IF(A313="","",MAX(0,VLOOKUP(A313,TRIP_ACTUALS!$A:$O,8,FALSE)-SETUP_RATES!$K$2)*SETUP_RATES!$K$3)</f>
        <v/>
      </c>
      <c r="E313" s="38" t="str">
        <f>IF(A313="","",VLOOKUP(A313,TRIP_ACTUALS!$A:$O,9,FALSE)*VLOOKUP(VLOOKUP(A313,BOOKINGS!$A:$Q,7,FALSE),SETUP_RATES!$A:$H,5,FALSE))</f>
        <v/>
      </c>
      <c r="F313" s="38" t="str">
        <f>IF(A313="","",IFERROR(VLOOKUP(A313,TRIP_ACTUALS!$A:$O,5,FALSE),0))</f>
        <v/>
      </c>
      <c r="G313" s="38" t="str">
        <f>IF(A313="","",IFERROR(VLOOKUP(A313,TRIP_ACTUALS!$A:$O,6,FALSE),0)+IFERROR(VLOOKUP(A313,TRIP_ACTUALS!$A:$O,7,FALSE),0))</f>
        <v/>
      </c>
      <c r="H313" s="38" t="str">
        <f>IF(A313="","",IFERROR(VLOOKUP(VLOOKUP(A313,BOOKINGS!$A:$Q,7,FALSE),SETUP_RATES!$A:$H,8,FALSE),0))</f>
        <v/>
      </c>
      <c r="I313" s="38" t="str">
        <f t="shared" si="1"/>
        <v/>
      </c>
      <c r="J313" s="38" t="str">
        <f>IF(A313="","",IFERROR(VLOOKUP(A313,BOOKINGS!$A:$Q,13,FALSE),0))</f>
        <v/>
      </c>
      <c r="K313" s="38" t="str">
        <f t="shared" si="2"/>
        <v/>
      </c>
      <c r="L313" s="38" t="str">
        <f t="shared" si="3"/>
        <v/>
      </c>
    </row>
    <row r="314" ht="15.75" customHeight="1">
      <c r="A314" s="33" t="str">
        <f>IF(BOOKINGS!A314="","",BOOKINGS!A314)</f>
        <v/>
      </c>
      <c r="B314" s="38" t="str">
        <f>IF(A314="","",MAX(VLOOKUP(A314,BOOKINGS!$A:$Q,6,FALSE)*VLOOKUP(VLOOKUP(A314,BOOKINGS!$A:$Q,7,FALSE),SETUP_RATES!$A:$H,3,FALSE),VLOOKUP(VLOOKUP(A314,BOOKINGS!$A:$Q,7,FALSE),SETUP_RATES!$A:$H,2,FALSE)))</f>
        <v/>
      </c>
      <c r="C314" s="38" t="str">
        <f>IF(A314="","",VLOOKUP(A314,BOOKINGS!$A:$Q,10,FALSE)*VLOOKUP(VLOOKUP(A314,BOOKINGS!$A:$Q,7,FALSE),SETUP_RATES!$A:$H,6,FALSE))</f>
        <v/>
      </c>
      <c r="D314" s="38" t="str">
        <f>IF(A314="","",MAX(0,VLOOKUP(A314,TRIP_ACTUALS!$A:$O,8,FALSE)-SETUP_RATES!$K$2)*SETUP_RATES!$K$3)</f>
        <v/>
      </c>
      <c r="E314" s="38" t="str">
        <f>IF(A314="","",VLOOKUP(A314,TRIP_ACTUALS!$A:$O,9,FALSE)*VLOOKUP(VLOOKUP(A314,BOOKINGS!$A:$Q,7,FALSE),SETUP_RATES!$A:$H,5,FALSE))</f>
        <v/>
      </c>
      <c r="F314" s="38" t="str">
        <f>IF(A314="","",IFERROR(VLOOKUP(A314,TRIP_ACTUALS!$A:$O,5,FALSE),0))</f>
        <v/>
      </c>
      <c r="G314" s="38" t="str">
        <f>IF(A314="","",IFERROR(VLOOKUP(A314,TRIP_ACTUALS!$A:$O,6,FALSE),0)+IFERROR(VLOOKUP(A314,TRIP_ACTUALS!$A:$O,7,FALSE),0))</f>
        <v/>
      </c>
      <c r="H314" s="38" t="str">
        <f>IF(A314="","",IFERROR(VLOOKUP(VLOOKUP(A314,BOOKINGS!$A:$Q,7,FALSE),SETUP_RATES!$A:$H,8,FALSE),0))</f>
        <v/>
      </c>
      <c r="I314" s="38" t="str">
        <f t="shared" si="1"/>
        <v/>
      </c>
      <c r="J314" s="38" t="str">
        <f>IF(A314="","",IFERROR(VLOOKUP(A314,BOOKINGS!$A:$Q,13,FALSE),0))</f>
        <v/>
      </c>
      <c r="K314" s="38" t="str">
        <f t="shared" si="2"/>
        <v/>
      </c>
      <c r="L314" s="38" t="str">
        <f t="shared" si="3"/>
        <v/>
      </c>
    </row>
    <row r="315" ht="15.75" customHeight="1">
      <c r="A315" s="33" t="str">
        <f>IF(BOOKINGS!A315="","",BOOKINGS!A315)</f>
        <v/>
      </c>
      <c r="B315" s="38" t="str">
        <f>IF(A315="","",MAX(VLOOKUP(A315,BOOKINGS!$A:$Q,6,FALSE)*VLOOKUP(VLOOKUP(A315,BOOKINGS!$A:$Q,7,FALSE),SETUP_RATES!$A:$H,3,FALSE),VLOOKUP(VLOOKUP(A315,BOOKINGS!$A:$Q,7,FALSE),SETUP_RATES!$A:$H,2,FALSE)))</f>
        <v/>
      </c>
      <c r="C315" s="38" t="str">
        <f>IF(A315="","",VLOOKUP(A315,BOOKINGS!$A:$Q,10,FALSE)*VLOOKUP(VLOOKUP(A315,BOOKINGS!$A:$Q,7,FALSE),SETUP_RATES!$A:$H,6,FALSE))</f>
        <v/>
      </c>
      <c r="D315" s="38" t="str">
        <f>IF(A315="","",MAX(0,VLOOKUP(A315,TRIP_ACTUALS!$A:$O,8,FALSE)-SETUP_RATES!$K$2)*SETUP_RATES!$K$3)</f>
        <v/>
      </c>
      <c r="E315" s="38" t="str">
        <f>IF(A315="","",VLOOKUP(A315,TRIP_ACTUALS!$A:$O,9,FALSE)*VLOOKUP(VLOOKUP(A315,BOOKINGS!$A:$Q,7,FALSE),SETUP_RATES!$A:$H,5,FALSE))</f>
        <v/>
      </c>
      <c r="F315" s="38" t="str">
        <f>IF(A315="","",IFERROR(VLOOKUP(A315,TRIP_ACTUALS!$A:$O,5,FALSE),0))</f>
        <v/>
      </c>
      <c r="G315" s="38" t="str">
        <f>IF(A315="","",IFERROR(VLOOKUP(A315,TRIP_ACTUALS!$A:$O,6,FALSE),0)+IFERROR(VLOOKUP(A315,TRIP_ACTUALS!$A:$O,7,FALSE),0))</f>
        <v/>
      </c>
      <c r="H315" s="38" t="str">
        <f>IF(A315="","",IFERROR(VLOOKUP(VLOOKUP(A315,BOOKINGS!$A:$Q,7,FALSE),SETUP_RATES!$A:$H,8,FALSE),0))</f>
        <v/>
      </c>
      <c r="I315" s="38" t="str">
        <f t="shared" si="1"/>
        <v/>
      </c>
      <c r="J315" s="38" t="str">
        <f>IF(A315="","",IFERROR(VLOOKUP(A315,BOOKINGS!$A:$Q,13,FALSE),0))</f>
        <v/>
      </c>
      <c r="K315" s="38" t="str">
        <f t="shared" si="2"/>
        <v/>
      </c>
      <c r="L315" s="38" t="str">
        <f t="shared" si="3"/>
        <v/>
      </c>
    </row>
    <row r="316" ht="15.75" customHeight="1">
      <c r="A316" s="33" t="str">
        <f>IF(BOOKINGS!A316="","",BOOKINGS!A316)</f>
        <v/>
      </c>
      <c r="B316" s="38" t="str">
        <f>IF(A316="","",MAX(VLOOKUP(A316,BOOKINGS!$A:$Q,6,FALSE)*VLOOKUP(VLOOKUP(A316,BOOKINGS!$A:$Q,7,FALSE),SETUP_RATES!$A:$H,3,FALSE),VLOOKUP(VLOOKUP(A316,BOOKINGS!$A:$Q,7,FALSE),SETUP_RATES!$A:$H,2,FALSE)))</f>
        <v/>
      </c>
      <c r="C316" s="38" t="str">
        <f>IF(A316="","",VLOOKUP(A316,BOOKINGS!$A:$Q,10,FALSE)*VLOOKUP(VLOOKUP(A316,BOOKINGS!$A:$Q,7,FALSE),SETUP_RATES!$A:$H,6,FALSE))</f>
        <v/>
      </c>
      <c r="D316" s="38" t="str">
        <f>IF(A316="","",MAX(0,VLOOKUP(A316,TRIP_ACTUALS!$A:$O,8,FALSE)-SETUP_RATES!$K$2)*SETUP_RATES!$K$3)</f>
        <v/>
      </c>
      <c r="E316" s="38" t="str">
        <f>IF(A316="","",VLOOKUP(A316,TRIP_ACTUALS!$A:$O,9,FALSE)*VLOOKUP(VLOOKUP(A316,BOOKINGS!$A:$Q,7,FALSE),SETUP_RATES!$A:$H,5,FALSE))</f>
        <v/>
      </c>
      <c r="F316" s="38" t="str">
        <f>IF(A316="","",IFERROR(VLOOKUP(A316,TRIP_ACTUALS!$A:$O,5,FALSE),0))</f>
        <v/>
      </c>
      <c r="G316" s="38" t="str">
        <f>IF(A316="","",IFERROR(VLOOKUP(A316,TRIP_ACTUALS!$A:$O,6,FALSE),0)+IFERROR(VLOOKUP(A316,TRIP_ACTUALS!$A:$O,7,FALSE),0))</f>
        <v/>
      </c>
      <c r="H316" s="38" t="str">
        <f>IF(A316="","",IFERROR(VLOOKUP(VLOOKUP(A316,BOOKINGS!$A:$Q,7,FALSE),SETUP_RATES!$A:$H,8,FALSE),0))</f>
        <v/>
      </c>
      <c r="I316" s="38" t="str">
        <f t="shared" si="1"/>
        <v/>
      </c>
      <c r="J316" s="38" t="str">
        <f>IF(A316="","",IFERROR(VLOOKUP(A316,BOOKINGS!$A:$Q,13,FALSE),0))</f>
        <v/>
      </c>
      <c r="K316" s="38" t="str">
        <f t="shared" si="2"/>
        <v/>
      </c>
      <c r="L316" s="38" t="str">
        <f t="shared" si="3"/>
        <v/>
      </c>
    </row>
    <row r="317" ht="15.75" customHeight="1">
      <c r="A317" s="33" t="str">
        <f>IF(BOOKINGS!A317="","",BOOKINGS!A317)</f>
        <v/>
      </c>
      <c r="B317" s="38" t="str">
        <f>IF(A317="","",MAX(VLOOKUP(A317,BOOKINGS!$A:$Q,6,FALSE)*VLOOKUP(VLOOKUP(A317,BOOKINGS!$A:$Q,7,FALSE),SETUP_RATES!$A:$H,3,FALSE),VLOOKUP(VLOOKUP(A317,BOOKINGS!$A:$Q,7,FALSE),SETUP_RATES!$A:$H,2,FALSE)))</f>
        <v/>
      </c>
      <c r="C317" s="38" t="str">
        <f>IF(A317="","",VLOOKUP(A317,BOOKINGS!$A:$Q,10,FALSE)*VLOOKUP(VLOOKUP(A317,BOOKINGS!$A:$Q,7,FALSE),SETUP_RATES!$A:$H,6,FALSE))</f>
        <v/>
      </c>
      <c r="D317" s="38" t="str">
        <f>IF(A317="","",MAX(0,VLOOKUP(A317,TRIP_ACTUALS!$A:$O,8,FALSE)-SETUP_RATES!$K$2)*SETUP_RATES!$K$3)</f>
        <v/>
      </c>
      <c r="E317" s="38" t="str">
        <f>IF(A317="","",VLOOKUP(A317,TRIP_ACTUALS!$A:$O,9,FALSE)*VLOOKUP(VLOOKUP(A317,BOOKINGS!$A:$Q,7,FALSE),SETUP_RATES!$A:$H,5,FALSE))</f>
        <v/>
      </c>
      <c r="F317" s="38" t="str">
        <f>IF(A317="","",IFERROR(VLOOKUP(A317,TRIP_ACTUALS!$A:$O,5,FALSE),0))</f>
        <v/>
      </c>
      <c r="G317" s="38" t="str">
        <f>IF(A317="","",IFERROR(VLOOKUP(A317,TRIP_ACTUALS!$A:$O,6,FALSE),0)+IFERROR(VLOOKUP(A317,TRIP_ACTUALS!$A:$O,7,FALSE),0))</f>
        <v/>
      </c>
      <c r="H317" s="38" t="str">
        <f>IF(A317="","",IFERROR(VLOOKUP(VLOOKUP(A317,BOOKINGS!$A:$Q,7,FALSE),SETUP_RATES!$A:$H,8,FALSE),0))</f>
        <v/>
      </c>
      <c r="I317" s="38" t="str">
        <f t="shared" si="1"/>
        <v/>
      </c>
      <c r="J317" s="38" t="str">
        <f>IF(A317="","",IFERROR(VLOOKUP(A317,BOOKINGS!$A:$Q,13,FALSE),0))</f>
        <v/>
      </c>
      <c r="K317" s="38" t="str">
        <f t="shared" si="2"/>
        <v/>
      </c>
      <c r="L317" s="38" t="str">
        <f t="shared" si="3"/>
        <v/>
      </c>
    </row>
    <row r="318" ht="15.75" customHeight="1">
      <c r="A318" s="33" t="str">
        <f>IF(BOOKINGS!A318="","",BOOKINGS!A318)</f>
        <v/>
      </c>
      <c r="B318" s="38" t="str">
        <f>IF(A318="","",MAX(VLOOKUP(A318,BOOKINGS!$A:$Q,6,FALSE)*VLOOKUP(VLOOKUP(A318,BOOKINGS!$A:$Q,7,FALSE),SETUP_RATES!$A:$H,3,FALSE),VLOOKUP(VLOOKUP(A318,BOOKINGS!$A:$Q,7,FALSE),SETUP_RATES!$A:$H,2,FALSE)))</f>
        <v/>
      </c>
      <c r="C318" s="38" t="str">
        <f>IF(A318="","",VLOOKUP(A318,BOOKINGS!$A:$Q,10,FALSE)*VLOOKUP(VLOOKUP(A318,BOOKINGS!$A:$Q,7,FALSE),SETUP_RATES!$A:$H,6,FALSE))</f>
        <v/>
      </c>
      <c r="D318" s="38" t="str">
        <f>IF(A318="","",MAX(0,VLOOKUP(A318,TRIP_ACTUALS!$A:$O,8,FALSE)-SETUP_RATES!$K$2)*SETUP_RATES!$K$3)</f>
        <v/>
      </c>
      <c r="E318" s="38" t="str">
        <f>IF(A318="","",VLOOKUP(A318,TRIP_ACTUALS!$A:$O,9,FALSE)*VLOOKUP(VLOOKUP(A318,BOOKINGS!$A:$Q,7,FALSE),SETUP_RATES!$A:$H,5,FALSE))</f>
        <v/>
      </c>
      <c r="F318" s="38" t="str">
        <f>IF(A318="","",IFERROR(VLOOKUP(A318,TRIP_ACTUALS!$A:$O,5,FALSE),0))</f>
        <v/>
      </c>
      <c r="G318" s="38" t="str">
        <f>IF(A318="","",IFERROR(VLOOKUP(A318,TRIP_ACTUALS!$A:$O,6,FALSE),0)+IFERROR(VLOOKUP(A318,TRIP_ACTUALS!$A:$O,7,FALSE),0))</f>
        <v/>
      </c>
      <c r="H318" s="38" t="str">
        <f>IF(A318="","",IFERROR(VLOOKUP(VLOOKUP(A318,BOOKINGS!$A:$Q,7,FALSE),SETUP_RATES!$A:$H,8,FALSE),0))</f>
        <v/>
      </c>
      <c r="I318" s="38" t="str">
        <f t="shared" si="1"/>
        <v/>
      </c>
      <c r="J318" s="38" t="str">
        <f>IF(A318="","",IFERROR(VLOOKUP(A318,BOOKINGS!$A:$Q,13,FALSE),0))</f>
        <v/>
      </c>
      <c r="K318" s="38" t="str">
        <f t="shared" si="2"/>
        <v/>
      </c>
      <c r="L318" s="38" t="str">
        <f t="shared" si="3"/>
        <v/>
      </c>
    </row>
    <row r="319" ht="15.75" customHeight="1">
      <c r="A319" s="33" t="str">
        <f>IF(BOOKINGS!A319="","",BOOKINGS!A319)</f>
        <v/>
      </c>
      <c r="B319" s="38" t="str">
        <f>IF(A319="","",MAX(VLOOKUP(A319,BOOKINGS!$A:$Q,6,FALSE)*VLOOKUP(VLOOKUP(A319,BOOKINGS!$A:$Q,7,FALSE),SETUP_RATES!$A:$H,3,FALSE),VLOOKUP(VLOOKUP(A319,BOOKINGS!$A:$Q,7,FALSE),SETUP_RATES!$A:$H,2,FALSE)))</f>
        <v/>
      </c>
      <c r="C319" s="38" t="str">
        <f>IF(A319="","",VLOOKUP(A319,BOOKINGS!$A:$Q,10,FALSE)*VLOOKUP(VLOOKUP(A319,BOOKINGS!$A:$Q,7,FALSE),SETUP_RATES!$A:$H,6,FALSE))</f>
        <v/>
      </c>
      <c r="D319" s="38" t="str">
        <f>IF(A319="","",MAX(0,VLOOKUP(A319,TRIP_ACTUALS!$A:$O,8,FALSE)-SETUP_RATES!$K$2)*SETUP_RATES!$K$3)</f>
        <v/>
      </c>
      <c r="E319" s="38" t="str">
        <f>IF(A319="","",VLOOKUP(A319,TRIP_ACTUALS!$A:$O,9,FALSE)*VLOOKUP(VLOOKUP(A319,BOOKINGS!$A:$Q,7,FALSE),SETUP_RATES!$A:$H,5,FALSE))</f>
        <v/>
      </c>
      <c r="F319" s="38" t="str">
        <f>IF(A319="","",IFERROR(VLOOKUP(A319,TRIP_ACTUALS!$A:$O,5,FALSE),0))</f>
        <v/>
      </c>
      <c r="G319" s="38" t="str">
        <f>IF(A319="","",IFERROR(VLOOKUP(A319,TRIP_ACTUALS!$A:$O,6,FALSE),0)+IFERROR(VLOOKUP(A319,TRIP_ACTUALS!$A:$O,7,FALSE),0))</f>
        <v/>
      </c>
      <c r="H319" s="38" t="str">
        <f>IF(A319="","",IFERROR(VLOOKUP(VLOOKUP(A319,BOOKINGS!$A:$Q,7,FALSE),SETUP_RATES!$A:$H,8,FALSE),0))</f>
        <v/>
      </c>
      <c r="I319" s="38" t="str">
        <f t="shared" si="1"/>
        <v/>
      </c>
      <c r="J319" s="38" t="str">
        <f>IF(A319="","",IFERROR(VLOOKUP(A319,BOOKINGS!$A:$Q,13,FALSE),0))</f>
        <v/>
      </c>
      <c r="K319" s="38" t="str">
        <f t="shared" si="2"/>
        <v/>
      </c>
      <c r="L319" s="38" t="str">
        <f t="shared" si="3"/>
        <v/>
      </c>
    </row>
    <row r="320" ht="15.75" customHeight="1">
      <c r="A320" s="33" t="str">
        <f>IF(BOOKINGS!A320="","",BOOKINGS!A320)</f>
        <v/>
      </c>
      <c r="B320" s="38" t="str">
        <f>IF(A320="","",MAX(VLOOKUP(A320,BOOKINGS!$A:$Q,6,FALSE)*VLOOKUP(VLOOKUP(A320,BOOKINGS!$A:$Q,7,FALSE),SETUP_RATES!$A:$H,3,FALSE),VLOOKUP(VLOOKUP(A320,BOOKINGS!$A:$Q,7,FALSE),SETUP_RATES!$A:$H,2,FALSE)))</f>
        <v/>
      </c>
      <c r="C320" s="38" t="str">
        <f>IF(A320="","",VLOOKUP(A320,BOOKINGS!$A:$Q,10,FALSE)*VLOOKUP(VLOOKUP(A320,BOOKINGS!$A:$Q,7,FALSE),SETUP_RATES!$A:$H,6,FALSE))</f>
        <v/>
      </c>
      <c r="D320" s="38" t="str">
        <f>IF(A320="","",MAX(0,VLOOKUP(A320,TRIP_ACTUALS!$A:$O,8,FALSE)-SETUP_RATES!$K$2)*SETUP_RATES!$K$3)</f>
        <v/>
      </c>
      <c r="E320" s="38" t="str">
        <f>IF(A320="","",VLOOKUP(A320,TRIP_ACTUALS!$A:$O,9,FALSE)*VLOOKUP(VLOOKUP(A320,BOOKINGS!$A:$Q,7,FALSE),SETUP_RATES!$A:$H,5,FALSE))</f>
        <v/>
      </c>
      <c r="F320" s="38" t="str">
        <f>IF(A320="","",IFERROR(VLOOKUP(A320,TRIP_ACTUALS!$A:$O,5,FALSE),0))</f>
        <v/>
      </c>
      <c r="G320" s="38" t="str">
        <f>IF(A320="","",IFERROR(VLOOKUP(A320,TRIP_ACTUALS!$A:$O,6,FALSE),0)+IFERROR(VLOOKUP(A320,TRIP_ACTUALS!$A:$O,7,FALSE),0))</f>
        <v/>
      </c>
      <c r="H320" s="38" t="str">
        <f>IF(A320="","",IFERROR(VLOOKUP(VLOOKUP(A320,BOOKINGS!$A:$Q,7,FALSE),SETUP_RATES!$A:$H,8,FALSE),0))</f>
        <v/>
      </c>
      <c r="I320" s="38" t="str">
        <f t="shared" si="1"/>
        <v/>
      </c>
      <c r="J320" s="38" t="str">
        <f>IF(A320="","",IFERROR(VLOOKUP(A320,BOOKINGS!$A:$Q,13,FALSE),0))</f>
        <v/>
      </c>
      <c r="K320" s="38" t="str">
        <f t="shared" si="2"/>
        <v/>
      </c>
      <c r="L320" s="38" t="str">
        <f t="shared" si="3"/>
        <v/>
      </c>
    </row>
    <row r="321" ht="15.75" customHeight="1">
      <c r="A321" s="33" t="str">
        <f>IF(BOOKINGS!A321="","",BOOKINGS!A321)</f>
        <v/>
      </c>
      <c r="B321" s="38" t="str">
        <f>IF(A321="","",MAX(VLOOKUP(A321,BOOKINGS!$A:$Q,6,FALSE)*VLOOKUP(VLOOKUP(A321,BOOKINGS!$A:$Q,7,FALSE),SETUP_RATES!$A:$H,3,FALSE),VLOOKUP(VLOOKUP(A321,BOOKINGS!$A:$Q,7,FALSE),SETUP_RATES!$A:$H,2,FALSE)))</f>
        <v/>
      </c>
      <c r="C321" s="38" t="str">
        <f>IF(A321="","",VLOOKUP(A321,BOOKINGS!$A:$Q,10,FALSE)*VLOOKUP(VLOOKUP(A321,BOOKINGS!$A:$Q,7,FALSE),SETUP_RATES!$A:$H,6,FALSE))</f>
        <v/>
      </c>
      <c r="D321" s="38" t="str">
        <f>IF(A321="","",MAX(0,VLOOKUP(A321,TRIP_ACTUALS!$A:$O,8,FALSE)-SETUP_RATES!$K$2)*SETUP_RATES!$K$3)</f>
        <v/>
      </c>
      <c r="E321" s="38" t="str">
        <f>IF(A321="","",VLOOKUP(A321,TRIP_ACTUALS!$A:$O,9,FALSE)*VLOOKUP(VLOOKUP(A321,BOOKINGS!$A:$Q,7,FALSE),SETUP_RATES!$A:$H,5,FALSE))</f>
        <v/>
      </c>
      <c r="F321" s="38" t="str">
        <f>IF(A321="","",IFERROR(VLOOKUP(A321,TRIP_ACTUALS!$A:$O,5,FALSE),0))</f>
        <v/>
      </c>
      <c r="G321" s="38" t="str">
        <f>IF(A321="","",IFERROR(VLOOKUP(A321,TRIP_ACTUALS!$A:$O,6,FALSE),0)+IFERROR(VLOOKUP(A321,TRIP_ACTUALS!$A:$O,7,FALSE),0))</f>
        <v/>
      </c>
      <c r="H321" s="38" t="str">
        <f>IF(A321="","",IFERROR(VLOOKUP(VLOOKUP(A321,BOOKINGS!$A:$Q,7,FALSE),SETUP_RATES!$A:$H,8,FALSE),0))</f>
        <v/>
      </c>
      <c r="I321" s="38" t="str">
        <f t="shared" si="1"/>
        <v/>
      </c>
      <c r="J321" s="38" t="str">
        <f>IF(A321="","",IFERROR(VLOOKUP(A321,BOOKINGS!$A:$Q,13,FALSE),0))</f>
        <v/>
      </c>
      <c r="K321" s="38" t="str">
        <f t="shared" si="2"/>
        <v/>
      </c>
      <c r="L321" s="38" t="str">
        <f t="shared" si="3"/>
        <v/>
      </c>
    </row>
    <row r="322" ht="15.75" customHeight="1">
      <c r="A322" s="33" t="str">
        <f>IF(BOOKINGS!A322="","",BOOKINGS!A322)</f>
        <v/>
      </c>
      <c r="B322" s="38" t="str">
        <f>IF(A322="","",MAX(VLOOKUP(A322,BOOKINGS!$A:$Q,6,FALSE)*VLOOKUP(VLOOKUP(A322,BOOKINGS!$A:$Q,7,FALSE),SETUP_RATES!$A:$H,3,FALSE),VLOOKUP(VLOOKUP(A322,BOOKINGS!$A:$Q,7,FALSE),SETUP_RATES!$A:$H,2,FALSE)))</f>
        <v/>
      </c>
      <c r="C322" s="38" t="str">
        <f>IF(A322="","",VLOOKUP(A322,BOOKINGS!$A:$Q,10,FALSE)*VLOOKUP(VLOOKUP(A322,BOOKINGS!$A:$Q,7,FALSE),SETUP_RATES!$A:$H,6,FALSE))</f>
        <v/>
      </c>
      <c r="D322" s="38" t="str">
        <f>IF(A322="","",MAX(0,VLOOKUP(A322,TRIP_ACTUALS!$A:$O,8,FALSE)-SETUP_RATES!$K$2)*SETUP_RATES!$K$3)</f>
        <v/>
      </c>
      <c r="E322" s="38" t="str">
        <f>IF(A322="","",VLOOKUP(A322,TRIP_ACTUALS!$A:$O,9,FALSE)*VLOOKUP(VLOOKUP(A322,BOOKINGS!$A:$Q,7,FALSE),SETUP_RATES!$A:$H,5,FALSE))</f>
        <v/>
      </c>
      <c r="F322" s="38" t="str">
        <f>IF(A322="","",IFERROR(VLOOKUP(A322,TRIP_ACTUALS!$A:$O,5,FALSE),0))</f>
        <v/>
      </c>
      <c r="G322" s="38" t="str">
        <f>IF(A322="","",IFERROR(VLOOKUP(A322,TRIP_ACTUALS!$A:$O,6,FALSE),0)+IFERROR(VLOOKUP(A322,TRIP_ACTUALS!$A:$O,7,FALSE),0))</f>
        <v/>
      </c>
      <c r="H322" s="38" t="str">
        <f>IF(A322="","",IFERROR(VLOOKUP(VLOOKUP(A322,BOOKINGS!$A:$Q,7,FALSE),SETUP_RATES!$A:$H,8,FALSE),0))</f>
        <v/>
      </c>
      <c r="I322" s="38" t="str">
        <f t="shared" si="1"/>
        <v/>
      </c>
      <c r="J322" s="38" t="str">
        <f>IF(A322="","",IFERROR(VLOOKUP(A322,BOOKINGS!$A:$Q,13,FALSE),0))</f>
        <v/>
      </c>
      <c r="K322" s="38" t="str">
        <f t="shared" si="2"/>
        <v/>
      </c>
      <c r="L322" s="38" t="str">
        <f t="shared" si="3"/>
        <v/>
      </c>
    </row>
    <row r="323" ht="15.75" customHeight="1">
      <c r="A323" s="33" t="str">
        <f>IF(BOOKINGS!A323="","",BOOKINGS!A323)</f>
        <v/>
      </c>
      <c r="B323" s="38" t="str">
        <f>IF(A323="","",MAX(VLOOKUP(A323,BOOKINGS!$A:$Q,6,FALSE)*VLOOKUP(VLOOKUP(A323,BOOKINGS!$A:$Q,7,FALSE),SETUP_RATES!$A:$H,3,FALSE),VLOOKUP(VLOOKUP(A323,BOOKINGS!$A:$Q,7,FALSE),SETUP_RATES!$A:$H,2,FALSE)))</f>
        <v/>
      </c>
      <c r="C323" s="38" t="str">
        <f>IF(A323="","",VLOOKUP(A323,BOOKINGS!$A:$Q,10,FALSE)*VLOOKUP(VLOOKUP(A323,BOOKINGS!$A:$Q,7,FALSE),SETUP_RATES!$A:$H,6,FALSE))</f>
        <v/>
      </c>
      <c r="D323" s="38" t="str">
        <f>IF(A323="","",MAX(0,VLOOKUP(A323,TRIP_ACTUALS!$A:$O,8,FALSE)-SETUP_RATES!$K$2)*SETUP_RATES!$K$3)</f>
        <v/>
      </c>
      <c r="E323" s="38" t="str">
        <f>IF(A323="","",VLOOKUP(A323,TRIP_ACTUALS!$A:$O,9,FALSE)*VLOOKUP(VLOOKUP(A323,BOOKINGS!$A:$Q,7,FALSE),SETUP_RATES!$A:$H,5,FALSE))</f>
        <v/>
      </c>
      <c r="F323" s="38" t="str">
        <f>IF(A323="","",IFERROR(VLOOKUP(A323,TRIP_ACTUALS!$A:$O,5,FALSE),0))</f>
        <v/>
      </c>
      <c r="G323" s="38" t="str">
        <f>IF(A323="","",IFERROR(VLOOKUP(A323,TRIP_ACTUALS!$A:$O,6,FALSE),0)+IFERROR(VLOOKUP(A323,TRIP_ACTUALS!$A:$O,7,FALSE),0))</f>
        <v/>
      </c>
      <c r="H323" s="38" t="str">
        <f>IF(A323="","",IFERROR(VLOOKUP(VLOOKUP(A323,BOOKINGS!$A:$Q,7,FALSE),SETUP_RATES!$A:$H,8,FALSE),0))</f>
        <v/>
      </c>
      <c r="I323" s="38" t="str">
        <f t="shared" si="1"/>
        <v/>
      </c>
      <c r="J323" s="38" t="str">
        <f>IF(A323="","",IFERROR(VLOOKUP(A323,BOOKINGS!$A:$Q,13,FALSE),0))</f>
        <v/>
      </c>
      <c r="K323" s="38" t="str">
        <f t="shared" si="2"/>
        <v/>
      </c>
      <c r="L323" s="38" t="str">
        <f t="shared" si="3"/>
        <v/>
      </c>
    </row>
    <row r="324" ht="15.75" customHeight="1">
      <c r="A324" s="33" t="str">
        <f>IF(BOOKINGS!A324="","",BOOKINGS!A324)</f>
        <v/>
      </c>
      <c r="B324" s="38" t="str">
        <f>IF(A324="","",MAX(VLOOKUP(A324,BOOKINGS!$A:$Q,6,FALSE)*VLOOKUP(VLOOKUP(A324,BOOKINGS!$A:$Q,7,FALSE),SETUP_RATES!$A:$H,3,FALSE),VLOOKUP(VLOOKUP(A324,BOOKINGS!$A:$Q,7,FALSE),SETUP_RATES!$A:$H,2,FALSE)))</f>
        <v/>
      </c>
      <c r="C324" s="38" t="str">
        <f>IF(A324="","",VLOOKUP(A324,BOOKINGS!$A:$Q,10,FALSE)*VLOOKUP(VLOOKUP(A324,BOOKINGS!$A:$Q,7,FALSE),SETUP_RATES!$A:$H,6,FALSE))</f>
        <v/>
      </c>
      <c r="D324" s="38" t="str">
        <f>IF(A324="","",MAX(0,VLOOKUP(A324,TRIP_ACTUALS!$A:$O,8,FALSE)-SETUP_RATES!$K$2)*SETUP_RATES!$K$3)</f>
        <v/>
      </c>
      <c r="E324" s="38" t="str">
        <f>IF(A324="","",VLOOKUP(A324,TRIP_ACTUALS!$A:$O,9,FALSE)*VLOOKUP(VLOOKUP(A324,BOOKINGS!$A:$Q,7,FALSE),SETUP_RATES!$A:$H,5,FALSE))</f>
        <v/>
      </c>
      <c r="F324" s="38" t="str">
        <f>IF(A324="","",IFERROR(VLOOKUP(A324,TRIP_ACTUALS!$A:$O,5,FALSE),0))</f>
        <v/>
      </c>
      <c r="G324" s="38" t="str">
        <f>IF(A324="","",IFERROR(VLOOKUP(A324,TRIP_ACTUALS!$A:$O,6,FALSE),0)+IFERROR(VLOOKUP(A324,TRIP_ACTUALS!$A:$O,7,FALSE),0))</f>
        <v/>
      </c>
      <c r="H324" s="38" t="str">
        <f>IF(A324="","",IFERROR(VLOOKUP(VLOOKUP(A324,BOOKINGS!$A:$Q,7,FALSE),SETUP_RATES!$A:$H,8,FALSE),0))</f>
        <v/>
      </c>
      <c r="I324" s="38" t="str">
        <f t="shared" si="1"/>
        <v/>
      </c>
      <c r="J324" s="38" t="str">
        <f>IF(A324="","",IFERROR(VLOOKUP(A324,BOOKINGS!$A:$Q,13,FALSE),0))</f>
        <v/>
      </c>
      <c r="K324" s="38" t="str">
        <f t="shared" si="2"/>
        <v/>
      </c>
      <c r="L324" s="38" t="str">
        <f t="shared" si="3"/>
        <v/>
      </c>
    </row>
    <row r="325" ht="15.75" customHeight="1">
      <c r="A325" s="33" t="str">
        <f>IF(BOOKINGS!A325="","",BOOKINGS!A325)</f>
        <v/>
      </c>
      <c r="B325" s="38" t="str">
        <f>IF(A325="","",MAX(VLOOKUP(A325,BOOKINGS!$A:$Q,6,FALSE)*VLOOKUP(VLOOKUP(A325,BOOKINGS!$A:$Q,7,FALSE),SETUP_RATES!$A:$H,3,FALSE),VLOOKUP(VLOOKUP(A325,BOOKINGS!$A:$Q,7,FALSE),SETUP_RATES!$A:$H,2,FALSE)))</f>
        <v/>
      </c>
      <c r="C325" s="38" t="str">
        <f>IF(A325="","",VLOOKUP(A325,BOOKINGS!$A:$Q,10,FALSE)*VLOOKUP(VLOOKUP(A325,BOOKINGS!$A:$Q,7,FALSE),SETUP_RATES!$A:$H,6,FALSE))</f>
        <v/>
      </c>
      <c r="D325" s="38" t="str">
        <f>IF(A325="","",MAX(0,VLOOKUP(A325,TRIP_ACTUALS!$A:$O,8,FALSE)-SETUP_RATES!$K$2)*SETUP_RATES!$K$3)</f>
        <v/>
      </c>
      <c r="E325" s="38" t="str">
        <f>IF(A325="","",VLOOKUP(A325,TRIP_ACTUALS!$A:$O,9,FALSE)*VLOOKUP(VLOOKUP(A325,BOOKINGS!$A:$Q,7,FALSE),SETUP_RATES!$A:$H,5,FALSE))</f>
        <v/>
      </c>
      <c r="F325" s="38" t="str">
        <f>IF(A325="","",IFERROR(VLOOKUP(A325,TRIP_ACTUALS!$A:$O,5,FALSE),0))</f>
        <v/>
      </c>
      <c r="G325" s="38" t="str">
        <f>IF(A325="","",IFERROR(VLOOKUP(A325,TRIP_ACTUALS!$A:$O,6,FALSE),0)+IFERROR(VLOOKUP(A325,TRIP_ACTUALS!$A:$O,7,FALSE),0))</f>
        <v/>
      </c>
      <c r="H325" s="38" t="str">
        <f>IF(A325="","",IFERROR(VLOOKUP(VLOOKUP(A325,BOOKINGS!$A:$Q,7,FALSE),SETUP_RATES!$A:$H,8,FALSE),0))</f>
        <v/>
      </c>
      <c r="I325" s="38" t="str">
        <f t="shared" si="1"/>
        <v/>
      </c>
      <c r="J325" s="38" t="str">
        <f>IF(A325="","",IFERROR(VLOOKUP(A325,BOOKINGS!$A:$Q,13,FALSE),0))</f>
        <v/>
      </c>
      <c r="K325" s="38" t="str">
        <f t="shared" si="2"/>
        <v/>
      </c>
      <c r="L325" s="38" t="str">
        <f t="shared" si="3"/>
        <v/>
      </c>
    </row>
    <row r="326" ht="15.75" customHeight="1">
      <c r="A326" s="33" t="str">
        <f>IF(BOOKINGS!A326="","",BOOKINGS!A326)</f>
        <v/>
      </c>
      <c r="B326" s="38" t="str">
        <f>IF(A326="","",MAX(VLOOKUP(A326,BOOKINGS!$A:$Q,6,FALSE)*VLOOKUP(VLOOKUP(A326,BOOKINGS!$A:$Q,7,FALSE),SETUP_RATES!$A:$H,3,FALSE),VLOOKUP(VLOOKUP(A326,BOOKINGS!$A:$Q,7,FALSE),SETUP_RATES!$A:$H,2,FALSE)))</f>
        <v/>
      </c>
      <c r="C326" s="38" t="str">
        <f>IF(A326="","",VLOOKUP(A326,BOOKINGS!$A:$Q,10,FALSE)*VLOOKUP(VLOOKUP(A326,BOOKINGS!$A:$Q,7,FALSE),SETUP_RATES!$A:$H,6,FALSE))</f>
        <v/>
      </c>
      <c r="D326" s="38" t="str">
        <f>IF(A326="","",MAX(0,VLOOKUP(A326,TRIP_ACTUALS!$A:$O,8,FALSE)-SETUP_RATES!$K$2)*SETUP_RATES!$K$3)</f>
        <v/>
      </c>
      <c r="E326" s="38" t="str">
        <f>IF(A326="","",VLOOKUP(A326,TRIP_ACTUALS!$A:$O,9,FALSE)*VLOOKUP(VLOOKUP(A326,BOOKINGS!$A:$Q,7,FALSE),SETUP_RATES!$A:$H,5,FALSE))</f>
        <v/>
      </c>
      <c r="F326" s="38" t="str">
        <f>IF(A326="","",IFERROR(VLOOKUP(A326,TRIP_ACTUALS!$A:$O,5,FALSE),0))</f>
        <v/>
      </c>
      <c r="G326" s="38" t="str">
        <f>IF(A326="","",IFERROR(VLOOKUP(A326,TRIP_ACTUALS!$A:$O,6,FALSE),0)+IFERROR(VLOOKUP(A326,TRIP_ACTUALS!$A:$O,7,FALSE),0))</f>
        <v/>
      </c>
      <c r="H326" s="38" t="str">
        <f>IF(A326="","",IFERROR(VLOOKUP(VLOOKUP(A326,BOOKINGS!$A:$Q,7,FALSE),SETUP_RATES!$A:$H,8,FALSE),0))</f>
        <v/>
      </c>
      <c r="I326" s="38" t="str">
        <f t="shared" si="1"/>
        <v/>
      </c>
      <c r="J326" s="38" t="str">
        <f>IF(A326="","",IFERROR(VLOOKUP(A326,BOOKINGS!$A:$Q,13,FALSE),0))</f>
        <v/>
      </c>
      <c r="K326" s="38" t="str">
        <f t="shared" si="2"/>
        <v/>
      </c>
      <c r="L326" s="38" t="str">
        <f t="shared" si="3"/>
        <v/>
      </c>
    </row>
    <row r="327" ht="15.75" customHeight="1">
      <c r="A327" s="33" t="str">
        <f>IF(BOOKINGS!A327="","",BOOKINGS!A327)</f>
        <v/>
      </c>
      <c r="B327" s="38" t="str">
        <f>IF(A327="","",MAX(VLOOKUP(A327,BOOKINGS!$A:$Q,6,FALSE)*VLOOKUP(VLOOKUP(A327,BOOKINGS!$A:$Q,7,FALSE),SETUP_RATES!$A:$H,3,FALSE),VLOOKUP(VLOOKUP(A327,BOOKINGS!$A:$Q,7,FALSE),SETUP_RATES!$A:$H,2,FALSE)))</f>
        <v/>
      </c>
      <c r="C327" s="38" t="str">
        <f>IF(A327="","",VLOOKUP(A327,BOOKINGS!$A:$Q,10,FALSE)*VLOOKUP(VLOOKUP(A327,BOOKINGS!$A:$Q,7,FALSE),SETUP_RATES!$A:$H,6,FALSE))</f>
        <v/>
      </c>
      <c r="D327" s="38" t="str">
        <f>IF(A327="","",MAX(0,VLOOKUP(A327,TRIP_ACTUALS!$A:$O,8,FALSE)-SETUP_RATES!$K$2)*SETUP_RATES!$K$3)</f>
        <v/>
      </c>
      <c r="E327" s="38" t="str">
        <f>IF(A327="","",VLOOKUP(A327,TRIP_ACTUALS!$A:$O,9,FALSE)*VLOOKUP(VLOOKUP(A327,BOOKINGS!$A:$Q,7,FALSE),SETUP_RATES!$A:$H,5,FALSE))</f>
        <v/>
      </c>
      <c r="F327" s="38" t="str">
        <f>IF(A327="","",IFERROR(VLOOKUP(A327,TRIP_ACTUALS!$A:$O,5,FALSE),0))</f>
        <v/>
      </c>
      <c r="G327" s="38" t="str">
        <f>IF(A327="","",IFERROR(VLOOKUP(A327,TRIP_ACTUALS!$A:$O,6,FALSE),0)+IFERROR(VLOOKUP(A327,TRIP_ACTUALS!$A:$O,7,FALSE),0))</f>
        <v/>
      </c>
      <c r="H327" s="38" t="str">
        <f>IF(A327="","",IFERROR(VLOOKUP(VLOOKUP(A327,BOOKINGS!$A:$Q,7,FALSE),SETUP_RATES!$A:$H,8,FALSE),0))</f>
        <v/>
      </c>
      <c r="I327" s="38" t="str">
        <f t="shared" si="1"/>
        <v/>
      </c>
      <c r="J327" s="38" t="str">
        <f>IF(A327="","",IFERROR(VLOOKUP(A327,BOOKINGS!$A:$Q,13,FALSE),0))</f>
        <v/>
      </c>
      <c r="K327" s="38" t="str">
        <f t="shared" si="2"/>
        <v/>
      </c>
      <c r="L327" s="38" t="str">
        <f t="shared" si="3"/>
        <v/>
      </c>
    </row>
    <row r="328" ht="15.75" customHeight="1">
      <c r="A328" s="33" t="str">
        <f>IF(BOOKINGS!A328="","",BOOKINGS!A328)</f>
        <v/>
      </c>
      <c r="B328" s="38" t="str">
        <f>IF(A328="","",MAX(VLOOKUP(A328,BOOKINGS!$A:$Q,6,FALSE)*VLOOKUP(VLOOKUP(A328,BOOKINGS!$A:$Q,7,FALSE),SETUP_RATES!$A:$H,3,FALSE),VLOOKUP(VLOOKUP(A328,BOOKINGS!$A:$Q,7,FALSE),SETUP_RATES!$A:$H,2,FALSE)))</f>
        <v/>
      </c>
      <c r="C328" s="38" t="str">
        <f>IF(A328="","",VLOOKUP(A328,BOOKINGS!$A:$Q,10,FALSE)*VLOOKUP(VLOOKUP(A328,BOOKINGS!$A:$Q,7,FALSE),SETUP_RATES!$A:$H,6,FALSE))</f>
        <v/>
      </c>
      <c r="D328" s="38" t="str">
        <f>IF(A328="","",MAX(0,VLOOKUP(A328,TRIP_ACTUALS!$A:$O,8,FALSE)-SETUP_RATES!$K$2)*SETUP_RATES!$K$3)</f>
        <v/>
      </c>
      <c r="E328" s="38" t="str">
        <f>IF(A328="","",VLOOKUP(A328,TRIP_ACTUALS!$A:$O,9,FALSE)*VLOOKUP(VLOOKUP(A328,BOOKINGS!$A:$Q,7,FALSE),SETUP_RATES!$A:$H,5,FALSE))</f>
        <v/>
      </c>
      <c r="F328" s="38" t="str">
        <f>IF(A328="","",IFERROR(VLOOKUP(A328,TRIP_ACTUALS!$A:$O,5,FALSE),0))</f>
        <v/>
      </c>
      <c r="G328" s="38" t="str">
        <f>IF(A328="","",IFERROR(VLOOKUP(A328,TRIP_ACTUALS!$A:$O,6,FALSE),0)+IFERROR(VLOOKUP(A328,TRIP_ACTUALS!$A:$O,7,FALSE),0))</f>
        <v/>
      </c>
      <c r="H328" s="38" t="str">
        <f>IF(A328="","",IFERROR(VLOOKUP(VLOOKUP(A328,BOOKINGS!$A:$Q,7,FALSE),SETUP_RATES!$A:$H,8,FALSE),0))</f>
        <v/>
      </c>
      <c r="I328" s="38" t="str">
        <f t="shared" si="1"/>
        <v/>
      </c>
      <c r="J328" s="38" t="str">
        <f>IF(A328="","",IFERROR(VLOOKUP(A328,BOOKINGS!$A:$Q,13,FALSE),0))</f>
        <v/>
      </c>
      <c r="K328" s="38" t="str">
        <f t="shared" si="2"/>
        <v/>
      </c>
      <c r="L328" s="38" t="str">
        <f t="shared" si="3"/>
        <v/>
      </c>
    </row>
    <row r="329" ht="15.75" customHeight="1">
      <c r="A329" s="33" t="str">
        <f>IF(BOOKINGS!A329="","",BOOKINGS!A329)</f>
        <v/>
      </c>
      <c r="B329" s="38" t="str">
        <f>IF(A329="","",MAX(VLOOKUP(A329,BOOKINGS!$A:$Q,6,FALSE)*VLOOKUP(VLOOKUP(A329,BOOKINGS!$A:$Q,7,FALSE),SETUP_RATES!$A:$H,3,FALSE),VLOOKUP(VLOOKUP(A329,BOOKINGS!$A:$Q,7,FALSE),SETUP_RATES!$A:$H,2,FALSE)))</f>
        <v/>
      </c>
      <c r="C329" s="38" t="str">
        <f>IF(A329="","",VLOOKUP(A329,BOOKINGS!$A:$Q,10,FALSE)*VLOOKUP(VLOOKUP(A329,BOOKINGS!$A:$Q,7,FALSE),SETUP_RATES!$A:$H,6,FALSE))</f>
        <v/>
      </c>
      <c r="D329" s="38" t="str">
        <f>IF(A329="","",MAX(0,VLOOKUP(A329,TRIP_ACTUALS!$A:$O,8,FALSE)-SETUP_RATES!$K$2)*SETUP_RATES!$K$3)</f>
        <v/>
      </c>
      <c r="E329" s="38" t="str">
        <f>IF(A329="","",VLOOKUP(A329,TRIP_ACTUALS!$A:$O,9,FALSE)*VLOOKUP(VLOOKUP(A329,BOOKINGS!$A:$Q,7,FALSE),SETUP_RATES!$A:$H,5,FALSE))</f>
        <v/>
      </c>
      <c r="F329" s="38" t="str">
        <f>IF(A329="","",IFERROR(VLOOKUP(A329,TRIP_ACTUALS!$A:$O,5,FALSE),0))</f>
        <v/>
      </c>
      <c r="G329" s="38" t="str">
        <f>IF(A329="","",IFERROR(VLOOKUP(A329,TRIP_ACTUALS!$A:$O,6,FALSE),0)+IFERROR(VLOOKUP(A329,TRIP_ACTUALS!$A:$O,7,FALSE),0))</f>
        <v/>
      </c>
      <c r="H329" s="38" t="str">
        <f>IF(A329="","",IFERROR(VLOOKUP(VLOOKUP(A329,BOOKINGS!$A:$Q,7,FALSE),SETUP_RATES!$A:$H,8,FALSE),0))</f>
        <v/>
      </c>
      <c r="I329" s="38" t="str">
        <f t="shared" si="1"/>
        <v/>
      </c>
      <c r="J329" s="38" t="str">
        <f>IF(A329="","",IFERROR(VLOOKUP(A329,BOOKINGS!$A:$Q,13,FALSE),0))</f>
        <v/>
      </c>
      <c r="K329" s="38" t="str">
        <f t="shared" si="2"/>
        <v/>
      </c>
      <c r="L329" s="38" t="str">
        <f t="shared" si="3"/>
        <v/>
      </c>
    </row>
    <row r="330" ht="15.75" customHeight="1">
      <c r="A330" s="33" t="str">
        <f>IF(BOOKINGS!A330="","",BOOKINGS!A330)</f>
        <v/>
      </c>
      <c r="B330" s="38" t="str">
        <f>IF(A330="","",MAX(VLOOKUP(A330,BOOKINGS!$A:$Q,6,FALSE)*VLOOKUP(VLOOKUP(A330,BOOKINGS!$A:$Q,7,FALSE),SETUP_RATES!$A:$H,3,FALSE),VLOOKUP(VLOOKUP(A330,BOOKINGS!$A:$Q,7,FALSE),SETUP_RATES!$A:$H,2,FALSE)))</f>
        <v/>
      </c>
      <c r="C330" s="38" t="str">
        <f>IF(A330="","",VLOOKUP(A330,BOOKINGS!$A:$Q,10,FALSE)*VLOOKUP(VLOOKUP(A330,BOOKINGS!$A:$Q,7,FALSE),SETUP_RATES!$A:$H,6,FALSE))</f>
        <v/>
      </c>
      <c r="D330" s="38" t="str">
        <f>IF(A330="","",MAX(0,VLOOKUP(A330,TRIP_ACTUALS!$A:$O,8,FALSE)-SETUP_RATES!$K$2)*SETUP_RATES!$K$3)</f>
        <v/>
      </c>
      <c r="E330" s="38" t="str">
        <f>IF(A330="","",VLOOKUP(A330,TRIP_ACTUALS!$A:$O,9,FALSE)*VLOOKUP(VLOOKUP(A330,BOOKINGS!$A:$Q,7,FALSE),SETUP_RATES!$A:$H,5,FALSE))</f>
        <v/>
      </c>
      <c r="F330" s="38" t="str">
        <f>IF(A330="","",IFERROR(VLOOKUP(A330,TRIP_ACTUALS!$A:$O,5,FALSE),0))</f>
        <v/>
      </c>
      <c r="G330" s="38" t="str">
        <f>IF(A330="","",IFERROR(VLOOKUP(A330,TRIP_ACTUALS!$A:$O,6,FALSE),0)+IFERROR(VLOOKUP(A330,TRIP_ACTUALS!$A:$O,7,FALSE),0))</f>
        <v/>
      </c>
      <c r="H330" s="38" t="str">
        <f>IF(A330="","",IFERROR(VLOOKUP(VLOOKUP(A330,BOOKINGS!$A:$Q,7,FALSE),SETUP_RATES!$A:$H,8,FALSE),0))</f>
        <v/>
      </c>
      <c r="I330" s="38" t="str">
        <f t="shared" si="1"/>
        <v/>
      </c>
      <c r="J330" s="38" t="str">
        <f>IF(A330="","",IFERROR(VLOOKUP(A330,BOOKINGS!$A:$Q,13,FALSE),0))</f>
        <v/>
      </c>
      <c r="K330" s="38" t="str">
        <f t="shared" si="2"/>
        <v/>
      </c>
      <c r="L330" s="38" t="str">
        <f t="shared" si="3"/>
        <v/>
      </c>
    </row>
    <row r="331" ht="15.75" customHeight="1">
      <c r="A331" s="33" t="str">
        <f>IF(BOOKINGS!A331="","",BOOKINGS!A331)</f>
        <v/>
      </c>
      <c r="B331" s="38" t="str">
        <f>IF(A331="","",MAX(VLOOKUP(A331,BOOKINGS!$A:$Q,6,FALSE)*VLOOKUP(VLOOKUP(A331,BOOKINGS!$A:$Q,7,FALSE),SETUP_RATES!$A:$H,3,FALSE),VLOOKUP(VLOOKUP(A331,BOOKINGS!$A:$Q,7,FALSE),SETUP_RATES!$A:$H,2,FALSE)))</f>
        <v/>
      </c>
      <c r="C331" s="38" t="str">
        <f>IF(A331="","",VLOOKUP(A331,BOOKINGS!$A:$Q,10,FALSE)*VLOOKUP(VLOOKUP(A331,BOOKINGS!$A:$Q,7,FALSE),SETUP_RATES!$A:$H,6,FALSE))</f>
        <v/>
      </c>
      <c r="D331" s="38" t="str">
        <f>IF(A331="","",MAX(0,VLOOKUP(A331,TRIP_ACTUALS!$A:$O,8,FALSE)-SETUP_RATES!$K$2)*SETUP_RATES!$K$3)</f>
        <v/>
      </c>
      <c r="E331" s="38" t="str">
        <f>IF(A331="","",VLOOKUP(A331,TRIP_ACTUALS!$A:$O,9,FALSE)*VLOOKUP(VLOOKUP(A331,BOOKINGS!$A:$Q,7,FALSE),SETUP_RATES!$A:$H,5,FALSE))</f>
        <v/>
      </c>
      <c r="F331" s="38" t="str">
        <f>IF(A331="","",IFERROR(VLOOKUP(A331,TRIP_ACTUALS!$A:$O,5,FALSE),0))</f>
        <v/>
      </c>
      <c r="G331" s="38" t="str">
        <f>IF(A331="","",IFERROR(VLOOKUP(A331,TRIP_ACTUALS!$A:$O,6,FALSE),0)+IFERROR(VLOOKUP(A331,TRIP_ACTUALS!$A:$O,7,FALSE),0))</f>
        <v/>
      </c>
      <c r="H331" s="38" t="str">
        <f>IF(A331="","",IFERROR(VLOOKUP(VLOOKUP(A331,BOOKINGS!$A:$Q,7,FALSE),SETUP_RATES!$A:$H,8,FALSE),0))</f>
        <v/>
      </c>
      <c r="I331" s="38" t="str">
        <f t="shared" si="1"/>
        <v/>
      </c>
      <c r="J331" s="38" t="str">
        <f>IF(A331="","",IFERROR(VLOOKUP(A331,BOOKINGS!$A:$Q,13,FALSE),0))</f>
        <v/>
      </c>
      <c r="K331" s="38" t="str">
        <f t="shared" si="2"/>
        <v/>
      </c>
      <c r="L331" s="38" t="str">
        <f t="shared" si="3"/>
        <v/>
      </c>
    </row>
    <row r="332" ht="15.75" customHeight="1">
      <c r="A332" s="33" t="str">
        <f>IF(BOOKINGS!A332="","",BOOKINGS!A332)</f>
        <v/>
      </c>
      <c r="B332" s="38" t="str">
        <f>IF(A332="","",MAX(VLOOKUP(A332,BOOKINGS!$A:$Q,6,FALSE)*VLOOKUP(VLOOKUP(A332,BOOKINGS!$A:$Q,7,FALSE),SETUP_RATES!$A:$H,3,FALSE),VLOOKUP(VLOOKUP(A332,BOOKINGS!$A:$Q,7,FALSE),SETUP_RATES!$A:$H,2,FALSE)))</f>
        <v/>
      </c>
      <c r="C332" s="38" t="str">
        <f>IF(A332="","",VLOOKUP(A332,BOOKINGS!$A:$Q,10,FALSE)*VLOOKUP(VLOOKUP(A332,BOOKINGS!$A:$Q,7,FALSE),SETUP_RATES!$A:$H,6,FALSE))</f>
        <v/>
      </c>
      <c r="D332" s="38" t="str">
        <f>IF(A332="","",MAX(0,VLOOKUP(A332,TRIP_ACTUALS!$A:$O,8,FALSE)-SETUP_RATES!$K$2)*SETUP_RATES!$K$3)</f>
        <v/>
      </c>
      <c r="E332" s="38" t="str">
        <f>IF(A332="","",VLOOKUP(A332,TRIP_ACTUALS!$A:$O,9,FALSE)*VLOOKUP(VLOOKUP(A332,BOOKINGS!$A:$Q,7,FALSE),SETUP_RATES!$A:$H,5,FALSE))</f>
        <v/>
      </c>
      <c r="F332" s="38" t="str">
        <f>IF(A332="","",IFERROR(VLOOKUP(A332,TRIP_ACTUALS!$A:$O,5,FALSE),0))</f>
        <v/>
      </c>
      <c r="G332" s="38" t="str">
        <f>IF(A332="","",IFERROR(VLOOKUP(A332,TRIP_ACTUALS!$A:$O,6,FALSE),0)+IFERROR(VLOOKUP(A332,TRIP_ACTUALS!$A:$O,7,FALSE),0))</f>
        <v/>
      </c>
      <c r="H332" s="38" t="str">
        <f>IF(A332="","",IFERROR(VLOOKUP(VLOOKUP(A332,BOOKINGS!$A:$Q,7,FALSE),SETUP_RATES!$A:$H,8,FALSE),0))</f>
        <v/>
      </c>
      <c r="I332" s="38" t="str">
        <f t="shared" si="1"/>
        <v/>
      </c>
      <c r="J332" s="38" t="str">
        <f>IF(A332="","",IFERROR(VLOOKUP(A332,BOOKINGS!$A:$Q,13,FALSE),0))</f>
        <v/>
      </c>
      <c r="K332" s="38" t="str">
        <f t="shared" si="2"/>
        <v/>
      </c>
      <c r="L332" s="38" t="str">
        <f t="shared" si="3"/>
        <v/>
      </c>
    </row>
    <row r="333" ht="15.75" customHeight="1">
      <c r="A333" s="33" t="str">
        <f>IF(BOOKINGS!A333="","",BOOKINGS!A333)</f>
        <v/>
      </c>
      <c r="B333" s="38" t="str">
        <f>IF(A333="","",MAX(VLOOKUP(A333,BOOKINGS!$A:$Q,6,FALSE)*VLOOKUP(VLOOKUP(A333,BOOKINGS!$A:$Q,7,FALSE),SETUP_RATES!$A:$H,3,FALSE),VLOOKUP(VLOOKUP(A333,BOOKINGS!$A:$Q,7,FALSE),SETUP_RATES!$A:$H,2,FALSE)))</f>
        <v/>
      </c>
      <c r="C333" s="38" t="str">
        <f>IF(A333="","",VLOOKUP(A333,BOOKINGS!$A:$Q,10,FALSE)*VLOOKUP(VLOOKUP(A333,BOOKINGS!$A:$Q,7,FALSE),SETUP_RATES!$A:$H,6,FALSE))</f>
        <v/>
      </c>
      <c r="D333" s="38" t="str">
        <f>IF(A333="","",MAX(0,VLOOKUP(A333,TRIP_ACTUALS!$A:$O,8,FALSE)-SETUP_RATES!$K$2)*SETUP_RATES!$K$3)</f>
        <v/>
      </c>
      <c r="E333" s="38" t="str">
        <f>IF(A333="","",VLOOKUP(A333,TRIP_ACTUALS!$A:$O,9,FALSE)*VLOOKUP(VLOOKUP(A333,BOOKINGS!$A:$Q,7,FALSE),SETUP_RATES!$A:$H,5,FALSE))</f>
        <v/>
      </c>
      <c r="F333" s="38" t="str">
        <f>IF(A333="","",IFERROR(VLOOKUP(A333,TRIP_ACTUALS!$A:$O,5,FALSE),0))</f>
        <v/>
      </c>
      <c r="G333" s="38" t="str">
        <f>IF(A333="","",IFERROR(VLOOKUP(A333,TRIP_ACTUALS!$A:$O,6,FALSE),0)+IFERROR(VLOOKUP(A333,TRIP_ACTUALS!$A:$O,7,FALSE),0))</f>
        <v/>
      </c>
      <c r="H333" s="38" t="str">
        <f>IF(A333="","",IFERROR(VLOOKUP(VLOOKUP(A333,BOOKINGS!$A:$Q,7,FALSE),SETUP_RATES!$A:$H,8,FALSE),0))</f>
        <v/>
      </c>
      <c r="I333" s="38" t="str">
        <f t="shared" si="1"/>
        <v/>
      </c>
      <c r="J333" s="38" t="str">
        <f>IF(A333="","",IFERROR(VLOOKUP(A333,BOOKINGS!$A:$Q,13,FALSE),0))</f>
        <v/>
      </c>
      <c r="K333" s="38" t="str">
        <f t="shared" si="2"/>
        <v/>
      </c>
      <c r="L333" s="38" t="str">
        <f t="shared" si="3"/>
        <v/>
      </c>
    </row>
    <row r="334" ht="15.75" customHeight="1">
      <c r="A334" s="33" t="str">
        <f>IF(BOOKINGS!A334="","",BOOKINGS!A334)</f>
        <v/>
      </c>
      <c r="B334" s="38" t="str">
        <f>IF(A334="","",MAX(VLOOKUP(A334,BOOKINGS!$A:$Q,6,FALSE)*VLOOKUP(VLOOKUP(A334,BOOKINGS!$A:$Q,7,FALSE),SETUP_RATES!$A:$H,3,FALSE),VLOOKUP(VLOOKUP(A334,BOOKINGS!$A:$Q,7,FALSE),SETUP_RATES!$A:$H,2,FALSE)))</f>
        <v/>
      </c>
      <c r="C334" s="38" t="str">
        <f>IF(A334="","",VLOOKUP(A334,BOOKINGS!$A:$Q,10,FALSE)*VLOOKUP(VLOOKUP(A334,BOOKINGS!$A:$Q,7,FALSE),SETUP_RATES!$A:$H,6,FALSE))</f>
        <v/>
      </c>
      <c r="D334" s="38" t="str">
        <f>IF(A334="","",MAX(0,VLOOKUP(A334,TRIP_ACTUALS!$A:$O,8,FALSE)-SETUP_RATES!$K$2)*SETUP_RATES!$K$3)</f>
        <v/>
      </c>
      <c r="E334" s="38" t="str">
        <f>IF(A334="","",VLOOKUP(A334,TRIP_ACTUALS!$A:$O,9,FALSE)*VLOOKUP(VLOOKUP(A334,BOOKINGS!$A:$Q,7,FALSE),SETUP_RATES!$A:$H,5,FALSE))</f>
        <v/>
      </c>
      <c r="F334" s="38" t="str">
        <f>IF(A334="","",IFERROR(VLOOKUP(A334,TRIP_ACTUALS!$A:$O,5,FALSE),0))</f>
        <v/>
      </c>
      <c r="G334" s="38" t="str">
        <f>IF(A334="","",IFERROR(VLOOKUP(A334,TRIP_ACTUALS!$A:$O,6,FALSE),0)+IFERROR(VLOOKUP(A334,TRIP_ACTUALS!$A:$O,7,FALSE),0))</f>
        <v/>
      </c>
      <c r="H334" s="38" t="str">
        <f>IF(A334="","",IFERROR(VLOOKUP(VLOOKUP(A334,BOOKINGS!$A:$Q,7,FALSE),SETUP_RATES!$A:$H,8,FALSE),0))</f>
        <v/>
      </c>
      <c r="I334" s="38" t="str">
        <f t="shared" si="1"/>
        <v/>
      </c>
      <c r="J334" s="38" t="str">
        <f>IF(A334="","",IFERROR(VLOOKUP(A334,BOOKINGS!$A:$Q,13,FALSE),0))</f>
        <v/>
      </c>
      <c r="K334" s="38" t="str">
        <f t="shared" si="2"/>
        <v/>
      </c>
      <c r="L334" s="38" t="str">
        <f t="shared" si="3"/>
        <v/>
      </c>
    </row>
    <row r="335" ht="15.75" customHeight="1">
      <c r="A335" s="33" t="str">
        <f>IF(BOOKINGS!A335="","",BOOKINGS!A335)</f>
        <v/>
      </c>
      <c r="B335" s="38" t="str">
        <f>IF(A335="","",MAX(VLOOKUP(A335,BOOKINGS!$A:$Q,6,FALSE)*VLOOKUP(VLOOKUP(A335,BOOKINGS!$A:$Q,7,FALSE),SETUP_RATES!$A:$H,3,FALSE),VLOOKUP(VLOOKUP(A335,BOOKINGS!$A:$Q,7,FALSE),SETUP_RATES!$A:$H,2,FALSE)))</f>
        <v/>
      </c>
      <c r="C335" s="38" t="str">
        <f>IF(A335="","",VLOOKUP(A335,BOOKINGS!$A:$Q,10,FALSE)*VLOOKUP(VLOOKUP(A335,BOOKINGS!$A:$Q,7,FALSE),SETUP_RATES!$A:$H,6,FALSE))</f>
        <v/>
      </c>
      <c r="D335" s="38" t="str">
        <f>IF(A335="","",MAX(0,VLOOKUP(A335,TRIP_ACTUALS!$A:$O,8,FALSE)-SETUP_RATES!$K$2)*SETUP_RATES!$K$3)</f>
        <v/>
      </c>
      <c r="E335" s="38" t="str">
        <f>IF(A335="","",VLOOKUP(A335,TRIP_ACTUALS!$A:$O,9,FALSE)*VLOOKUP(VLOOKUP(A335,BOOKINGS!$A:$Q,7,FALSE),SETUP_RATES!$A:$H,5,FALSE))</f>
        <v/>
      </c>
      <c r="F335" s="38" t="str">
        <f>IF(A335="","",IFERROR(VLOOKUP(A335,TRIP_ACTUALS!$A:$O,5,FALSE),0))</f>
        <v/>
      </c>
      <c r="G335" s="38" t="str">
        <f>IF(A335="","",IFERROR(VLOOKUP(A335,TRIP_ACTUALS!$A:$O,6,FALSE),0)+IFERROR(VLOOKUP(A335,TRIP_ACTUALS!$A:$O,7,FALSE),0))</f>
        <v/>
      </c>
      <c r="H335" s="38" t="str">
        <f>IF(A335="","",IFERROR(VLOOKUP(VLOOKUP(A335,BOOKINGS!$A:$Q,7,FALSE),SETUP_RATES!$A:$H,8,FALSE),0))</f>
        <v/>
      </c>
      <c r="I335" s="38" t="str">
        <f t="shared" si="1"/>
        <v/>
      </c>
      <c r="J335" s="38" t="str">
        <f>IF(A335="","",IFERROR(VLOOKUP(A335,BOOKINGS!$A:$Q,13,FALSE),0))</f>
        <v/>
      </c>
      <c r="K335" s="38" t="str">
        <f t="shared" si="2"/>
        <v/>
      </c>
      <c r="L335" s="38" t="str">
        <f t="shared" si="3"/>
        <v/>
      </c>
    </row>
    <row r="336" ht="15.75" customHeight="1">
      <c r="A336" s="33" t="str">
        <f>IF(BOOKINGS!A336="","",BOOKINGS!A336)</f>
        <v/>
      </c>
      <c r="B336" s="38" t="str">
        <f>IF(A336="","",MAX(VLOOKUP(A336,BOOKINGS!$A:$Q,6,FALSE)*VLOOKUP(VLOOKUP(A336,BOOKINGS!$A:$Q,7,FALSE),SETUP_RATES!$A:$H,3,FALSE),VLOOKUP(VLOOKUP(A336,BOOKINGS!$A:$Q,7,FALSE),SETUP_RATES!$A:$H,2,FALSE)))</f>
        <v/>
      </c>
      <c r="C336" s="38" t="str">
        <f>IF(A336="","",VLOOKUP(A336,BOOKINGS!$A:$Q,10,FALSE)*VLOOKUP(VLOOKUP(A336,BOOKINGS!$A:$Q,7,FALSE),SETUP_RATES!$A:$H,6,FALSE))</f>
        <v/>
      </c>
      <c r="D336" s="38" t="str">
        <f>IF(A336="","",MAX(0,VLOOKUP(A336,TRIP_ACTUALS!$A:$O,8,FALSE)-SETUP_RATES!$K$2)*SETUP_RATES!$K$3)</f>
        <v/>
      </c>
      <c r="E336" s="38" t="str">
        <f>IF(A336="","",VLOOKUP(A336,TRIP_ACTUALS!$A:$O,9,FALSE)*VLOOKUP(VLOOKUP(A336,BOOKINGS!$A:$Q,7,FALSE),SETUP_RATES!$A:$H,5,FALSE))</f>
        <v/>
      </c>
      <c r="F336" s="38" t="str">
        <f>IF(A336="","",IFERROR(VLOOKUP(A336,TRIP_ACTUALS!$A:$O,5,FALSE),0))</f>
        <v/>
      </c>
      <c r="G336" s="38" t="str">
        <f>IF(A336="","",IFERROR(VLOOKUP(A336,TRIP_ACTUALS!$A:$O,6,FALSE),0)+IFERROR(VLOOKUP(A336,TRIP_ACTUALS!$A:$O,7,FALSE),0))</f>
        <v/>
      </c>
      <c r="H336" s="38" t="str">
        <f>IF(A336="","",IFERROR(VLOOKUP(VLOOKUP(A336,BOOKINGS!$A:$Q,7,FALSE),SETUP_RATES!$A:$H,8,FALSE),0))</f>
        <v/>
      </c>
      <c r="I336" s="38" t="str">
        <f t="shared" si="1"/>
        <v/>
      </c>
      <c r="J336" s="38" t="str">
        <f>IF(A336="","",IFERROR(VLOOKUP(A336,BOOKINGS!$A:$Q,13,FALSE),0))</f>
        <v/>
      </c>
      <c r="K336" s="38" t="str">
        <f t="shared" si="2"/>
        <v/>
      </c>
      <c r="L336" s="38" t="str">
        <f t="shared" si="3"/>
        <v/>
      </c>
    </row>
    <row r="337" ht="15.75" customHeight="1">
      <c r="A337" s="33" t="str">
        <f>IF(BOOKINGS!A337="","",BOOKINGS!A337)</f>
        <v/>
      </c>
      <c r="B337" s="38" t="str">
        <f>IF(A337="","",MAX(VLOOKUP(A337,BOOKINGS!$A:$Q,6,FALSE)*VLOOKUP(VLOOKUP(A337,BOOKINGS!$A:$Q,7,FALSE),SETUP_RATES!$A:$H,3,FALSE),VLOOKUP(VLOOKUP(A337,BOOKINGS!$A:$Q,7,FALSE),SETUP_RATES!$A:$H,2,FALSE)))</f>
        <v/>
      </c>
      <c r="C337" s="38" t="str">
        <f>IF(A337="","",VLOOKUP(A337,BOOKINGS!$A:$Q,10,FALSE)*VLOOKUP(VLOOKUP(A337,BOOKINGS!$A:$Q,7,FALSE),SETUP_RATES!$A:$H,6,FALSE))</f>
        <v/>
      </c>
      <c r="D337" s="38" t="str">
        <f>IF(A337="","",MAX(0,VLOOKUP(A337,TRIP_ACTUALS!$A:$O,8,FALSE)-SETUP_RATES!$K$2)*SETUP_RATES!$K$3)</f>
        <v/>
      </c>
      <c r="E337" s="38" t="str">
        <f>IF(A337="","",VLOOKUP(A337,TRIP_ACTUALS!$A:$O,9,FALSE)*VLOOKUP(VLOOKUP(A337,BOOKINGS!$A:$Q,7,FALSE),SETUP_RATES!$A:$H,5,FALSE))</f>
        <v/>
      </c>
      <c r="F337" s="38" t="str">
        <f>IF(A337="","",IFERROR(VLOOKUP(A337,TRIP_ACTUALS!$A:$O,5,FALSE),0))</f>
        <v/>
      </c>
      <c r="G337" s="38" t="str">
        <f>IF(A337="","",IFERROR(VLOOKUP(A337,TRIP_ACTUALS!$A:$O,6,FALSE),0)+IFERROR(VLOOKUP(A337,TRIP_ACTUALS!$A:$O,7,FALSE),0))</f>
        <v/>
      </c>
      <c r="H337" s="38" t="str">
        <f>IF(A337="","",IFERROR(VLOOKUP(VLOOKUP(A337,BOOKINGS!$A:$Q,7,FALSE),SETUP_RATES!$A:$H,8,FALSE),0))</f>
        <v/>
      </c>
      <c r="I337" s="38" t="str">
        <f t="shared" si="1"/>
        <v/>
      </c>
      <c r="J337" s="38" t="str">
        <f>IF(A337="","",IFERROR(VLOOKUP(A337,BOOKINGS!$A:$Q,13,FALSE),0))</f>
        <v/>
      </c>
      <c r="K337" s="38" t="str">
        <f t="shared" si="2"/>
        <v/>
      </c>
      <c r="L337" s="38" t="str">
        <f t="shared" si="3"/>
        <v/>
      </c>
    </row>
    <row r="338" ht="15.75" customHeight="1">
      <c r="A338" s="33" t="str">
        <f>IF(BOOKINGS!A338="","",BOOKINGS!A338)</f>
        <v/>
      </c>
      <c r="B338" s="38" t="str">
        <f>IF(A338="","",MAX(VLOOKUP(A338,BOOKINGS!$A:$Q,6,FALSE)*VLOOKUP(VLOOKUP(A338,BOOKINGS!$A:$Q,7,FALSE),SETUP_RATES!$A:$H,3,FALSE),VLOOKUP(VLOOKUP(A338,BOOKINGS!$A:$Q,7,FALSE),SETUP_RATES!$A:$H,2,FALSE)))</f>
        <v/>
      </c>
      <c r="C338" s="38" t="str">
        <f>IF(A338="","",VLOOKUP(A338,BOOKINGS!$A:$Q,10,FALSE)*VLOOKUP(VLOOKUP(A338,BOOKINGS!$A:$Q,7,FALSE),SETUP_RATES!$A:$H,6,FALSE))</f>
        <v/>
      </c>
      <c r="D338" s="38" t="str">
        <f>IF(A338="","",MAX(0,VLOOKUP(A338,TRIP_ACTUALS!$A:$O,8,FALSE)-SETUP_RATES!$K$2)*SETUP_RATES!$K$3)</f>
        <v/>
      </c>
      <c r="E338" s="38" t="str">
        <f>IF(A338="","",VLOOKUP(A338,TRIP_ACTUALS!$A:$O,9,FALSE)*VLOOKUP(VLOOKUP(A338,BOOKINGS!$A:$Q,7,FALSE),SETUP_RATES!$A:$H,5,FALSE))</f>
        <v/>
      </c>
      <c r="F338" s="38" t="str">
        <f>IF(A338="","",IFERROR(VLOOKUP(A338,TRIP_ACTUALS!$A:$O,5,FALSE),0))</f>
        <v/>
      </c>
      <c r="G338" s="38" t="str">
        <f>IF(A338="","",IFERROR(VLOOKUP(A338,TRIP_ACTUALS!$A:$O,6,FALSE),0)+IFERROR(VLOOKUP(A338,TRIP_ACTUALS!$A:$O,7,FALSE),0))</f>
        <v/>
      </c>
      <c r="H338" s="38" t="str">
        <f>IF(A338="","",IFERROR(VLOOKUP(VLOOKUP(A338,BOOKINGS!$A:$Q,7,FALSE),SETUP_RATES!$A:$H,8,FALSE),0))</f>
        <v/>
      </c>
      <c r="I338" s="38" t="str">
        <f t="shared" si="1"/>
        <v/>
      </c>
      <c r="J338" s="38" t="str">
        <f>IF(A338="","",IFERROR(VLOOKUP(A338,BOOKINGS!$A:$Q,13,FALSE),0))</f>
        <v/>
      </c>
      <c r="K338" s="38" t="str">
        <f t="shared" si="2"/>
        <v/>
      </c>
      <c r="L338" s="38" t="str">
        <f t="shared" si="3"/>
        <v/>
      </c>
    </row>
    <row r="339" ht="15.75" customHeight="1">
      <c r="A339" s="33" t="str">
        <f>IF(BOOKINGS!A339="","",BOOKINGS!A339)</f>
        <v/>
      </c>
      <c r="B339" s="38" t="str">
        <f>IF(A339="","",MAX(VLOOKUP(A339,BOOKINGS!$A:$Q,6,FALSE)*VLOOKUP(VLOOKUP(A339,BOOKINGS!$A:$Q,7,FALSE),SETUP_RATES!$A:$H,3,FALSE),VLOOKUP(VLOOKUP(A339,BOOKINGS!$A:$Q,7,FALSE),SETUP_RATES!$A:$H,2,FALSE)))</f>
        <v/>
      </c>
      <c r="C339" s="38" t="str">
        <f>IF(A339="","",VLOOKUP(A339,BOOKINGS!$A:$Q,10,FALSE)*VLOOKUP(VLOOKUP(A339,BOOKINGS!$A:$Q,7,FALSE),SETUP_RATES!$A:$H,6,FALSE))</f>
        <v/>
      </c>
      <c r="D339" s="38" t="str">
        <f>IF(A339="","",MAX(0,VLOOKUP(A339,TRIP_ACTUALS!$A:$O,8,FALSE)-SETUP_RATES!$K$2)*SETUP_RATES!$K$3)</f>
        <v/>
      </c>
      <c r="E339" s="38" t="str">
        <f>IF(A339="","",VLOOKUP(A339,TRIP_ACTUALS!$A:$O,9,FALSE)*VLOOKUP(VLOOKUP(A339,BOOKINGS!$A:$Q,7,FALSE),SETUP_RATES!$A:$H,5,FALSE))</f>
        <v/>
      </c>
      <c r="F339" s="38" t="str">
        <f>IF(A339="","",IFERROR(VLOOKUP(A339,TRIP_ACTUALS!$A:$O,5,FALSE),0))</f>
        <v/>
      </c>
      <c r="G339" s="38" t="str">
        <f>IF(A339="","",IFERROR(VLOOKUP(A339,TRIP_ACTUALS!$A:$O,6,FALSE),0)+IFERROR(VLOOKUP(A339,TRIP_ACTUALS!$A:$O,7,FALSE),0))</f>
        <v/>
      </c>
      <c r="H339" s="38" t="str">
        <f>IF(A339="","",IFERROR(VLOOKUP(VLOOKUP(A339,BOOKINGS!$A:$Q,7,FALSE),SETUP_RATES!$A:$H,8,FALSE),0))</f>
        <v/>
      </c>
      <c r="I339" s="38" t="str">
        <f t="shared" si="1"/>
        <v/>
      </c>
      <c r="J339" s="38" t="str">
        <f>IF(A339="","",IFERROR(VLOOKUP(A339,BOOKINGS!$A:$Q,13,FALSE),0))</f>
        <v/>
      </c>
      <c r="K339" s="38" t="str">
        <f t="shared" si="2"/>
        <v/>
      </c>
      <c r="L339" s="38" t="str">
        <f t="shared" si="3"/>
        <v/>
      </c>
    </row>
    <row r="340" ht="15.75" customHeight="1">
      <c r="A340" s="33" t="str">
        <f>IF(BOOKINGS!A340="","",BOOKINGS!A340)</f>
        <v/>
      </c>
      <c r="B340" s="38" t="str">
        <f>IF(A340="","",MAX(VLOOKUP(A340,BOOKINGS!$A:$Q,6,FALSE)*VLOOKUP(VLOOKUP(A340,BOOKINGS!$A:$Q,7,FALSE),SETUP_RATES!$A:$H,3,FALSE),VLOOKUP(VLOOKUP(A340,BOOKINGS!$A:$Q,7,FALSE),SETUP_RATES!$A:$H,2,FALSE)))</f>
        <v/>
      </c>
      <c r="C340" s="38" t="str">
        <f>IF(A340="","",VLOOKUP(A340,BOOKINGS!$A:$Q,10,FALSE)*VLOOKUP(VLOOKUP(A340,BOOKINGS!$A:$Q,7,FALSE),SETUP_RATES!$A:$H,6,FALSE))</f>
        <v/>
      </c>
      <c r="D340" s="38" t="str">
        <f>IF(A340="","",MAX(0,VLOOKUP(A340,TRIP_ACTUALS!$A:$O,8,FALSE)-SETUP_RATES!$K$2)*SETUP_RATES!$K$3)</f>
        <v/>
      </c>
      <c r="E340" s="38" t="str">
        <f>IF(A340="","",VLOOKUP(A340,TRIP_ACTUALS!$A:$O,9,FALSE)*VLOOKUP(VLOOKUP(A340,BOOKINGS!$A:$Q,7,FALSE),SETUP_RATES!$A:$H,5,FALSE))</f>
        <v/>
      </c>
      <c r="F340" s="38" t="str">
        <f>IF(A340="","",IFERROR(VLOOKUP(A340,TRIP_ACTUALS!$A:$O,5,FALSE),0))</f>
        <v/>
      </c>
      <c r="G340" s="38" t="str">
        <f>IF(A340="","",IFERROR(VLOOKUP(A340,TRIP_ACTUALS!$A:$O,6,FALSE),0)+IFERROR(VLOOKUP(A340,TRIP_ACTUALS!$A:$O,7,FALSE),0))</f>
        <v/>
      </c>
      <c r="H340" s="38" t="str">
        <f>IF(A340="","",IFERROR(VLOOKUP(VLOOKUP(A340,BOOKINGS!$A:$Q,7,FALSE),SETUP_RATES!$A:$H,8,FALSE),0))</f>
        <v/>
      </c>
      <c r="I340" s="38" t="str">
        <f t="shared" si="1"/>
        <v/>
      </c>
      <c r="J340" s="38" t="str">
        <f>IF(A340="","",IFERROR(VLOOKUP(A340,BOOKINGS!$A:$Q,13,FALSE),0))</f>
        <v/>
      </c>
      <c r="K340" s="38" t="str">
        <f t="shared" si="2"/>
        <v/>
      </c>
      <c r="L340" s="38" t="str">
        <f t="shared" si="3"/>
        <v/>
      </c>
    </row>
    <row r="341" ht="15.75" customHeight="1">
      <c r="A341" s="33" t="str">
        <f>IF(BOOKINGS!A341="","",BOOKINGS!A341)</f>
        <v/>
      </c>
      <c r="B341" s="38" t="str">
        <f>IF(A341="","",MAX(VLOOKUP(A341,BOOKINGS!$A:$Q,6,FALSE)*VLOOKUP(VLOOKUP(A341,BOOKINGS!$A:$Q,7,FALSE),SETUP_RATES!$A:$H,3,FALSE),VLOOKUP(VLOOKUP(A341,BOOKINGS!$A:$Q,7,FALSE),SETUP_RATES!$A:$H,2,FALSE)))</f>
        <v/>
      </c>
      <c r="C341" s="38" t="str">
        <f>IF(A341="","",VLOOKUP(A341,BOOKINGS!$A:$Q,10,FALSE)*VLOOKUP(VLOOKUP(A341,BOOKINGS!$A:$Q,7,FALSE),SETUP_RATES!$A:$H,6,FALSE))</f>
        <v/>
      </c>
      <c r="D341" s="38" t="str">
        <f>IF(A341="","",MAX(0,VLOOKUP(A341,TRIP_ACTUALS!$A:$O,8,FALSE)-SETUP_RATES!$K$2)*SETUP_RATES!$K$3)</f>
        <v/>
      </c>
      <c r="E341" s="38" t="str">
        <f>IF(A341="","",VLOOKUP(A341,TRIP_ACTUALS!$A:$O,9,FALSE)*VLOOKUP(VLOOKUP(A341,BOOKINGS!$A:$Q,7,FALSE),SETUP_RATES!$A:$H,5,FALSE))</f>
        <v/>
      </c>
      <c r="F341" s="38" t="str">
        <f>IF(A341="","",IFERROR(VLOOKUP(A341,TRIP_ACTUALS!$A:$O,5,FALSE),0))</f>
        <v/>
      </c>
      <c r="G341" s="38" t="str">
        <f>IF(A341="","",IFERROR(VLOOKUP(A341,TRIP_ACTUALS!$A:$O,6,FALSE),0)+IFERROR(VLOOKUP(A341,TRIP_ACTUALS!$A:$O,7,FALSE),0))</f>
        <v/>
      </c>
      <c r="H341" s="38" t="str">
        <f>IF(A341="","",IFERROR(VLOOKUP(VLOOKUP(A341,BOOKINGS!$A:$Q,7,FALSE),SETUP_RATES!$A:$H,8,FALSE),0))</f>
        <v/>
      </c>
      <c r="I341" s="38" t="str">
        <f t="shared" si="1"/>
        <v/>
      </c>
      <c r="J341" s="38" t="str">
        <f>IF(A341="","",IFERROR(VLOOKUP(A341,BOOKINGS!$A:$Q,13,FALSE),0))</f>
        <v/>
      </c>
      <c r="K341" s="38" t="str">
        <f t="shared" si="2"/>
        <v/>
      </c>
      <c r="L341" s="38" t="str">
        <f t="shared" si="3"/>
        <v/>
      </c>
    </row>
    <row r="342" ht="15.75" customHeight="1">
      <c r="A342" s="33" t="str">
        <f>IF(BOOKINGS!A342="","",BOOKINGS!A342)</f>
        <v/>
      </c>
      <c r="B342" s="38" t="str">
        <f>IF(A342="","",MAX(VLOOKUP(A342,BOOKINGS!$A:$Q,6,FALSE)*VLOOKUP(VLOOKUP(A342,BOOKINGS!$A:$Q,7,FALSE),SETUP_RATES!$A:$H,3,FALSE),VLOOKUP(VLOOKUP(A342,BOOKINGS!$A:$Q,7,FALSE),SETUP_RATES!$A:$H,2,FALSE)))</f>
        <v/>
      </c>
      <c r="C342" s="38" t="str">
        <f>IF(A342="","",VLOOKUP(A342,BOOKINGS!$A:$Q,10,FALSE)*VLOOKUP(VLOOKUP(A342,BOOKINGS!$A:$Q,7,FALSE),SETUP_RATES!$A:$H,6,FALSE))</f>
        <v/>
      </c>
      <c r="D342" s="38" t="str">
        <f>IF(A342="","",MAX(0,VLOOKUP(A342,TRIP_ACTUALS!$A:$O,8,FALSE)-SETUP_RATES!$K$2)*SETUP_RATES!$K$3)</f>
        <v/>
      </c>
      <c r="E342" s="38" t="str">
        <f>IF(A342="","",VLOOKUP(A342,TRIP_ACTUALS!$A:$O,9,FALSE)*VLOOKUP(VLOOKUP(A342,BOOKINGS!$A:$Q,7,FALSE),SETUP_RATES!$A:$H,5,FALSE))</f>
        <v/>
      </c>
      <c r="F342" s="38" t="str">
        <f>IF(A342="","",IFERROR(VLOOKUP(A342,TRIP_ACTUALS!$A:$O,5,FALSE),0))</f>
        <v/>
      </c>
      <c r="G342" s="38" t="str">
        <f>IF(A342="","",IFERROR(VLOOKUP(A342,TRIP_ACTUALS!$A:$O,6,FALSE),0)+IFERROR(VLOOKUP(A342,TRIP_ACTUALS!$A:$O,7,FALSE),0))</f>
        <v/>
      </c>
      <c r="H342" s="38" t="str">
        <f>IF(A342="","",IFERROR(VLOOKUP(VLOOKUP(A342,BOOKINGS!$A:$Q,7,FALSE),SETUP_RATES!$A:$H,8,FALSE),0))</f>
        <v/>
      </c>
      <c r="I342" s="38" t="str">
        <f t="shared" si="1"/>
        <v/>
      </c>
      <c r="J342" s="38" t="str">
        <f>IF(A342="","",IFERROR(VLOOKUP(A342,BOOKINGS!$A:$Q,13,FALSE),0))</f>
        <v/>
      </c>
      <c r="K342" s="38" t="str">
        <f t="shared" si="2"/>
        <v/>
      </c>
      <c r="L342" s="38" t="str">
        <f t="shared" si="3"/>
        <v/>
      </c>
    </row>
    <row r="343" ht="15.75" customHeight="1">
      <c r="A343" s="33" t="str">
        <f>IF(BOOKINGS!A343="","",BOOKINGS!A343)</f>
        <v/>
      </c>
      <c r="B343" s="38" t="str">
        <f>IF(A343="","",MAX(VLOOKUP(A343,BOOKINGS!$A:$Q,6,FALSE)*VLOOKUP(VLOOKUP(A343,BOOKINGS!$A:$Q,7,FALSE),SETUP_RATES!$A:$H,3,FALSE),VLOOKUP(VLOOKUP(A343,BOOKINGS!$A:$Q,7,FALSE),SETUP_RATES!$A:$H,2,FALSE)))</f>
        <v/>
      </c>
      <c r="C343" s="38" t="str">
        <f>IF(A343="","",VLOOKUP(A343,BOOKINGS!$A:$Q,10,FALSE)*VLOOKUP(VLOOKUP(A343,BOOKINGS!$A:$Q,7,FALSE),SETUP_RATES!$A:$H,6,FALSE))</f>
        <v/>
      </c>
      <c r="D343" s="38" t="str">
        <f>IF(A343="","",MAX(0,VLOOKUP(A343,TRIP_ACTUALS!$A:$O,8,FALSE)-SETUP_RATES!$K$2)*SETUP_RATES!$K$3)</f>
        <v/>
      </c>
      <c r="E343" s="38" t="str">
        <f>IF(A343="","",VLOOKUP(A343,TRIP_ACTUALS!$A:$O,9,FALSE)*VLOOKUP(VLOOKUP(A343,BOOKINGS!$A:$Q,7,FALSE),SETUP_RATES!$A:$H,5,FALSE))</f>
        <v/>
      </c>
      <c r="F343" s="38" t="str">
        <f>IF(A343="","",IFERROR(VLOOKUP(A343,TRIP_ACTUALS!$A:$O,5,FALSE),0))</f>
        <v/>
      </c>
      <c r="G343" s="38" t="str">
        <f>IF(A343="","",IFERROR(VLOOKUP(A343,TRIP_ACTUALS!$A:$O,6,FALSE),0)+IFERROR(VLOOKUP(A343,TRIP_ACTUALS!$A:$O,7,FALSE),0))</f>
        <v/>
      </c>
      <c r="H343" s="38" t="str">
        <f>IF(A343="","",IFERROR(VLOOKUP(VLOOKUP(A343,BOOKINGS!$A:$Q,7,FALSE),SETUP_RATES!$A:$H,8,FALSE),0))</f>
        <v/>
      </c>
      <c r="I343" s="38" t="str">
        <f t="shared" si="1"/>
        <v/>
      </c>
      <c r="J343" s="38" t="str">
        <f>IF(A343="","",IFERROR(VLOOKUP(A343,BOOKINGS!$A:$Q,13,FALSE),0))</f>
        <v/>
      </c>
      <c r="K343" s="38" t="str">
        <f t="shared" si="2"/>
        <v/>
      </c>
      <c r="L343" s="38" t="str">
        <f t="shared" si="3"/>
        <v/>
      </c>
    </row>
    <row r="344" ht="15.75" customHeight="1">
      <c r="A344" s="33" t="str">
        <f>IF(BOOKINGS!A344="","",BOOKINGS!A344)</f>
        <v/>
      </c>
      <c r="B344" s="38" t="str">
        <f>IF(A344="","",MAX(VLOOKUP(A344,BOOKINGS!$A:$Q,6,FALSE)*VLOOKUP(VLOOKUP(A344,BOOKINGS!$A:$Q,7,FALSE),SETUP_RATES!$A:$H,3,FALSE),VLOOKUP(VLOOKUP(A344,BOOKINGS!$A:$Q,7,FALSE),SETUP_RATES!$A:$H,2,FALSE)))</f>
        <v/>
      </c>
      <c r="C344" s="38" t="str">
        <f>IF(A344="","",VLOOKUP(A344,BOOKINGS!$A:$Q,10,FALSE)*VLOOKUP(VLOOKUP(A344,BOOKINGS!$A:$Q,7,FALSE),SETUP_RATES!$A:$H,6,FALSE))</f>
        <v/>
      </c>
      <c r="D344" s="38" t="str">
        <f>IF(A344="","",MAX(0,VLOOKUP(A344,TRIP_ACTUALS!$A:$O,8,FALSE)-SETUP_RATES!$K$2)*SETUP_RATES!$K$3)</f>
        <v/>
      </c>
      <c r="E344" s="38" t="str">
        <f>IF(A344="","",VLOOKUP(A344,TRIP_ACTUALS!$A:$O,9,FALSE)*VLOOKUP(VLOOKUP(A344,BOOKINGS!$A:$Q,7,FALSE),SETUP_RATES!$A:$H,5,FALSE))</f>
        <v/>
      </c>
      <c r="F344" s="38" t="str">
        <f>IF(A344="","",IFERROR(VLOOKUP(A344,TRIP_ACTUALS!$A:$O,5,FALSE),0))</f>
        <v/>
      </c>
      <c r="G344" s="38" t="str">
        <f>IF(A344="","",IFERROR(VLOOKUP(A344,TRIP_ACTUALS!$A:$O,6,FALSE),0)+IFERROR(VLOOKUP(A344,TRIP_ACTUALS!$A:$O,7,FALSE),0))</f>
        <v/>
      </c>
      <c r="H344" s="38" t="str">
        <f>IF(A344="","",IFERROR(VLOOKUP(VLOOKUP(A344,BOOKINGS!$A:$Q,7,FALSE),SETUP_RATES!$A:$H,8,FALSE),0))</f>
        <v/>
      </c>
      <c r="I344" s="38" t="str">
        <f t="shared" si="1"/>
        <v/>
      </c>
      <c r="J344" s="38" t="str">
        <f>IF(A344="","",IFERROR(VLOOKUP(A344,BOOKINGS!$A:$Q,13,FALSE),0))</f>
        <v/>
      </c>
      <c r="K344" s="38" t="str">
        <f t="shared" si="2"/>
        <v/>
      </c>
      <c r="L344" s="38" t="str">
        <f t="shared" si="3"/>
        <v/>
      </c>
    </row>
    <row r="345" ht="15.75" customHeight="1">
      <c r="A345" s="33" t="str">
        <f>IF(BOOKINGS!A345="","",BOOKINGS!A345)</f>
        <v/>
      </c>
      <c r="B345" s="38" t="str">
        <f>IF(A345="","",MAX(VLOOKUP(A345,BOOKINGS!$A:$Q,6,FALSE)*VLOOKUP(VLOOKUP(A345,BOOKINGS!$A:$Q,7,FALSE),SETUP_RATES!$A:$H,3,FALSE),VLOOKUP(VLOOKUP(A345,BOOKINGS!$A:$Q,7,FALSE),SETUP_RATES!$A:$H,2,FALSE)))</f>
        <v/>
      </c>
      <c r="C345" s="38" t="str">
        <f>IF(A345="","",VLOOKUP(A345,BOOKINGS!$A:$Q,10,FALSE)*VLOOKUP(VLOOKUP(A345,BOOKINGS!$A:$Q,7,FALSE),SETUP_RATES!$A:$H,6,FALSE))</f>
        <v/>
      </c>
      <c r="D345" s="38" t="str">
        <f>IF(A345="","",MAX(0,VLOOKUP(A345,TRIP_ACTUALS!$A:$O,8,FALSE)-SETUP_RATES!$K$2)*SETUP_RATES!$K$3)</f>
        <v/>
      </c>
      <c r="E345" s="38" t="str">
        <f>IF(A345="","",VLOOKUP(A345,TRIP_ACTUALS!$A:$O,9,FALSE)*VLOOKUP(VLOOKUP(A345,BOOKINGS!$A:$Q,7,FALSE),SETUP_RATES!$A:$H,5,FALSE))</f>
        <v/>
      </c>
      <c r="F345" s="38" t="str">
        <f>IF(A345="","",IFERROR(VLOOKUP(A345,TRIP_ACTUALS!$A:$O,5,FALSE),0))</f>
        <v/>
      </c>
      <c r="G345" s="38" t="str">
        <f>IF(A345="","",IFERROR(VLOOKUP(A345,TRIP_ACTUALS!$A:$O,6,FALSE),0)+IFERROR(VLOOKUP(A345,TRIP_ACTUALS!$A:$O,7,FALSE),0))</f>
        <v/>
      </c>
      <c r="H345" s="38" t="str">
        <f>IF(A345="","",IFERROR(VLOOKUP(VLOOKUP(A345,BOOKINGS!$A:$Q,7,FALSE),SETUP_RATES!$A:$H,8,FALSE),0))</f>
        <v/>
      </c>
      <c r="I345" s="38" t="str">
        <f t="shared" si="1"/>
        <v/>
      </c>
      <c r="J345" s="38" t="str">
        <f>IF(A345="","",IFERROR(VLOOKUP(A345,BOOKINGS!$A:$Q,13,FALSE),0))</f>
        <v/>
      </c>
      <c r="K345" s="38" t="str">
        <f t="shared" si="2"/>
        <v/>
      </c>
      <c r="L345" s="38" t="str">
        <f t="shared" si="3"/>
        <v/>
      </c>
    </row>
    <row r="346" ht="15.75" customHeight="1">
      <c r="A346" s="33" t="str">
        <f>IF(BOOKINGS!A346="","",BOOKINGS!A346)</f>
        <v/>
      </c>
      <c r="B346" s="38" t="str">
        <f>IF(A346="","",MAX(VLOOKUP(A346,BOOKINGS!$A:$Q,6,FALSE)*VLOOKUP(VLOOKUP(A346,BOOKINGS!$A:$Q,7,FALSE),SETUP_RATES!$A:$H,3,FALSE),VLOOKUP(VLOOKUP(A346,BOOKINGS!$A:$Q,7,FALSE),SETUP_RATES!$A:$H,2,FALSE)))</f>
        <v/>
      </c>
      <c r="C346" s="38" t="str">
        <f>IF(A346="","",VLOOKUP(A346,BOOKINGS!$A:$Q,10,FALSE)*VLOOKUP(VLOOKUP(A346,BOOKINGS!$A:$Q,7,FALSE),SETUP_RATES!$A:$H,6,FALSE))</f>
        <v/>
      </c>
      <c r="D346" s="38" t="str">
        <f>IF(A346="","",MAX(0,VLOOKUP(A346,TRIP_ACTUALS!$A:$O,8,FALSE)-SETUP_RATES!$K$2)*SETUP_RATES!$K$3)</f>
        <v/>
      </c>
      <c r="E346" s="38" t="str">
        <f>IF(A346="","",VLOOKUP(A346,TRIP_ACTUALS!$A:$O,9,FALSE)*VLOOKUP(VLOOKUP(A346,BOOKINGS!$A:$Q,7,FALSE),SETUP_RATES!$A:$H,5,FALSE))</f>
        <v/>
      </c>
      <c r="F346" s="38" t="str">
        <f>IF(A346="","",IFERROR(VLOOKUP(A346,TRIP_ACTUALS!$A:$O,5,FALSE),0))</f>
        <v/>
      </c>
      <c r="G346" s="38" t="str">
        <f>IF(A346="","",IFERROR(VLOOKUP(A346,TRIP_ACTUALS!$A:$O,6,FALSE),0)+IFERROR(VLOOKUP(A346,TRIP_ACTUALS!$A:$O,7,FALSE),0))</f>
        <v/>
      </c>
      <c r="H346" s="38" t="str">
        <f>IF(A346="","",IFERROR(VLOOKUP(VLOOKUP(A346,BOOKINGS!$A:$Q,7,FALSE),SETUP_RATES!$A:$H,8,FALSE),0))</f>
        <v/>
      </c>
      <c r="I346" s="38" t="str">
        <f t="shared" si="1"/>
        <v/>
      </c>
      <c r="J346" s="38" t="str">
        <f>IF(A346="","",IFERROR(VLOOKUP(A346,BOOKINGS!$A:$Q,13,FALSE),0))</f>
        <v/>
      </c>
      <c r="K346" s="38" t="str">
        <f t="shared" si="2"/>
        <v/>
      </c>
      <c r="L346" s="38" t="str">
        <f t="shared" si="3"/>
        <v/>
      </c>
    </row>
    <row r="347" ht="15.75" customHeight="1">
      <c r="A347" s="33" t="str">
        <f>IF(BOOKINGS!A347="","",BOOKINGS!A347)</f>
        <v/>
      </c>
      <c r="B347" s="38" t="str">
        <f>IF(A347="","",MAX(VLOOKUP(A347,BOOKINGS!$A:$Q,6,FALSE)*VLOOKUP(VLOOKUP(A347,BOOKINGS!$A:$Q,7,FALSE),SETUP_RATES!$A:$H,3,FALSE),VLOOKUP(VLOOKUP(A347,BOOKINGS!$A:$Q,7,FALSE),SETUP_RATES!$A:$H,2,FALSE)))</f>
        <v/>
      </c>
      <c r="C347" s="38" t="str">
        <f>IF(A347="","",VLOOKUP(A347,BOOKINGS!$A:$Q,10,FALSE)*VLOOKUP(VLOOKUP(A347,BOOKINGS!$A:$Q,7,FALSE),SETUP_RATES!$A:$H,6,FALSE))</f>
        <v/>
      </c>
      <c r="D347" s="38" t="str">
        <f>IF(A347="","",MAX(0,VLOOKUP(A347,TRIP_ACTUALS!$A:$O,8,FALSE)-SETUP_RATES!$K$2)*SETUP_RATES!$K$3)</f>
        <v/>
      </c>
      <c r="E347" s="38" t="str">
        <f>IF(A347="","",VLOOKUP(A347,TRIP_ACTUALS!$A:$O,9,FALSE)*VLOOKUP(VLOOKUP(A347,BOOKINGS!$A:$Q,7,FALSE),SETUP_RATES!$A:$H,5,FALSE))</f>
        <v/>
      </c>
      <c r="F347" s="38" t="str">
        <f>IF(A347="","",IFERROR(VLOOKUP(A347,TRIP_ACTUALS!$A:$O,5,FALSE),0))</f>
        <v/>
      </c>
      <c r="G347" s="38" t="str">
        <f>IF(A347="","",IFERROR(VLOOKUP(A347,TRIP_ACTUALS!$A:$O,6,FALSE),0)+IFERROR(VLOOKUP(A347,TRIP_ACTUALS!$A:$O,7,FALSE),0))</f>
        <v/>
      </c>
      <c r="H347" s="38" t="str">
        <f>IF(A347="","",IFERROR(VLOOKUP(VLOOKUP(A347,BOOKINGS!$A:$Q,7,FALSE),SETUP_RATES!$A:$H,8,FALSE),0))</f>
        <v/>
      </c>
      <c r="I347" s="38" t="str">
        <f t="shared" si="1"/>
        <v/>
      </c>
      <c r="J347" s="38" t="str">
        <f>IF(A347="","",IFERROR(VLOOKUP(A347,BOOKINGS!$A:$Q,13,FALSE),0))</f>
        <v/>
      </c>
      <c r="K347" s="38" t="str">
        <f t="shared" si="2"/>
        <v/>
      </c>
      <c r="L347" s="38" t="str">
        <f t="shared" si="3"/>
        <v/>
      </c>
    </row>
    <row r="348" ht="15.75" customHeight="1">
      <c r="A348" s="33" t="str">
        <f>IF(BOOKINGS!A348="","",BOOKINGS!A348)</f>
        <v/>
      </c>
      <c r="B348" s="38" t="str">
        <f>IF(A348="","",MAX(VLOOKUP(A348,BOOKINGS!$A:$Q,6,FALSE)*VLOOKUP(VLOOKUP(A348,BOOKINGS!$A:$Q,7,FALSE),SETUP_RATES!$A:$H,3,FALSE),VLOOKUP(VLOOKUP(A348,BOOKINGS!$A:$Q,7,FALSE),SETUP_RATES!$A:$H,2,FALSE)))</f>
        <v/>
      </c>
      <c r="C348" s="38" t="str">
        <f>IF(A348="","",VLOOKUP(A348,BOOKINGS!$A:$Q,10,FALSE)*VLOOKUP(VLOOKUP(A348,BOOKINGS!$A:$Q,7,FALSE),SETUP_RATES!$A:$H,6,FALSE))</f>
        <v/>
      </c>
      <c r="D348" s="38" t="str">
        <f>IF(A348="","",MAX(0,VLOOKUP(A348,TRIP_ACTUALS!$A:$O,8,FALSE)-SETUP_RATES!$K$2)*SETUP_RATES!$K$3)</f>
        <v/>
      </c>
      <c r="E348" s="38" t="str">
        <f>IF(A348="","",VLOOKUP(A348,TRIP_ACTUALS!$A:$O,9,FALSE)*VLOOKUP(VLOOKUP(A348,BOOKINGS!$A:$Q,7,FALSE),SETUP_RATES!$A:$H,5,FALSE))</f>
        <v/>
      </c>
      <c r="F348" s="38" t="str">
        <f>IF(A348="","",IFERROR(VLOOKUP(A348,TRIP_ACTUALS!$A:$O,5,FALSE),0))</f>
        <v/>
      </c>
      <c r="G348" s="38" t="str">
        <f>IF(A348="","",IFERROR(VLOOKUP(A348,TRIP_ACTUALS!$A:$O,6,FALSE),0)+IFERROR(VLOOKUP(A348,TRIP_ACTUALS!$A:$O,7,FALSE),0))</f>
        <v/>
      </c>
      <c r="H348" s="38" t="str">
        <f>IF(A348="","",IFERROR(VLOOKUP(VLOOKUP(A348,BOOKINGS!$A:$Q,7,FALSE),SETUP_RATES!$A:$H,8,FALSE),0))</f>
        <v/>
      </c>
      <c r="I348" s="38" t="str">
        <f t="shared" si="1"/>
        <v/>
      </c>
      <c r="J348" s="38" t="str">
        <f>IF(A348="","",IFERROR(VLOOKUP(A348,BOOKINGS!$A:$Q,13,FALSE),0))</f>
        <v/>
      </c>
      <c r="K348" s="38" t="str">
        <f t="shared" si="2"/>
        <v/>
      </c>
      <c r="L348" s="38" t="str">
        <f t="shared" si="3"/>
        <v/>
      </c>
    </row>
    <row r="349" ht="15.75" customHeight="1">
      <c r="A349" s="33" t="str">
        <f>IF(BOOKINGS!A349="","",BOOKINGS!A349)</f>
        <v/>
      </c>
      <c r="B349" s="38" t="str">
        <f>IF(A349="","",MAX(VLOOKUP(A349,BOOKINGS!$A:$Q,6,FALSE)*VLOOKUP(VLOOKUP(A349,BOOKINGS!$A:$Q,7,FALSE),SETUP_RATES!$A:$H,3,FALSE),VLOOKUP(VLOOKUP(A349,BOOKINGS!$A:$Q,7,FALSE),SETUP_RATES!$A:$H,2,FALSE)))</f>
        <v/>
      </c>
      <c r="C349" s="38" t="str">
        <f>IF(A349="","",VLOOKUP(A349,BOOKINGS!$A:$Q,10,FALSE)*VLOOKUP(VLOOKUP(A349,BOOKINGS!$A:$Q,7,FALSE),SETUP_RATES!$A:$H,6,FALSE))</f>
        <v/>
      </c>
      <c r="D349" s="38" t="str">
        <f>IF(A349="","",MAX(0,VLOOKUP(A349,TRIP_ACTUALS!$A:$O,8,FALSE)-SETUP_RATES!$K$2)*SETUP_RATES!$K$3)</f>
        <v/>
      </c>
      <c r="E349" s="38" t="str">
        <f>IF(A349="","",VLOOKUP(A349,TRIP_ACTUALS!$A:$O,9,FALSE)*VLOOKUP(VLOOKUP(A349,BOOKINGS!$A:$Q,7,FALSE),SETUP_RATES!$A:$H,5,FALSE))</f>
        <v/>
      </c>
      <c r="F349" s="38" t="str">
        <f>IF(A349="","",IFERROR(VLOOKUP(A349,TRIP_ACTUALS!$A:$O,5,FALSE),0))</f>
        <v/>
      </c>
      <c r="G349" s="38" t="str">
        <f>IF(A349="","",IFERROR(VLOOKUP(A349,TRIP_ACTUALS!$A:$O,6,FALSE),0)+IFERROR(VLOOKUP(A349,TRIP_ACTUALS!$A:$O,7,FALSE),0))</f>
        <v/>
      </c>
      <c r="H349" s="38" t="str">
        <f>IF(A349="","",IFERROR(VLOOKUP(VLOOKUP(A349,BOOKINGS!$A:$Q,7,FALSE),SETUP_RATES!$A:$H,8,FALSE),0))</f>
        <v/>
      </c>
      <c r="I349" s="38" t="str">
        <f t="shared" si="1"/>
        <v/>
      </c>
      <c r="J349" s="38" t="str">
        <f>IF(A349="","",IFERROR(VLOOKUP(A349,BOOKINGS!$A:$Q,13,FALSE),0))</f>
        <v/>
      </c>
      <c r="K349" s="38" t="str">
        <f t="shared" si="2"/>
        <v/>
      </c>
      <c r="L349" s="38" t="str">
        <f t="shared" si="3"/>
        <v/>
      </c>
    </row>
    <row r="350" ht="15.75" customHeight="1">
      <c r="A350" s="33" t="str">
        <f>IF(BOOKINGS!A350="","",BOOKINGS!A350)</f>
        <v/>
      </c>
      <c r="B350" s="38" t="str">
        <f>IF(A350="","",MAX(VLOOKUP(A350,BOOKINGS!$A:$Q,6,FALSE)*VLOOKUP(VLOOKUP(A350,BOOKINGS!$A:$Q,7,FALSE),SETUP_RATES!$A:$H,3,FALSE),VLOOKUP(VLOOKUP(A350,BOOKINGS!$A:$Q,7,FALSE),SETUP_RATES!$A:$H,2,FALSE)))</f>
        <v/>
      </c>
      <c r="C350" s="38" t="str">
        <f>IF(A350="","",VLOOKUP(A350,BOOKINGS!$A:$Q,10,FALSE)*VLOOKUP(VLOOKUP(A350,BOOKINGS!$A:$Q,7,FALSE),SETUP_RATES!$A:$H,6,FALSE))</f>
        <v/>
      </c>
      <c r="D350" s="38" t="str">
        <f>IF(A350="","",MAX(0,VLOOKUP(A350,TRIP_ACTUALS!$A:$O,8,FALSE)-SETUP_RATES!$K$2)*SETUP_RATES!$K$3)</f>
        <v/>
      </c>
      <c r="E350" s="38" t="str">
        <f>IF(A350="","",VLOOKUP(A350,TRIP_ACTUALS!$A:$O,9,FALSE)*VLOOKUP(VLOOKUP(A350,BOOKINGS!$A:$Q,7,FALSE),SETUP_RATES!$A:$H,5,FALSE))</f>
        <v/>
      </c>
      <c r="F350" s="38" t="str">
        <f>IF(A350="","",IFERROR(VLOOKUP(A350,TRIP_ACTUALS!$A:$O,5,FALSE),0))</f>
        <v/>
      </c>
      <c r="G350" s="38" t="str">
        <f>IF(A350="","",IFERROR(VLOOKUP(A350,TRIP_ACTUALS!$A:$O,6,FALSE),0)+IFERROR(VLOOKUP(A350,TRIP_ACTUALS!$A:$O,7,FALSE),0))</f>
        <v/>
      </c>
      <c r="H350" s="38" t="str">
        <f>IF(A350="","",IFERROR(VLOOKUP(VLOOKUP(A350,BOOKINGS!$A:$Q,7,FALSE),SETUP_RATES!$A:$H,8,FALSE),0))</f>
        <v/>
      </c>
      <c r="I350" s="38" t="str">
        <f t="shared" si="1"/>
        <v/>
      </c>
      <c r="J350" s="38" t="str">
        <f>IF(A350="","",IFERROR(VLOOKUP(A350,BOOKINGS!$A:$Q,13,FALSE),0))</f>
        <v/>
      </c>
      <c r="K350" s="38" t="str">
        <f t="shared" si="2"/>
        <v/>
      </c>
      <c r="L350" s="38" t="str">
        <f t="shared" si="3"/>
        <v/>
      </c>
    </row>
    <row r="351" ht="15.75" customHeight="1">
      <c r="A351" s="33" t="str">
        <f>IF(BOOKINGS!A351="","",BOOKINGS!A351)</f>
        <v/>
      </c>
      <c r="B351" s="38" t="str">
        <f>IF(A351="","",MAX(VLOOKUP(A351,BOOKINGS!$A:$Q,6,FALSE)*VLOOKUP(VLOOKUP(A351,BOOKINGS!$A:$Q,7,FALSE),SETUP_RATES!$A:$H,3,FALSE),VLOOKUP(VLOOKUP(A351,BOOKINGS!$A:$Q,7,FALSE),SETUP_RATES!$A:$H,2,FALSE)))</f>
        <v/>
      </c>
      <c r="C351" s="38" t="str">
        <f>IF(A351="","",VLOOKUP(A351,BOOKINGS!$A:$Q,10,FALSE)*VLOOKUP(VLOOKUP(A351,BOOKINGS!$A:$Q,7,FALSE),SETUP_RATES!$A:$H,6,FALSE))</f>
        <v/>
      </c>
      <c r="D351" s="38" t="str">
        <f>IF(A351="","",MAX(0,VLOOKUP(A351,TRIP_ACTUALS!$A:$O,8,FALSE)-SETUP_RATES!$K$2)*SETUP_RATES!$K$3)</f>
        <v/>
      </c>
      <c r="E351" s="38" t="str">
        <f>IF(A351="","",VLOOKUP(A351,TRIP_ACTUALS!$A:$O,9,FALSE)*VLOOKUP(VLOOKUP(A351,BOOKINGS!$A:$Q,7,FALSE),SETUP_RATES!$A:$H,5,FALSE))</f>
        <v/>
      </c>
      <c r="F351" s="38" t="str">
        <f>IF(A351="","",IFERROR(VLOOKUP(A351,TRIP_ACTUALS!$A:$O,5,FALSE),0))</f>
        <v/>
      </c>
      <c r="G351" s="38" t="str">
        <f>IF(A351="","",IFERROR(VLOOKUP(A351,TRIP_ACTUALS!$A:$O,6,FALSE),0)+IFERROR(VLOOKUP(A351,TRIP_ACTUALS!$A:$O,7,FALSE),0))</f>
        <v/>
      </c>
      <c r="H351" s="38" t="str">
        <f>IF(A351="","",IFERROR(VLOOKUP(VLOOKUP(A351,BOOKINGS!$A:$Q,7,FALSE),SETUP_RATES!$A:$H,8,FALSE),0))</f>
        <v/>
      </c>
      <c r="I351" s="38" t="str">
        <f t="shared" si="1"/>
        <v/>
      </c>
      <c r="J351" s="38" t="str">
        <f>IF(A351="","",IFERROR(VLOOKUP(A351,BOOKINGS!$A:$Q,13,FALSE),0))</f>
        <v/>
      </c>
      <c r="K351" s="38" t="str">
        <f t="shared" si="2"/>
        <v/>
      </c>
      <c r="L351" s="38" t="str">
        <f t="shared" si="3"/>
        <v/>
      </c>
    </row>
    <row r="352" ht="15.75" customHeight="1">
      <c r="A352" s="33" t="str">
        <f>IF(BOOKINGS!A352="","",BOOKINGS!A352)</f>
        <v/>
      </c>
      <c r="B352" s="38" t="str">
        <f>IF(A352="","",MAX(VLOOKUP(A352,BOOKINGS!$A:$Q,6,FALSE)*VLOOKUP(VLOOKUP(A352,BOOKINGS!$A:$Q,7,FALSE),SETUP_RATES!$A:$H,3,FALSE),VLOOKUP(VLOOKUP(A352,BOOKINGS!$A:$Q,7,FALSE),SETUP_RATES!$A:$H,2,FALSE)))</f>
        <v/>
      </c>
      <c r="C352" s="38" t="str">
        <f>IF(A352="","",VLOOKUP(A352,BOOKINGS!$A:$Q,10,FALSE)*VLOOKUP(VLOOKUP(A352,BOOKINGS!$A:$Q,7,FALSE),SETUP_RATES!$A:$H,6,FALSE))</f>
        <v/>
      </c>
      <c r="D352" s="38" t="str">
        <f>IF(A352="","",MAX(0,VLOOKUP(A352,TRIP_ACTUALS!$A:$O,8,FALSE)-SETUP_RATES!$K$2)*SETUP_RATES!$K$3)</f>
        <v/>
      </c>
      <c r="E352" s="38" t="str">
        <f>IF(A352="","",VLOOKUP(A352,TRIP_ACTUALS!$A:$O,9,FALSE)*VLOOKUP(VLOOKUP(A352,BOOKINGS!$A:$Q,7,FALSE),SETUP_RATES!$A:$H,5,FALSE))</f>
        <v/>
      </c>
      <c r="F352" s="38" t="str">
        <f>IF(A352="","",IFERROR(VLOOKUP(A352,TRIP_ACTUALS!$A:$O,5,FALSE),0))</f>
        <v/>
      </c>
      <c r="G352" s="38" t="str">
        <f>IF(A352="","",IFERROR(VLOOKUP(A352,TRIP_ACTUALS!$A:$O,6,FALSE),0)+IFERROR(VLOOKUP(A352,TRIP_ACTUALS!$A:$O,7,FALSE),0))</f>
        <v/>
      </c>
      <c r="H352" s="38" t="str">
        <f>IF(A352="","",IFERROR(VLOOKUP(VLOOKUP(A352,BOOKINGS!$A:$Q,7,FALSE),SETUP_RATES!$A:$H,8,FALSE),0))</f>
        <v/>
      </c>
      <c r="I352" s="38" t="str">
        <f t="shared" si="1"/>
        <v/>
      </c>
      <c r="J352" s="38" t="str">
        <f>IF(A352="","",IFERROR(VLOOKUP(A352,BOOKINGS!$A:$Q,13,FALSE),0))</f>
        <v/>
      </c>
      <c r="K352" s="38" t="str">
        <f t="shared" si="2"/>
        <v/>
      </c>
      <c r="L352" s="38" t="str">
        <f t="shared" si="3"/>
        <v/>
      </c>
    </row>
    <row r="353" ht="15.75" customHeight="1">
      <c r="A353" s="33" t="str">
        <f>IF(BOOKINGS!A353="","",BOOKINGS!A353)</f>
        <v/>
      </c>
      <c r="B353" s="38" t="str">
        <f>IF(A353="","",MAX(VLOOKUP(A353,BOOKINGS!$A:$Q,6,FALSE)*VLOOKUP(VLOOKUP(A353,BOOKINGS!$A:$Q,7,FALSE),SETUP_RATES!$A:$H,3,FALSE),VLOOKUP(VLOOKUP(A353,BOOKINGS!$A:$Q,7,FALSE),SETUP_RATES!$A:$H,2,FALSE)))</f>
        <v/>
      </c>
      <c r="C353" s="38" t="str">
        <f>IF(A353="","",VLOOKUP(A353,BOOKINGS!$A:$Q,10,FALSE)*VLOOKUP(VLOOKUP(A353,BOOKINGS!$A:$Q,7,FALSE),SETUP_RATES!$A:$H,6,FALSE))</f>
        <v/>
      </c>
      <c r="D353" s="38" t="str">
        <f>IF(A353="","",MAX(0,VLOOKUP(A353,TRIP_ACTUALS!$A:$O,8,FALSE)-SETUP_RATES!$K$2)*SETUP_RATES!$K$3)</f>
        <v/>
      </c>
      <c r="E353" s="38" t="str">
        <f>IF(A353="","",VLOOKUP(A353,TRIP_ACTUALS!$A:$O,9,FALSE)*VLOOKUP(VLOOKUP(A353,BOOKINGS!$A:$Q,7,FALSE),SETUP_RATES!$A:$H,5,FALSE))</f>
        <v/>
      </c>
      <c r="F353" s="38" t="str">
        <f>IF(A353="","",IFERROR(VLOOKUP(A353,TRIP_ACTUALS!$A:$O,5,FALSE),0))</f>
        <v/>
      </c>
      <c r="G353" s="38" t="str">
        <f>IF(A353="","",IFERROR(VLOOKUP(A353,TRIP_ACTUALS!$A:$O,6,FALSE),0)+IFERROR(VLOOKUP(A353,TRIP_ACTUALS!$A:$O,7,FALSE),0))</f>
        <v/>
      </c>
      <c r="H353" s="38" t="str">
        <f>IF(A353="","",IFERROR(VLOOKUP(VLOOKUP(A353,BOOKINGS!$A:$Q,7,FALSE),SETUP_RATES!$A:$H,8,FALSE),0))</f>
        <v/>
      </c>
      <c r="I353" s="38" t="str">
        <f t="shared" si="1"/>
        <v/>
      </c>
      <c r="J353" s="38" t="str">
        <f>IF(A353="","",IFERROR(VLOOKUP(A353,BOOKINGS!$A:$Q,13,FALSE),0))</f>
        <v/>
      </c>
      <c r="K353" s="38" t="str">
        <f t="shared" si="2"/>
        <v/>
      </c>
      <c r="L353" s="38" t="str">
        <f t="shared" si="3"/>
        <v/>
      </c>
    </row>
    <row r="354" ht="15.75" customHeight="1">
      <c r="A354" s="33" t="str">
        <f>IF(BOOKINGS!A354="","",BOOKINGS!A354)</f>
        <v/>
      </c>
      <c r="B354" s="38" t="str">
        <f>IF(A354="","",MAX(VLOOKUP(A354,BOOKINGS!$A:$Q,6,FALSE)*VLOOKUP(VLOOKUP(A354,BOOKINGS!$A:$Q,7,FALSE),SETUP_RATES!$A:$H,3,FALSE),VLOOKUP(VLOOKUP(A354,BOOKINGS!$A:$Q,7,FALSE),SETUP_RATES!$A:$H,2,FALSE)))</f>
        <v/>
      </c>
      <c r="C354" s="38" t="str">
        <f>IF(A354="","",VLOOKUP(A354,BOOKINGS!$A:$Q,10,FALSE)*VLOOKUP(VLOOKUP(A354,BOOKINGS!$A:$Q,7,FALSE),SETUP_RATES!$A:$H,6,FALSE))</f>
        <v/>
      </c>
      <c r="D354" s="38" t="str">
        <f>IF(A354="","",MAX(0,VLOOKUP(A354,TRIP_ACTUALS!$A:$O,8,FALSE)-SETUP_RATES!$K$2)*SETUP_RATES!$K$3)</f>
        <v/>
      </c>
      <c r="E354" s="38" t="str">
        <f>IF(A354="","",VLOOKUP(A354,TRIP_ACTUALS!$A:$O,9,FALSE)*VLOOKUP(VLOOKUP(A354,BOOKINGS!$A:$Q,7,FALSE),SETUP_RATES!$A:$H,5,FALSE))</f>
        <v/>
      </c>
      <c r="F354" s="38" t="str">
        <f>IF(A354="","",IFERROR(VLOOKUP(A354,TRIP_ACTUALS!$A:$O,5,FALSE),0))</f>
        <v/>
      </c>
      <c r="G354" s="38" t="str">
        <f>IF(A354="","",IFERROR(VLOOKUP(A354,TRIP_ACTUALS!$A:$O,6,FALSE),0)+IFERROR(VLOOKUP(A354,TRIP_ACTUALS!$A:$O,7,FALSE),0))</f>
        <v/>
      </c>
      <c r="H354" s="38" t="str">
        <f>IF(A354="","",IFERROR(VLOOKUP(VLOOKUP(A354,BOOKINGS!$A:$Q,7,FALSE),SETUP_RATES!$A:$H,8,FALSE),0))</f>
        <v/>
      </c>
      <c r="I354" s="38" t="str">
        <f t="shared" si="1"/>
        <v/>
      </c>
      <c r="J354" s="38" t="str">
        <f>IF(A354="","",IFERROR(VLOOKUP(A354,BOOKINGS!$A:$Q,13,FALSE),0))</f>
        <v/>
      </c>
      <c r="K354" s="38" t="str">
        <f t="shared" si="2"/>
        <v/>
      </c>
      <c r="L354" s="38" t="str">
        <f t="shared" si="3"/>
        <v/>
      </c>
    </row>
    <row r="355" ht="15.75" customHeight="1">
      <c r="A355" s="33" t="str">
        <f>IF(BOOKINGS!A355="","",BOOKINGS!A355)</f>
        <v/>
      </c>
      <c r="B355" s="38" t="str">
        <f>IF(A355="","",MAX(VLOOKUP(A355,BOOKINGS!$A:$Q,6,FALSE)*VLOOKUP(VLOOKUP(A355,BOOKINGS!$A:$Q,7,FALSE),SETUP_RATES!$A:$H,3,FALSE),VLOOKUP(VLOOKUP(A355,BOOKINGS!$A:$Q,7,FALSE),SETUP_RATES!$A:$H,2,FALSE)))</f>
        <v/>
      </c>
      <c r="C355" s="38" t="str">
        <f>IF(A355="","",VLOOKUP(A355,BOOKINGS!$A:$Q,10,FALSE)*VLOOKUP(VLOOKUP(A355,BOOKINGS!$A:$Q,7,FALSE),SETUP_RATES!$A:$H,6,FALSE))</f>
        <v/>
      </c>
      <c r="D355" s="38" t="str">
        <f>IF(A355="","",MAX(0,VLOOKUP(A355,TRIP_ACTUALS!$A:$O,8,FALSE)-SETUP_RATES!$K$2)*SETUP_RATES!$K$3)</f>
        <v/>
      </c>
      <c r="E355" s="38" t="str">
        <f>IF(A355="","",VLOOKUP(A355,TRIP_ACTUALS!$A:$O,9,FALSE)*VLOOKUP(VLOOKUP(A355,BOOKINGS!$A:$Q,7,FALSE),SETUP_RATES!$A:$H,5,FALSE))</f>
        <v/>
      </c>
      <c r="F355" s="38" t="str">
        <f>IF(A355="","",IFERROR(VLOOKUP(A355,TRIP_ACTUALS!$A:$O,5,FALSE),0))</f>
        <v/>
      </c>
      <c r="G355" s="38" t="str">
        <f>IF(A355="","",IFERROR(VLOOKUP(A355,TRIP_ACTUALS!$A:$O,6,FALSE),0)+IFERROR(VLOOKUP(A355,TRIP_ACTUALS!$A:$O,7,FALSE),0))</f>
        <v/>
      </c>
      <c r="H355" s="38" t="str">
        <f>IF(A355="","",IFERROR(VLOOKUP(VLOOKUP(A355,BOOKINGS!$A:$Q,7,FALSE),SETUP_RATES!$A:$H,8,FALSE),0))</f>
        <v/>
      </c>
      <c r="I355" s="38" t="str">
        <f t="shared" si="1"/>
        <v/>
      </c>
      <c r="J355" s="38" t="str">
        <f>IF(A355="","",IFERROR(VLOOKUP(A355,BOOKINGS!$A:$Q,13,FALSE),0))</f>
        <v/>
      </c>
      <c r="K355" s="38" t="str">
        <f t="shared" si="2"/>
        <v/>
      </c>
      <c r="L355" s="38" t="str">
        <f t="shared" si="3"/>
        <v/>
      </c>
    </row>
    <row r="356" ht="15.75" customHeight="1">
      <c r="A356" s="33" t="str">
        <f>IF(BOOKINGS!A356="","",BOOKINGS!A356)</f>
        <v/>
      </c>
      <c r="B356" s="38" t="str">
        <f>IF(A356="","",MAX(VLOOKUP(A356,BOOKINGS!$A:$Q,6,FALSE)*VLOOKUP(VLOOKUP(A356,BOOKINGS!$A:$Q,7,FALSE),SETUP_RATES!$A:$H,3,FALSE),VLOOKUP(VLOOKUP(A356,BOOKINGS!$A:$Q,7,FALSE),SETUP_RATES!$A:$H,2,FALSE)))</f>
        <v/>
      </c>
      <c r="C356" s="38" t="str">
        <f>IF(A356="","",VLOOKUP(A356,BOOKINGS!$A:$Q,10,FALSE)*VLOOKUP(VLOOKUP(A356,BOOKINGS!$A:$Q,7,FALSE),SETUP_RATES!$A:$H,6,FALSE))</f>
        <v/>
      </c>
      <c r="D356" s="38" t="str">
        <f>IF(A356="","",MAX(0,VLOOKUP(A356,TRIP_ACTUALS!$A:$O,8,FALSE)-SETUP_RATES!$K$2)*SETUP_RATES!$K$3)</f>
        <v/>
      </c>
      <c r="E356" s="38" t="str">
        <f>IF(A356="","",VLOOKUP(A356,TRIP_ACTUALS!$A:$O,9,FALSE)*VLOOKUP(VLOOKUP(A356,BOOKINGS!$A:$Q,7,FALSE),SETUP_RATES!$A:$H,5,FALSE))</f>
        <v/>
      </c>
      <c r="F356" s="38" t="str">
        <f>IF(A356="","",IFERROR(VLOOKUP(A356,TRIP_ACTUALS!$A:$O,5,FALSE),0))</f>
        <v/>
      </c>
      <c r="G356" s="38" t="str">
        <f>IF(A356="","",IFERROR(VLOOKUP(A356,TRIP_ACTUALS!$A:$O,6,FALSE),0)+IFERROR(VLOOKUP(A356,TRIP_ACTUALS!$A:$O,7,FALSE),0))</f>
        <v/>
      </c>
      <c r="H356" s="38" t="str">
        <f>IF(A356="","",IFERROR(VLOOKUP(VLOOKUP(A356,BOOKINGS!$A:$Q,7,FALSE),SETUP_RATES!$A:$H,8,FALSE),0))</f>
        <v/>
      </c>
      <c r="I356" s="38" t="str">
        <f t="shared" si="1"/>
        <v/>
      </c>
      <c r="J356" s="38" t="str">
        <f>IF(A356="","",IFERROR(VLOOKUP(A356,BOOKINGS!$A:$Q,13,FALSE),0))</f>
        <v/>
      </c>
      <c r="K356" s="38" t="str">
        <f t="shared" si="2"/>
        <v/>
      </c>
      <c r="L356" s="38" t="str">
        <f t="shared" si="3"/>
        <v/>
      </c>
    </row>
    <row r="357" ht="15.75" customHeight="1">
      <c r="A357" s="33" t="str">
        <f>IF(BOOKINGS!A357="","",BOOKINGS!A357)</f>
        <v/>
      </c>
      <c r="B357" s="38" t="str">
        <f>IF(A357="","",MAX(VLOOKUP(A357,BOOKINGS!$A:$Q,6,FALSE)*VLOOKUP(VLOOKUP(A357,BOOKINGS!$A:$Q,7,FALSE),SETUP_RATES!$A:$H,3,FALSE),VLOOKUP(VLOOKUP(A357,BOOKINGS!$A:$Q,7,FALSE),SETUP_RATES!$A:$H,2,FALSE)))</f>
        <v/>
      </c>
      <c r="C357" s="38" t="str">
        <f>IF(A357="","",VLOOKUP(A357,BOOKINGS!$A:$Q,10,FALSE)*VLOOKUP(VLOOKUP(A357,BOOKINGS!$A:$Q,7,FALSE),SETUP_RATES!$A:$H,6,FALSE))</f>
        <v/>
      </c>
      <c r="D357" s="38" t="str">
        <f>IF(A357="","",MAX(0,VLOOKUP(A357,TRIP_ACTUALS!$A:$O,8,FALSE)-SETUP_RATES!$K$2)*SETUP_RATES!$K$3)</f>
        <v/>
      </c>
      <c r="E357" s="38" t="str">
        <f>IF(A357="","",VLOOKUP(A357,TRIP_ACTUALS!$A:$O,9,FALSE)*VLOOKUP(VLOOKUP(A357,BOOKINGS!$A:$Q,7,FALSE),SETUP_RATES!$A:$H,5,FALSE))</f>
        <v/>
      </c>
      <c r="F357" s="38" t="str">
        <f>IF(A357="","",IFERROR(VLOOKUP(A357,TRIP_ACTUALS!$A:$O,5,FALSE),0))</f>
        <v/>
      </c>
      <c r="G357" s="38" t="str">
        <f>IF(A357="","",IFERROR(VLOOKUP(A357,TRIP_ACTUALS!$A:$O,6,FALSE),0)+IFERROR(VLOOKUP(A357,TRIP_ACTUALS!$A:$O,7,FALSE),0))</f>
        <v/>
      </c>
      <c r="H357" s="38" t="str">
        <f>IF(A357="","",IFERROR(VLOOKUP(VLOOKUP(A357,BOOKINGS!$A:$Q,7,FALSE),SETUP_RATES!$A:$H,8,FALSE),0))</f>
        <v/>
      </c>
      <c r="I357" s="38" t="str">
        <f t="shared" si="1"/>
        <v/>
      </c>
      <c r="J357" s="38" t="str">
        <f>IF(A357="","",IFERROR(VLOOKUP(A357,BOOKINGS!$A:$Q,13,FALSE),0))</f>
        <v/>
      </c>
      <c r="K357" s="38" t="str">
        <f t="shared" si="2"/>
        <v/>
      </c>
      <c r="L357" s="38" t="str">
        <f t="shared" si="3"/>
        <v/>
      </c>
    </row>
    <row r="358" ht="15.75" customHeight="1">
      <c r="A358" s="33" t="str">
        <f>IF(BOOKINGS!A358="","",BOOKINGS!A358)</f>
        <v/>
      </c>
      <c r="B358" s="38" t="str">
        <f>IF(A358="","",MAX(VLOOKUP(A358,BOOKINGS!$A:$Q,6,FALSE)*VLOOKUP(VLOOKUP(A358,BOOKINGS!$A:$Q,7,FALSE),SETUP_RATES!$A:$H,3,FALSE),VLOOKUP(VLOOKUP(A358,BOOKINGS!$A:$Q,7,FALSE),SETUP_RATES!$A:$H,2,FALSE)))</f>
        <v/>
      </c>
      <c r="C358" s="38" t="str">
        <f>IF(A358="","",VLOOKUP(A358,BOOKINGS!$A:$Q,10,FALSE)*VLOOKUP(VLOOKUP(A358,BOOKINGS!$A:$Q,7,FALSE),SETUP_RATES!$A:$H,6,FALSE))</f>
        <v/>
      </c>
      <c r="D358" s="38" t="str">
        <f>IF(A358="","",MAX(0,VLOOKUP(A358,TRIP_ACTUALS!$A:$O,8,FALSE)-SETUP_RATES!$K$2)*SETUP_RATES!$K$3)</f>
        <v/>
      </c>
      <c r="E358" s="38" t="str">
        <f>IF(A358="","",VLOOKUP(A358,TRIP_ACTUALS!$A:$O,9,FALSE)*VLOOKUP(VLOOKUP(A358,BOOKINGS!$A:$Q,7,FALSE),SETUP_RATES!$A:$H,5,FALSE))</f>
        <v/>
      </c>
      <c r="F358" s="38" t="str">
        <f>IF(A358="","",IFERROR(VLOOKUP(A358,TRIP_ACTUALS!$A:$O,5,FALSE),0))</f>
        <v/>
      </c>
      <c r="G358" s="38" t="str">
        <f>IF(A358="","",IFERROR(VLOOKUP(A358,TRIP_ACTUALS!$A:$O,6,FALSE),0)+IFERROR(VLOOKUP(A358,TRIP_ACTUALS!$A:$O,7,FALSE),0))</f>
        <v/>
      </c>
      <c r="H358" s="38" t="str">
        <f>IF(A358="","",IFERROR(VLOOKUP(VLOOKUP(A358,BOOKINGS!$A:$Q,7,FALSE),SETUP_RATES!$A:$H,8,FALSE),0))</f>
        <v/>
      </c>
      <c r="I358" s="38" t="str">
        <f t="shared" si="1"/>
        <v/>
      </c>
      <c r="J358" s="38" t="str">
        <f>IF(A358="","",IFERROR(VLOOKUP(A358,BOOKINGS!$A:$Q,13,FALSE),0))</f>
        <v/>
      </c>
      <c r="K358" s="38" t="str">
        <f t="shared" si="2"/>
        <v/>
      </c>
      <c r="L358" s="38" t="str">
        <f t="shared" si="3"/>
        <v/>
      </c>
    </row>
    <row r="359" ht="15.75" customHeight="1">
      <c r="A359" s="33" t="str">
        <f>IF(BOOKINGS!A359="","",BOOKINGS!A359)</f>
        <v/>
      </c>
      <c r="B359" s="38" t="str">
        <f>IF(A359="","",MAX(VLOOKUP(A359,BOOKINGS!$A:$Q,6,FALSE)*VLOOKUP(VLOOKUP(A359,BOOKINGS!$A:$Q,7,FALSE),SETUP_RATES!$A:$H,3,FALSE),VLOOKUP(VLOOKUP(A359,BOOKINGS!$A:$Q,7,FALSE),SETUP_RATES!$A:$H,2,FALSE)))</f>
        <v/>
      </c>
      <c r="C359" s="38" t="str">
        <f>IF(A359="","",VLOOKUP(A359,BOOKINGS!$A:$Q,10,FALSE)*VLOOKUP(VLOOKUP(A359,BOOKINGS!$A:$Q,7,FALSE),SETUP_RATES!$A:$H,6,FALSE))</f>
        <v/>
      </c>
      <c r="D359" s="38" t="str">
        <f>IF(A359="","",MAX(0,VLOOKUP(A359,TRIP_ACTUALS!$A:$O,8,FALSE)-SETUP_RATES!$K$2)*SETUP_RATES!$K$3)</f>
        <v/>
      </c>
      <c r="E359" s="38" t="str">
        <f>IF(A359="","",VLOOKUP(A359,TRIP_ACTUALS!$A:$O,9,FALSE)*VLOOKUP(VLOOKUP(A359,BOOKINGS!$A:$Q,7,FALSE),SETUP_RATES!$A:$H,5,FALSE))</f>
        <v/>
      </c>
      <c r="F359" s="38" t="str">
        <f>IF(A359="","",IFERROR(VLOOKUP(A359,TRIP_ACTUALS!$A:$O,5,FALSE),0))</f>
        <v/>
      </c>
      <c r="G359" s="38" t="str">
        <f>IF(A359="","",IFERROR(VLOOKUP(A359,TRIP_ACTUALS!$A:$O,6,FALSE),0)+IFERROR(VLOOKUP(A359,TRIP_ACTUALS!$A:$O,7,FALSE),0))</f>
        <v/>
      </c>
      <c r="H359" s="38" t="str">
        <f>IF(A359="","",IFERROR(VLOOKUP(VLOOKUP(A359,BOOKINGS!$A:$Q,7,FALSE),SETUP_RATES!$A:$H,8,FALSE),0))</f>
        <v/>
      </c>
      <c r="I359" s="38" t="str">
        <f t="shared" si="1"/>
        <v/>
      </c>
      <c r="J359" s="38" t="str">
        <f>IF(A359="","",IFERROR(VLOOKUP(A359,BOOKINGS!$A:$Q,13,FALSE),0))</f>
        <v/>
      </c>
      <c r="K359" s="38" t="str">
        <f t="shared" si="2"/>
        <v/>
      </c>
      <c r="L359" s="38" t="str">
        <f t="shared" si="3"/>
        <v/>
      </c>
    </row>
    <row r="360" ht="15.75" customHeight="1">
      <c r="A360" s="33" t="str">
        <f>IF(BOOKINGS!A360="","",BOOKINGS!A360)</f>
        <v/>
      </c>
      <c r="B360" s="38" t="str">
        <f>IF(A360="","",MAX(VLOOKUP(A360,BOOKINGS!$A:$Q,6,FALSE)*VLOOKUP(VLOOKUP(A360,BOOKINGS!$A:$Q,7,FALSE),SETUP_RATES!$A:$H,3,FALSE),VLOOKUP(VLOOKUP(A360,BOOKINGS!$A:$Q,7,FALSE),SETUP_RATES!$A:$H,2,FALSE)))</f>
        <v/>
      </c>
      <c r="C360" s="38" t="str">
        <f>IF(A360="","",VLOOKUP(A360,BOOKINGS!$A:$Q,10,FALSE)*VLOOKUP(VLOOKUP(A360,BOOKINGS!$A:$Q,7,FALSE),SETUP_RATES!$A:$H,6,FALSE))</f>
        <v/>
      </c>
      <c r="D360" s="38" t="str">
        <f>IF(A360="","",MAX(0,VLOOKUP(A360,TRIP_ACTUALS!$A:$O,8,FALSE)-SETUP_RATES!$K$2)*SETUP_RATES!$K$3)</f>
        <v/>
      </c>
      <c r="E360" s="38" t="str">
        <f>IF(A360="","",VLOOKUP(A360,TRIP_ACTUALS!$A:$O,9,FALSE)*VLOOKUP(VLOOKUP(A360,BOOKINGS!$A:$Q,7,FALSE),SETUP_RATES!$A:$H,5,FALSE))</f>
        <v/>
      </c>
      <c r="F360" s="38" t="str">
        <f>IF(A360="","",IFERROR(VLOOKUP(A360,TRIP_ACTUALS!$A:$O,5,FALSE),0))</f>
        <v/>
      </c>
      <c r="G360" s="38" t="str">
        <f>IF(A360="","",IFERROR(VLOOKUP(A360,TRIP_ACTUALS!$A:$O,6,FALSE),0)+IFERROR(VLOOKUP(A360,TRIP_ACTUALS!$A:$O,7,FALSE),0))</f>
        <v/>
      </c>
      <c r="H360" s="38" t="str">
        <f>IF(A360="","",IFERROR(VLOOKUP(VLOOKUP(A360,BOOKINGS!$A:$Q,7,FALSE),SETUP_RATES!$A:$H,8,FALSE),0))</f>
        <v/>
      </c>
      <c r="I360" s="38" t="str">
        <f t="shared" si="1"/>
        <v/>
      </c>
      <c r="J360" s="38" t="str">
        <f>IF(A360="","",IFERROR(VLOOKUP(A360,BOOKINGS!$A:$Q,13,FALSE),0))</f>
        <v/>
      </c>
      <c r="K360" s="38" t="str">
        <f t="shared" si="2"/>
        <v/>
      </c>
      <c r="L360" s="38" t="str">
        <f t="shared" si="3"/>
        <v/>
      </c>
    </row>
    <row r="361" ht="15.75" customHeight="1">
      <c r="A361" s="33" t="str">
        <f>IF(BOOKINGS!A361="","",BOOKINGS!A361)</f>
        <v/>
      </c>
      <c r="B361" s="38" t="str">
        <f>IF(A361="","",MAX(VLOOKUP(A361,BOOKINGS!$A:$Q,6,FALSE)*VLOOKUP(VLOOKUP(A361,BOOKINGS!$A:$Q,7,FALSE),SETUP_RATES!$A:$H,3,FALSE),VLOOKUP(VLOOKUP(A361,BOOKINGS!$A:$Q,7,FALSE),SETUP_RATES!$A:$H,2,FALSE)))</f>
        <v/>
      </c>
      <c r="C361" s="38" t="str">
        <f>IF(A361="","",VLOOKUP(A361,BOOKINGS!$A:$Q,10,FALSE)*VLOOKUP(VLOOKUP(A361,BOOKINGS!$A:$Q,7,FALSE),SETUP_RATES!$A:$H,6,FALSE))</f>
        <v/>
      </c>
      <c r="D361" s="38" t="str">
        <f>IF(A361="","",MAX(0,VLOOKUP(A361,TRIP_ACTUALS!$A:$O,8,FALSE)-SETUP_RATES!$K$2)*SETUP_RATES!$K$3)</f>
        <v/>
      </c>
      <c r="E361" s="38" t="str">
        <f>IF(A361="","",VLOOKUP(A361,TRIP_ACTUALS!$A:$O,9,FALSE)*VLOOKUP(VLOOKUP(A361,BOOKINGS!$A:$Q,7,FALSE),SETUP_RATES!$A:$H,5,FALSE))</f>
        <v/>
      </c>
      <c r="F361" s="38" t="str">
        <f>IF(A361="","",IFERROR(VLOOKUP(A361,TRIP_ACTUALS!$A:$O,5,FALSE),0))</f>
        <v/>
      </c>
      <c r="G361" s="38" t="str">
        <f>IF(A361="","",IFERROR(VLOOKUP(A361,TRIP_ACTUALS!$A:$O,6,FALSE),0)+IFERROR(VLOOKUP(A361,TRIP_ACTUALS!$A:$O,7,FALSE),0))</f>
        <v/>
      </c>
      <c r="H361" s="38" t="str">
        <f>IF(A361="","",IFERROR(VLOOKUP(VLOOKUP(A361,BOOKINGS!$A:$Q,7,FALSE),SETUP_RATES!$A:$H,8,FALSE),0))</f>
        <v/>
      </c>
      <c r="I361" s="38" t="str">
        <f t="shared" si="1"/>
        <v/>
      </c>
      <c r="J361" s="38" t="str">
        <f>IF(A361="","",IFERROR(VLOOKUP(A361,BOOKINGS!$A:$Q,13,FALSE),0))</f>
        <v/>
      </c>
      <c r="K361" s="38" t="str">
        <f t="shared" si="2"/>
        <v/>
      </c>
      <c r="L361" s="38" t="str">
        <f t="shared" si="3"/>
        <v/>
      </c>
    </row>
    <row r="362" ht="15.75" customHeight="1">
      <c r="A362" s="33" t="str">
        <f>IF(BOOKINGS!A362="","",BOOKINGS!A362)</f>
        <v/>
      </c>
      <c r="B362" s="38" t="str">
        <f>IF(A362="","",MAX(VLOOKUP(A362,BOOKINGS!$A:$Q,6,FALSE)*VLOOKUP(VLOOKUP(A362,BOOKINGS!$A:$Q,7,FALSE),SETUP_RATES!$A:$H,3,FALSE),VLOOKUP(VLOOKUP(A362,BOOKINGS!$A:$Q,7,FALSE),SETUP_RATES!$A:$H,2,FALSE)))</f>
        <v/>
      </c>
      <c r="C362" s="38" t="str">
        <f>IF(A362="","",VLOOKUP(A362,BOOKINGS!$A:$Q,10,FALSE)*VLOOKUP(VLOOKUP(A362,BOOKINGS!$A:$Q,7,FALSE),SETUP_RATES!$A:$H,6,FALSE))</f>
        <v/>
      </c>
      <c r="D362" s="38" t="str">
        <f>IF(A362="","",MAX(0,VLOOKUP(A362,TRIP_ACTUALS!$A:$O,8,FALSE)-SETUP_RATES!$K$2)*SETUP_RATES!$K$3)</f>
        <v/>
      </c>
      <c r="E362" s="38" t="str">
        <f>IF(A362="","",VLOOKUP(A362,TRIP_ACTUALS!$A:$O,9,FALSE)*VLOOKUP(VLOOKUP(A362,BOOKINGS!$A:$Q,7,FALSE),SETUP_RATES!$A:$H,5,FALSE))</f>
        <v/>
      </c>
      <c r="F362" s="38" t="str">
        <f>IF(A362="","",IFERROR(VLOOKUP(A362,TRIP_ACTUALS!$A:$O,5,FALSE),0))</f>
        <v/>
      </c>
      <c r="G362" s="38" t="str">
        <f>IF(A362="","",IFERROR(VLOOKUP(A362,TRIP_ACTUALS!$A:$O,6,FALSE),0)+IFERROR(VLOOKUP(A362,TRIP_ACTUALS!$A:$O,7,FALSE),0))</f>
        <v/>
      </c>
      <c r="H362" s="38" t="str">
        <f>IF(A362="","",IFERROR(VLOOKUP(VLOOKUP(A362,BOOKINGS!$A:$Q,7,FALSE),SETUP_RATES!$A:$H,8,FALSE),0))</f>
        <v/>
      </c>
      <c r="I362" s="38" t="str">
        <f t="shared" si="1"/>
        <v/>
      </c>
      <c r="J362" s="38" t="str">
        <f>IF(A362="","",IFERROR(VLOOKUP(A362,BOOKINGS!$A:$Q,13,FALSE),0))</f>
        <v/>
      </c>
      <c r="K362" s="38" t="str">
        <f t="shared" si="2"/>
        <v/>
      </c>
      <c r="L362" s="38" t="str">
        <f t="shared" si="3"/>
        <v/>
      </c>
    </row>
    <row r="363" ht="15.75" customHeight="1">
      <c r="A363" s="33" t="str">
        <f>IF(BOOKINGS!A363="","",BOOKINGS!A363)</f>
        <v/>
      </c>
      <c r="B363" s="38" t="str">
        <f>IF(A363="","",MAX(VLOOKUP(A363,BOOKINGS!$A:$Q,6,FALSE)*VLOOKUP(VLOOKUP(A363,BOOKINGS!$A:$Q,7,FALSE),SETUP_RATES!$A:$H,3,FALSE),VLOOKUP(VLOOKUP(A363,BOOKINGS!$A:$Q,7,FALSE),SETUP_RATES!$A:$H,2,FALSE)))</f>
        <v/>
      </c>
      <c r="C363" s="38" t="str">
        <f>IF(A363="","",VLOOKUP(A363,BOOKINGS!$A:$Q,10,FALSE)*VLOOKUP(VLOOKUP(A363,BOOKINGS!$A:$Q,7,FALSE),SETUP_RATES!$A:$H,6,FALSE))</f>
        <v/>
      </c>
      <c r="D363" s="38" t="str">
        <f>IF(A363="","",MAX(0,VLOOKUP(A363,TRIP_ACTUALS!$A:$O,8,FALSE)-SETUP_RATES!$K$2)*SETUP_RATES!$K$3)</f>
        <v/>
      </c>
      <c r="E363" s="38" t="str">
        <f>IF(A363="","",VLOOKUP(A363,TRIP_ACTUALS!$A:$O,9,FALSE)*VLOOKUP(VLOOKUP(A363,BOOKINGS!$A:$Q,7,FALSE),SETUP_RATES!$A:$H,5,FALSE))</f>
        <v/>
      </c>
      <c r="F363" s="38" t="str">
        <f>IF(A363="","",IFERROR(VLOOKUP(A363,TRIP_ACTUALS!$A:$O,5,FALSE),0))</f>
        <v/>
      </c>
      <c r="G363" s="38" t="str">
        <f>IF(A363="","",IFERROR(VLOOKUP(A363,TRIP_ACTUALS!$A:$O,6,FALSE),0)+IFERROR(VLOOKUP(A363,TRIP_ACTUALS!$A:$O,7,FALSE),0))</f>
        <v/>
      </c>
      <c r="H363" s="38" t="str">
        <f>IF(A363="","",IFERROR(VLOOKUP(VLOOKUP(A363,BOOKINGS!$A:$Q,7,FALSE),SETUP_RATES!$A:$H,8,FALSE),0))</f>
        <v/>
      </c>
      <c r="I363" s="38" t="str">
        <f t="shared" si="1"/>
        <v/>
      </c>
      <c r="J363" s="38" t="str">
        <f>IF(A363="","",IFERROR(VLOOKUP(A363,BOOKINGS!$A:$Q,13,FALSE),0))</f>
        <v/>
      </c>
      <c r="K363" s="38" t="str">
        <f t="shared" si="2"/>
        <v/>
      </c>
      <c r="L363" s="38" t="str">
        <f t="shared" si="3"/>
        <v/>
      </c>
    </row>
    <row r="364" ht="15.75" customHeight="1">
      <c r="A364" s="33" t="str">
        <f>IF(BOOKINGS!A364="","",BOOKINGS!A364)</f>
        <v/>
      </c>
      <c r="B364" s="38" t="str">
        <f>IF(A364="","",MAX(VLOOKUP(A364,BOOKINGS!$A:$Q,6,FALSE)*VLOOKUP(VLOOKUP(A364,BOOKINGS!$A:$Q,7,FALSE),SETUP_RATES!$A:$H,3,FALSE),VLOOKUP(VLOOKUP(A364,BOOKINGS!$A:$Q,7,FALSE),SETUP_RATES!$A:$H,2,FALSE)))</f>
        <v/>
      </c>
      <c r="C364" s="38" t="str">
        <f>IF(A364="","",VLOOKUP(A364,BOOKINGS!$A:$Q,10,FALSE)*VLOOKUP(VLOOKUP(A364,BOOKINGS!$A:$Q,7,FALSE),SETUP_RATES!$A:$H,6,FALSE))</f>
        <v/>
      </c>
      <c r="D364" s="38" t="str">
        <f>IF(A364="","",MAX(0,VLOOKUP(A364,TRIP_ACTUALS!$A:$O,8,FALSE)-SETUP_RATES!$K$2)*SETUP_RATES!$K$3)</f>
        <v/>
      </c>
      <c r="E364" s="38" t="str">
        <f>IF(A364="","",VLOOKUP(A364,TRIP_ACTUALS!$A:$O,9,FALSE)*VLOOKUP(VLOOKUP(A364,BOOKINGS!$A:$Q,7,FALSE),SETUP_RATES!$A:$H,5,FALSE))</f>
        <v/>
      </c>
      <c r="F364" s="38" t="str">
        <f>IF(A364="","",IFERROR(VLOOKUP(A364,TRIP_ACTUALS!$A:$O,5,FALSE),0))</f>
        <v/>
      </c>
      <c r="G364" s="38" t="str">
        <f>IF(A364="","",IFERROR(VLOOKUP(A364,TRIP_ACTUALS!$A:$O,6,FALSE),0)+IFERROR(VLOOKUP(A364,TRIP_ACTUALS!$A:$O,7,FALSE),0))</f>
        <v/>
      </c>
      <c r="H364" s="38" t="str">
        <f>IF(A364="","",IFERROR(VLOOKUP(VLOOKUP(A364,BOOKINGS!$A:$Q,7,FALSE),SETUP_RATES!$A:$H,8,FALSE),0))</f>
        <v/>
      </c>
      <c r="I364" s="38" t="str">
        <f t="shared" si="1"/>
        <v/>
      </c>
      <c r="J364" s="38" t="str">
        <f>IF(A364="","",IFERROR(VLOOKUP(A364,BOOKINGS!$A:$Q,13,FALSE),0))</f>
        <v/>
      </c>
      <c r="K364" s="38" t="str">
        <f t="shared" si="2"/>
        <v/>
      </c>
      <c r="L364" s="38" t="str">
        <f t="shared" si="3"/>
        <v/>
      </c>
    </row>
    <row r="365" ht="15.75" customHeight="1">
      <c r="A365" s="33" t="str">
        <f>IF(BOOKINGS!A365="","",BOOKINGS!A365)</f>
        <v/>
      </c>
      <c r="B365" s="38" t="str">
        <f>IF(A365="","",MAX(VLOOKUP(A365,BOOKINGS!$A:$Q,6,FALSE)*VLOOKUP(VLOOKUP(A365,BOOKINGS!$A:$Q,7,FALSE),SETUP_RATES!$A:$H,3,FALSE),VLOOKUP(VLOOKUP(A365,BOOKINGS!$A:$Q,7,FALSE),SETUP_RATES!$A:$H,2,FALSE)))</f>
        <v/>
      </c>
      <c r="C365" s="38" t="str">
        <f>IF(A365="","",VLOOKUP(A365,BOOKINGS!$A:$Q,10,FALSE)*VLOOKUP(VLOOKUP(A365,BOOKINGS!$A:$Q,7,FALSE),SETUP_RATES!$A:$H,6,FALSE))</f>
        <v/>
      </c>
      <c r="D365" s="38" t="str">
        <f>IF(A365="","",MAX(0,VLOOKUP(A365,TRIP_ACTUALS!$A:$O,8,FALSE)-SETUP_RATES!$K$2)*SETUP_RATES!$K$3)</f>
        <v/>
      </c>
      <c r="E365" s="38" t="str">
        <f>IF(A365="","",VLOOKUP(A365,TRIP_ACTUALS!$A:$O,9,FALSE)*VLOOKUP(VLOOKUP(A365,BOOKINGS!$A:$Q,7,FALSE),SETUP_RATES!$A:$H,5,FALSE))</f>
        <v/>
      </c>
      <c r="F365" s="38" t="str">
        <f>IF(A365="","",IFERROR(VLOOKUP(A365,TRIP_ACTUALS!$A:$O,5,FALSE),0))</f>
        <v/>
      </c>
      <c r="G365" s="38" t="str">
        <f>IF(A365="","",IFERROR(VLOOKUP(A365,TRIP_ACTUALS!$A:$O,6,FALSE),0)+IFERROR(VLOOKUP(A365,TRIP_ACTUALS!$A:$O,7,FALSE),0))</f>
        <v/>
      </c>
      <c r="H365" s="38" t="str">
        <f>IF(A365="","",IFERROR(VLOOKUP(VLOOKUP(A365,BOOKINGS!$A:$Q,7,FALSE),SETUP_RATES!$A:$H,8,FALSE),0))</f>
        <v/>
      </c>
      <c r="I365" s="38" t="str">
        <f t="shared" si="1"/>
        <v/>
      </c>
      <c r="J365" s="38" t="str">
        <f>IF(A365="","",IFERROR(VLOOKUP(A365,BOOKINGS!$A:$Q,13,FALSE),0))</f>
        <v/>
      </c>
      <c r="K365" s="38" t="str">
        <f t="shared" si="2"/>
        <v/>
      </c>
      <c r="L365" s="38" t="str">
        <f t="shared" si="3"/>
        <v/>
      </c>
    </row>
    <row r="366" ht="15.75" customHeight="1">
      <c r="A366" s="33" t="str">
        <f>IF(BOOKINGS!A366="","",BOOKINGS!A366)</f>
        <v/>
      </c>
      <c r="B366" s="38" t="str">
        <f>IF(A366="","",MAX(VLOOKUP(A366,BOOKINGS!$A:$Q,6,FALSE)*VLOOKUP(VLOOKUP(A366,BOOKINGS!$A:$Q,7,FALSE),SETUP_RATES!$A:$H,3,FALSE),VLOOKUP(VLOOKUP(A366,BOOKINGS!$A:$Q,7,FALSE),SETUP_RATES!$A:$H,2,FALSE)))</f>
        <v/>
      </c>
      <c r="C366" s="38" t="str">
        <f>IF(A366="","",VLOOKUP(A366,BOOKINGS!$A:$Q,10,FALSE)*VLOOKUP(VLOOKUP(A366,BOOKINGS!$A:$Q,7,FALSE),SETUP_RATES!$A:$H,6,FALSE))</f>
        <v/>
      </c>
      <c r="D366" s="38" t="str">
        <f>IF(A366="","",MAX(0,VLOOKUP(A366,TRIP_ACTUALS!$A:$O,8,FALSE)-SETUP_RATES!$K$2)*SETUP_RATES!$K$3)</f>
        <v/>
      </c>
      <c r="E366" s="38" t="str">
        <f>IF(A366="","",VLOOKUP(A366,TRIP_ACTUALS!$A:$O,9,FALSE)*VLOOKUP(VLOOKUP(A366,BOOKINGS!$A:$Q,7,FALSE),SETUP_RATES!$A:$H,5,FALSE))</f>
        <v/>
      </c>
      <c r="F366" s="38" t="str">
        <f>IF(A366="","",IFERROR(VLOOKUP(A366,TRIP_ACTUALS!$A:$O,5,FALSE),0))</f>
        <v/>
      </c>
      <c r="G366" s="38" t="str">
        <f>IF(A366="","",IFERROR(VLOOKUP(A366,TRIP_ACTUALS!$A:$O,6,FALSE),0)+IFERROR(VLOOKUP(A366,TRIP_ACTUALS!$A:$O,7,FALSE),0))</f>
        <v/>
      </c>
      <c r="H366" s="38" t="str">
        <f>IF(A366="","",IFERROR(VLOOKUP(VLOOKUP(A366,BOOKINGS!$A:$Q,7,FALSE),SETUP_RATES!$A:$H,8,FALSE),0))</f>
        <v/>
      </c>
      <c r="I366" s="38" t="str">
        <f t="shared" si="1"/>
        <v/>
      </c>
      <c r="J366" s="38" t="str">
        <f>IF(A366="","",IFERROR(VLOOKUP(A366,BOOKINGS!$A:$Q,13,FALSE),0))</f>
        <v/>
      </c>
      <c r="K366" s="38" t="str">
        <f t="shared" si="2"/>
        <v/>
      </c>
      <c r="L366" s="38" t="str">
        <f t="shared" si="3"/>
        <v/>
      </c>
    </row>
    <row r="367" ht="15.75" customHeight="1">
      <c r="A367" s="33" t="str">
        <f>IF(BOOKINGS!A367="","",BOOKINGS!A367)</f>
        <v/>
      </c>
      <c r="B367" s="38" t="str">
        <f>IF(A367="","",MAX(VLOOKUP(A367,BOOKINGS!$A:$Q,6,FALSE)*VLOOKUP(VLOOKUP(A367,BOOKINGS!$A:$Q,7,FALSE),SETUP_RATES!$A:$H,3,FALSE),VLOOKUP(VLOOKUP(A367,BOOKINGS!$A:$Q,7,FALSE),SETUP_RATES!$A:$H,2,FALSE)))</f>
        <v/>
      </c>
      <c r="C367" s="38" t="str">
        <f>IF(A367="","",VLOOKUP(A367,BOOKINGS!$A:$Q,10,FALSE)*VLOOKUP(VLOOKUP(A367,BOOKINGS!$A:$Q,7,FALSE),SETUP_RATES!$A:$H,6,FALSE))</f>
        <v/>
      </c>
      <c r="D367" s="38" t="str">
        <f>IF(A367="","",MAX(0,VLOOKUP(A367,TRIP_ACTUALS!$A:$O,8,FALSE)-SETUP_RATES!$K$2)*SETUP_RATES!$K$3)</f>
        <v/>
      </c>
      <c r="E367" s="38" t="str">
        <f>IF(A367="","",VLOOKUP(A367,TRIP_ACTUALS!$A:$O,9,FALSE)*VLOOKUP(VLOOKUP(A367,BOOKINGS!$A:$Q,7,FALSE),SETUP_RATES!$A:$H,5,FALSE))</f>
        <v/>
      </c>
      <c r="F367" s="38" t="str">
        <f>IF(A367="","",IFERROR(VLOOKUP(A367,TRIP_ACTUALS!$A:$O,5,FALSE),0))</f>
        <v/>
      </c>
      <c r="G367" s="38" t="str">
        <f>IF(A367="","",IFERROR(VLOOKUP(A367,TRIP_ACTUALS!$A:$O,6,FALSE),0)+IFERROR(VLOOKUP(A367,TRIP_ACTUALS!$A:$O,7,FALSE),0))</f>
        <v/>
      </c>
      <c r="H367" s="38" t="str">
        <f>IF(A367="","",IFERROR(VLOOKUP(VLOOKUP(A367,BOOKINGS!$A:$Q,7,FALSE),SETUP_RATES!$A:$H,8,FALSE),0))</f>
        <v/>
      </c>
      <c r="I367" s="38" t="str">
        <f t="shared" si="1"/>
        <v/>
      </c>
      <c r="J367" s="38" t="str">
        <f>IF(A367="","",IFERROR(VLOOKUP(A367,BOOKINGS!$A:$Q,13,FALSE),0))</f>
        <v/>
      </c>
      <c r="K367" s="38" t="str">
        <f t="shared" si="2"/>
        <v/>
      </c>
      <c r="L367" s="38" t="str">
        <f t="shared" si="3"/>
        <v/>
      </c>
    </row>
    <row r="368" ht="15.75" customHeight="1">
      <c r="A368" s="33" t="str">
        <f>IF(BOOKINGS!A368="","",BOOKINGS!A368)</f>
        <v/>
      </c>
      <c r="B368" s="38" t="str">
        <f>IF(A368="","",MAX(VLOOKUP(A368,BOOKINGS!$A:$Q,6,FALSE)*VLOOKUP(VLOOKUP(A368,BOOKINGS!$A:$Q,7,FALSE),SETUP_RATES!$A:$H,3,FALSE),VLOOKUP(VLOOKUP(A368,BOOKINGS!$A:$Q,7,FALSE),SETUP_RATES!$A:$H,2,FALSE)))</f>
        <v/>
      </c>
      <c r="C368" s="38" t="str">
        <f>IF(A368="","",VLOOKUP(A368,BOOKINGS!$A:$Q,10,FALSE)*VLOOKUP(VLOOKUP(A368,BOOKINGS!$A:$Q,7,FALSE),SETUP_RATES!$A:$H,6,FALSE))</f>
        <v/>
      </c>
      <c r="D368" s="38" t="str">
        <f>IF(A368="","",MAX(0,VLOOKUP(A368,TRIP_ACTUALS!$A:$O,8,FALSE)-SETUP_RATES!$K$2)*SETUP_RATES!$K$3)</f>
        <v/>
      </c>
      <c r="E368" s="38" t="str">
        <f>IF(A368="","",VLOOKUP(A368,TRIP_ACTUALS!$A:$O,9,FALSE)*VLOOKUP(VLOOKUP(A368,BOOKINGS!$A:$Q,7,FALSE),SETUP_RATES!$A:$H,5,FALSE))</f>
        <v/>
      </c>
      <c r="F368" s="38" t="str">
        <f>IF(A368="","",IFERROR(VLOOKUP(A368,TRIP_ACTUALS!$A:$O,5,FALSE),0))</f>
        <v/>
      </c>
      <c r="G368" s="38" t="str">
        <f>IF(A368="","",IFERROR(VLOOKUP(A368,TRIP_ACTUALS!$A:$O,6,FALSE),0)+IFERROR(VLOOKUP(A368,TRIP_ACTUALS!$A:$O,7,FALSE),0))</f>
        <v/>
      </c>
      <c r="H368" s="38" t="str">
        <f>IF(A368="","",IFERROR(VLOOKUP(VLOOKUP(A368,BOOKINGS!$A:$Q,7,FALSE),SETUP_RATES!$A:$H,8,FALSE),0))</f>
        <v/>
      </c>
      <c r="I368" s="38" t="str">
        <f t="shared" si="1"/>
        <v/>
      </c>
      <c r="J368" s="38" t="str">
        <f>IF(A368="","",IFERROR(VLOOKUP(A368,BOOKINGS!$A:$Q,13,FALSE),0))</f>
        <v/>
      </c>
      <c r="K368" s="38" t="str">
        <f t="shared" si="2"/>
        <v/>
      </c>
      <c r="L368" s="38" t="str">
        <f t="shared" si="3"/>
        <v/>
      </c>
    </row>
    <row r="369" ht="15.75" customHeight="1">
      <c r="A369" s="33" t="str">
        <f>IF(BOOKINGS!A369="","",BOOKINGS!A369)</f>
        <v/>
      </c>
      <c r="B369" s="38" t="str">
        <f>IF(A369="","",MAX(VLOOKUP(A369,BOOKINGS!$A:$Q,6,FALSE)*VLOOKUP(VLOOKUP(A369,BOOKINGS!$A:$Q,7,FALSE),SETUP_RATES!$A:$H,3,FALSE),VLOOKUP(VLOOKUP(A369,BOOKINGS!$A:$Q,7,FALSE),SETUP_RATES!$A:$H,2,FALSE)))</f>
        <v/>
      </c>
      <c r="C369" s="38" t="str">
        <f>IF(A369="","",VLOOKUP(A369,BOOKINGS!$A:$Q,10,FALSE)*VLOOKUP(VLOOKUP(A369,BOOKINGS!$A:$Q,7,FALSE),SETUP_RATES!$A:$H,6,FALSE))</f>
        <v/>
      </c>
      <c r="D369" s="38" t="str">
        <f>IF(A369="","",MAX(0,VLOOKUP(A369,TRIP_ACTUALS!$A:$O,8,FALSE)-SETUP_RATES!$K$2)*SETUP_RATES!$K$3)</f>
        <v/>
      </c>
      <c r="E369" s="38" t="str">
        <f>IF(A369="","",VLOOKUP(A369,TRIP_ACTUALS!$A:$O,9,FALSE)*VLOOKUP(VLOOKUP(A369,BOOKINGS!$A:$Q,7,FALSE),SETUP_RATES!$A:$H,5,FALSE))</f>
        <v/>
      </c>
      <c r="F369" s="38" t="str">
        <f>IF(A369="","",IFERROR(VLOOKUP(A369,TRIP_ACTUALS!$A:$O,5,FALSE),0))</f>
        <v/>
      </c>
      <c r="G369" s="38" t="str">
        <f>IF(A369="","",IFERROR(VLOOKUP(A369,TRIP_ACTUALS!$A:$O,6,FALSE),0)+IFERROR(VLOOKUP(A369,TRIP_ACTUALS!$A:$O,7,FALSE),0))</f>
        <v/>
      </c>
      <c r="H369" s="38" t="str">
        <f>IF(A369="","",IFERROR(VLOOKUP(VLOOKUP(A369,BOOKINGS!$A:$Q,7,FALSE),SETUP_RATES!$A:$H,8,FALSE),0))</f>
        <v/>
      </c>
      <c r="I369" s="38" t="str">
        <f t="shared" si="1"/>
        <v/>
      </c>
      <c r="J369" s="38" t="str">
        <f>IF(A369="","",IFERROR(VLOOKUP(A369,BOOKINGS!$A:$Q,13,FALSE),0))</f>
        <v/>
      </c>
      <c r="K369" s="38" t="str">
        <f t="shared" si="2"/>
        <v/>
      </c>
      <c r="L369" s="38" t="str">
        <f t="shared" si="3"/>
        <v/>
      </c>
    </row>
    <row r="370" ht="15.75" customHeight="1">
      <c r="A370" s="33" t="str">
        <f>IF(BOOKINGS!A370="","",BOOKINGS!A370)</f>
        <v/>
      </c>
      <c r="B370" s="38" t="str">
        <f>IF(A370="","",MAX(VLOOKUP(A370,BOOKINGS!$A:$Q,6,FALSE)*VLOOKUP(VLOOKUP(A370,BOOKINGS!$A:$Q,7,FALSE),SETUP_RATES!$A:$H,3,FALSE),VLOOKUP(VLOOKUP(A370,BOOKINGS!$A:$Q,7,FALSE),SETUP_RATES!$A:$H,2,FALSE)))</f>
        <v/>
      </c>
      <c r="C370" s="38" t="str">
        <f>IF(A370="","",VLOOKUP(A370,BOOKINGS!$A:$Q,10,FALSE)*VLOOKUP(VLOOKUP(A370,BOOKINGS!$A:$Q,7,FALSE),SETUP_RATES!$A:$H,6,FALSE))</f>
        <v/>
      </c>
      <c r="D370" s="38" t="str">
        <f>IF(A370="","",MAX(0,VLOOKUP(A370,TRIP_ACTUALS!$A:$O,8,FALSE)-SETUP_RATES!$K$2)*SETUP_RATES!$K$3)</f>
        <v/>
      </c>
      <c r="E370" s="38" t="str">
        <f>IF(A370="","",VLOOKUP(A370,TRIP_ACTUALS!$A:$O,9,FALSE)*VLOOKUP(VLOOKUP(A370,BOOKINGS!$A:$Q,7,FALSE),SETUP_RATES!$A:$H,5,FALSE))</f>
        <v/>
      </c>
      <c r="F370" s="38" t="str">
        <f>IF(A370="","",IFERROR(VLOOKUP(A370,TRIP_ACTUALS!$A:$O,5,FALSE),0))</f>
        <v/>
      </c>
      <c r="G370" s="38" t="str">
        <f>IF(A370="","",IFERROR(VLOOKUP(A370,TRIP_ACTUALS!$A:$O,6,FALSE),0)+IFERROR(VLOOKUP(A370,TRIP_ACTUALS!$A:$O,7,FALSE),0))</f>
        <v/>
      </c>
      <c r="H370" s="38" t="str">
        <f>IF(A370="","",IFERROR(VLOOKUP(VLOOKUP(A370,BOOKINGS!$A:$Q,7,FALSE),SETUP_RATES!$A:$H,8,FALSE),0))</f>
        <v/>
      </c>
      <c r="I370" s="38" t="str">
        <f t="shared" si="1"/>
        <v/>
      </c>
      <c r="J370" s="38" t="str">
        <f>IF(A370="","",IFERROR(VLOOKUP(A370,BOOKINGS!$A:$Q,13,FALSE),0))</f>
        <v/>
      </c>
      <c r="K370" s="38" t="str">
        <f t="shared" si="2"/>
        <v/>
      </c>
      <c r="L370" s="38" t="str">
        <f t="shared" si="3"/>
        <v/>
      </c>
    </row>
    <row r="371" ht="15.75" customHeight="1">
      <c r="A371" s="33" t="str">
        <f>IF(BOOKINGS!A371="","",BOOKINGS!A371)</f>
        <v/>
      </c>
      <c r="B371" s="38" t="str">
        <f>IF(A371="","",MAX(VLOOKUP(A371,BOOKINGS!$A:$Q,6,FALSE)*VLOOKUP(VLOOKUP(A371,BOOKINGS!$A:$Q,7,FALSE),SETUP_RATES!$A:$H,3,FALSE),VLOOKUP(VLOOKUP(A371,BOOKINGS!$A:$Q,7,FALSE),SETUP_RATES!$A:$H,2,FALSE)))</f>
        <v/>
      </c>
      <c r="C371" s="38" t="str">
        <f>IF(A371="","",VLOOKUP(A371,BOOKINGS!$A:$Q,10,FALSE)*VLOOKUP(VLOOKUP(A371,BOOKINGS!$A:$Q,7,FALSE),SETUP_RATES!$A:$H,6,FALSE))</f>
        <v/>
      </c>
      <c r="D371" s="38" t="str">
        <f>IF(A371="","",MAX(0,VLOOKUP(A371,TRIP_ACTUALS!$A:$O,8,FALSE)-SETUP_RATES!$K$2)*SETUP_RATES!$K$3)</f>
        <v/>
      </c>
      <c r="E371" s="38" t="str">
        <f>IF(A371="","",VLOOKUP(A371,TRIP_ACTUALS!$A:$O,9,FALSE)*VLOOKUP(VLOOKUP(A371,BOOKINGS!$A:$Q,7,FALSE),SETUP_RATES!$A:$H,5,FALSE))</f>
        <v/>
      </c>
      <c r="F371" s="38" t="str">
        <f>IF(A371="","",IFERROR(VLOOKUP(A371,TRIP_ACTUALS!$A:$O,5,FALSE),0))</f>
        <v/>
      </c>
      <c r="G371" s="38" t="str">
        <f>IF(A371="","",IFERROR(VLOOKUP(A371,TRIP_ACTUALS!$A:$O,6,FALSE),0)+IFERROR(VLOOKUP(A371,TRIP_ACTUALS!$A:$O,7,FALSE),0))</f>
        <v/>
      </c>
      <c r="H371" s="38" t="str">
        <f>IF(A371="","",IFERROR(VLOOKUP(VLOOKUP(A371,BOOKINGS!$A:$Q,7,FALSE),SETUP_RATES!$A:$H,8,FALSE),0))</f>
        <v/>
      </c>
      <c r="I371" s="38" t="str">
        <f t="shared" si="1"/>
        <v/>
      </c>
      <c r="J371" s="38" t="str">
        <f>IF(A371="","",IFERROR(VLOOKUP(A371,BOOKINGS!$A:$Q,13,FALSE),0))</f>
        <v/>
      </c>
      <c r="K371" s="38" t="str">
        <f t="shared" si="2"/>
        <v/>
      </c>
      <c r="L371" s="38" t="str">
        <f t="shared" si="3"/>
        <v/>
      </c>
    </row>
    <row r="372" ht="15.75" customHeight="1">
      <c r="A372" s="33" t="str">
        <f>IF(BOOKINGS!A372="","",BOOKINGS!A372)</f>
        <v/>
      </c>
      <c r="B372" s="38" t="str">
        <f>IF(A372="","",MAX(VLOOKUP(A372,BOOKINGS!$A:$Q,6,FALSE)*VLOOKUP(VLOOKUP(A372,BOOKINGS!$A:$Q,7,FALSE),SETUP_RATES!$A:$H,3,FALSE),VLOOKUP(VLOOKUP(A372,BOOKINGS!$A:$Q,7,FALSE),SETUP_RATES!$A:$H,2,FALSE)))</f>
        <v/>
      </c>
      <c r="C372" s="38" t="str">
        <f>IF(A372="","",VLOOKUP(A372,BOOKINGS!$A:$Q,10,FALSE)*VLOOKUP(VLOOKUP(A372,BOOKINGS!$A:$Q,7,FALSE),SETUP_RATES!$A:$H,6,FALSE))</f>
        <v/>
      </c>
      <c r="D372" s="38" t="str">
        <f>IF(A372="","",MAX(0,VLOOKUP(A372,TRIP_ACTUALS!$A:$O,8,FALSE)-SETUP_RATES!$K$2)*SETUP_RATES!$K$3)</f>
        <v/>
      </c>
      <c r="E372" s="38" t="str">
        <f>IF(A372="","",VLOOKUP(A372,TRIP_ACTUALS!$A:$O,9,FALSE)*VLOOKUP(VLOOKUP(A372,BOOKINGS!$A:$Q,7,FALSE),SETUP_RATES!$A:$H,5,FALSE))</f>
        <v/>
      </c>
      <c r="F372" s="38" t="str">
        <f>IF(A372="","",IFERROR(VLOOKUP(A372,TRIP_ACTUALS!$A:$O,5,FALSE),0))</f>
        <v/>
      </c>
      <c r="G372" s="38" t="str">
        <f>IF(A372="","",IFERROR(VLOOKUP(A372,TRIP_ACTUALS!$A:$O,6,FALSE),0)+IFERROR(VLOOKUP(A372,TRIP_ACTUALS!$A:$O,7,FALSE),0))</f>
        <v/>
      </c>
      <c r="H372" s="38" t="str">
        <f>IF(A372="","",IFERROR(VLOOKUP(VLOOKUP(A372,BOOKINGS!$A:$Q,7,FALSE),SETUP_RATES!$A:$H,8,FALSE),0))</f>
        <v/>
      </c>
      <c r="I372" s="38" t="str">
        <f t="shared" si="1"/>
        <v/>
      </c>
      <c r="J372" s="38" t="str">
        <f>IF(A372="","",IFERROR(VLOOKUP(A372,BOOKINGS!$A:$Q,13,FALSE),0))</f>
        <v/>
      </c>
      <c r="K372" s="38" t="str">
        <f t="shared" si="2"/>
        <v/>
      </c>
      <c r="L372" s="38" t="str">
        <f t="shared" si="3"/>
        <v/>
      </c>
    </row>
    <row r="373" ht="15.75" customHeight="1">
      <c r="A373" s="33" t="str">
        <f>IF(BOOKINGS!A373="","",BOOKINGS!A373)</f>
        <v/>
      </c>
      <c r="B373" s="38" t="str">
        <f>IF(A373="","",MAX(VLOOKUP(A373,BOOKINGS!$A:$Q,6,FALSE)*VLOOKUP(VLOOKUP(A373,BOOKINGS!$A:$Q,7,FALSE),SETUP_RATES!$A:$H,3,FALSE),VLOOKUP(VLOOKUP(A373,BOOKINGS!$A:$Q,7,FALSE),SETUP_RATES!$A:$H,2,FALSE)))</f>
        <v/>
      </c>
      <c r="C373" s="38" t="str">
        <f>IF(A373="","",VLOOKUP(A373,BOOKINGS!$A:$Q,10,FALSE)*VLOOKUP(VLOOKUP(A373,BOOKINGS!$A:$Q,7,FALSE),SETUP_RATES!$A:$H,6,FALSE))</f>
        <v/>
      </c>
      <c r="D373" s="38" t="str">
        <f>IF(A373="","",MAX(0,VLOOKUP(A373,TRIP_ACTUALS!$A:$O,8,FALSE)-SETUP_RATES!$K$2)*SETUP_RATES!$K$3)</f>
        <v/>
      </c>
      <c r="E373" s="38" t="str">
        <f>IF(A373="","",VLOOKUP(A373,TRIP_ACTUALS!$A:$O,9,FALSE)*VLOOKUP(VLOOKUP(A373,BOOKINGS!$A:$Q,7,FALSE),SETUP_RATES!$A:$H,5,FALSE))</f>
        <v/>
      </c>
      <c r="F373" s="38" t="str">
        <f>IF(A373="","",IFERROR(VLOOKUP(A373,TRIP_ACTUALS!$A:$O,5,FALSE),0))</f>
        <v/>
      </c>
      <c r="G373" s="38" t="str">
        <f>IF(A373="","",IFERROR(VLOOKUP(A373,TRIP_ACTUALS!$A:$O,6,FALSE),0)+IFERROR(VLOOKUP(A373,TRIP_ACTUALS!$A:$O,7,FALSE),0))</f>
        <v/>
      </c>
      <c r="H373" s="38" t="str">
        <f>IF(A373="","",IFERROR(VLOOKUP(VLOOKUP(A373,BOOKINGS!$A:$Q,7,FALSE),SETUP_RATES!$A:$H,8,FALSE),0))</f>
        <v/>
      </c>
      <c r="I373" s="38" t="str">
        <f t="shared" si="1"/>
        <v/>
      </c>
      <c r="J373" s="38" t="str">
        <f>IF(A373="","",IFERROR(VLOOKUP(A373,BOOKINGS!$A:$Q,13,FALSE),0))</f>
        <v/>
      </c>
      <c r="K373" s="38" t="str">
        <f t="shared" si="2"/>
        <v/>
      </c>
      <c r="L373" s="38" t="str">
        <f t="shared" si="3"/>
        <v/>
      </c>
    </row>
    <row r="374" ht="15.75" customHeight="1">
      <c r="A374" s="33" t="str">
        <f>IF(BOOKINGS!A374="","",BOOKINGS!A374)</f>
        <v/>
      </c>
      <c r="B374" s="38" t="str">
        <f>IF(A374="","",MAX(VLOOKUP(A374,BOOKINGS!$A:$Q,6,FALSE)*VLOOKUP(VLOOKUP(A374,BOOKINGS!$A:$Q,7,FALSE),SETUP_RATES!$A:$H,3,FALSE),VLOOKUP(VLOOKUP(A374,BOOKINGS!$A:$Q,7,FALSE),SETUP_RATES!$A:$H,2,FALSE)))</f>
        <v/>
      </c>
      <c r="C374" s="38" t="str">
        <f>IF(A374="","",VLOOKUP(A374,BOOKINGS!$A:$Q,10,FALSE)*VLOOKUP(VLOOKUP(A374,BOOKINGS!$A:$Q,7,FALSE),SETUP_RATES!$A:$H,6,FALSE))</f>
        <v/>
      </c>
      <c r="D374" s="38" t="str">
        <f>IF(A374="","",MAX(0,VLOOKUP(A374,TRIP_ACTUALS!$A:$O,8,FALSE)-SETUP_RATES!$K$2)*SETUP_RATES!$K$3)</f>
        <v/>
      </c>
      <c r="E374" s="38" t="str">
        <f>IF(A374="","",VLOOKUP(A374,TRIP_ACTUALS!$A:$O,9,FALSE)*VLOOKUP(VLOOKUP(A374,BOOKINGS!$A:$Q,7,FALSE),SETUP_RATES!$A:$H,5,FALSE))</f>
        <v/>
      </c>
      <c r="F374" s="38" t="str">
        <f>IF(A374="","",IFERROR(VLOOKUP(A374,TRIP_ACTUALS!$A:$O,5,FALSE),0))</f>
        <v/>
      </c>
      <c r="G374" s="38" t="str">
        <f>IF(A374="","",IFERROR(VLOOKUP(A374,TRIP_ACTUALS!$A:$O,6,FALSE),0)+IFERROR(VLOOKUP(A374,TRIP_ACTUALS!$A:$O,7,FALSE),0))</f>
        <v/>
      </c>
      <c r="H374" s="38" t="str">
        <f>IF(A374="","",IFERROR(VLOOKUP(VLOOKUP(A374,BOOKINGS!$A:$Q,7,FALSE),SETUP_RATES!$A:$H,8,FALSE),0))</f>
        <v/>
      </c>
      <c r="I374" s="38" t="str">
        <f t="shared" si="1"/>
        <v/>
      </c>
      <c r="J374" s="38" t="str">
        <f>IF(A374="","",IFERROR(VLOOKUP(A374,BOOKINGS!$A:$Q,13,FALSE),0))</f>
        <v/>
      </c>
      <c r="K374" s="38" t="str">
        <f t="shared" si="2"/>
        <v/>
      </c>
      <c r="L374" s="38" t="str">
        <f t="shared" si="3"/>
        <v/>
      </c>
    </row>
    <row r="375" ht="15.75" customHeight="1">
      <c r="A375" s="33" t="str">
        <f>IF(BOOKINGS!A375="","",BOOKINGS!A375)</f>
        <v/>
      </c>
      <c r="B375" s="38" t="str">
        <f>IF(A375="","",MAX(VLOOKUP(A375,BOOKINGS!$A:$Q,6,FALSE)*VLOOKUP(VLOOKUP(A375,BOOKINGS!$A:$Q,7,FALSE),SETUP_RATES!$A:$H,3,FALSE),VLOOKUP(VLOOKUP(A375,BOOKINGS!$A:$Q,7,FALSE),SETUP_RATES!$A:$H,2,FALSE)))</f>
        <v/>
      </c>
      <c r="C375" s="38" t="str">
        <f>IF(A375="","",VLOOKUP(A375,BOOKINGS!$A:$Q,10,FALSE)*VLOOKUP(VLOOKUP(A375,BOOKINGS!$A:$Q,7,FALSE),SETUP_RATES!$A:$H,6,FALSE))</f>
        <v/>
      </c>
      <c r="D375" s="38" t="str">
        <f>IF(A375="","",MAX(0,VLOOKUP(A375,TRIP_ACTUALS!$A:$O,8,FALSE)-SETUP_RATES!$K$2)*SETUP_RATES!$K$3)</f>
        <v/>
      </c>
      <c r="E375" s="38" t="str">
        <f>IF(A375="","",VLOOKUP(A375,TRIP_ACTUALS!$A:$O,9,FALSE)*VLOOKUP(VLOOKUP(A375,BOOKINGS!$A:$Q,7,FALSE),SETUP_RATES!$A:$H,5,FALSE))</f>
        <v/>
      </c>
      <c r="F375" s="38" t="str">
        <f>IF(A375="","",IFERROR(VLOOKUP(A375,TRIP_ACTUALS!$A:$O,5,FALSE),0))</f>
        <v/>
      </c>
      <c r="G375" s="38" t="str">
        <f>IF(A375="","",IFERROR(VLOOKUP(A375,TRIP_ACTUALS!$A:$O,6,FALSE),0)+IFERROR(VLOOKUP(A375,TRIP_ACTUALS!$A:$O,7,FALSE),0))</f>
        <v/>
      </c>
      <c r="H375" s="38" t="str">
        <f>IF(A375="","",IFERROR(VLOOKUP(VLOOKUP(A375,BOOKINGS!$A:$Q,7,FALSE),SETUP_RATES!$A:$H,8,FALSE),0))</f>
        <v/>
      </c>
      <c r="I375" s="38" t="str">
        <f t="shared" si="1"/>
        <v/>
      </c>
      <c r="J375" s="38" t="str">
        <f>IF(A375="","",IFERROR(VLOOKUP(A375,BOOKINGS!$A:$Q,13,FALSE),0))</f>
        <v/>
      </c>
      <c r="K375" s="38" t="str">
        <f t="shared" si="2"/>
        <v/>
      </c>
      <c r="L375" s="38" t="str">
        <f t="shared" si="3"/>
        <v/>
      </c>
    </row>
    <row r="376" ht="15.75" customHeight="1">
      <c r="A376" s="33" t="str">
        <f>IF(BOOKINGS!A376="","",BOOKINGS!A376)</f>
        <v/>
      </c>
      <c r="B376" s="38" t="str">
        <f>IF(A376="","",MAX(VLOOKUP(A376,BOOKINGS!$A:$Q,6,FALSE)*VLOOKUP(VLOOKUP(A376,BOOKINGS!$A:$Q,7,FALSE),SETUP_RATES!$A:$H,3,FALSE),VLOOKUP(VLOOKUP(A376,BOOKINGS!$A:$Q,7,FALSE),SETUP_RATES!$A:$H,2,FALSE)))</f>
        <v/>
      </c>
      <c r="C376" s="38" t="str">
        <f>IF(A376="","",VLOOKUP(A376,BOOKINGS!$A:$Q,10,FALSE)*VLOOKUP(VLOOKUP(A376,BOOKINGS!$A:$Q,7,FALSE),SETUP_RATES!$A:$H,6,FALSE))</f>
        <v/>
      </c>
      <c r="D376" s="38" t="str">
        <f>IF(A376="","",MAX(0,VLOOKUP(A376,TRIP_ACTUALS!$A:$O,8,FALSE)-SETUP_RATES!$K$2)*SETUP_RATES!$K$3)</f>
        <v/>
      </c>
      <c r="E376" s="38" t="str">
        <f>IF(A376="","",VLOOKUP(A376,TRIP_ACTUALS!$A:$O,9,FALSE)*VLOOKUP(VLOOKUP(A376,BOOKINGS!$A:$Q,7,FALSE),SETUP_RATES!$A:$H,5,FALSE))</f>
        <v/>
      </c>
      <c r="F376" s="38" t="str">
        <f>IF(A376="","",IFERROR(VLOOKUP(A376,TRIP_ACTUALS!$A:$O,5,FALSE),0))</f>
        <v/>
      </c>
      <c r="G376" s="38" t="str">
        <f>IF(A376="","",IFERROR(VLOOKUP(A376,TRIP_ACTUALS!$A:$O,6,FALSE),0)+IFERROR(VLOOKUP(A376,TRIP_ACTUALS!$A:$O,7,FALSE),0))</f>
        <v/>
      </c>
      <c r="H376" s="38" t="str">
        <f>IF(A376="","",IFERROR(VLOOKUP(VLOOKUP(A376,BOOKINGS!$A:$Q,7,FALSE),SETUP_RATES!$A:$H,8,FALSE),0))</f>
        <v/>
      </c>
      <c r="I376" s="38" t="str">
        <f t="shared" si="1"/>
        <v/>
      </c>
      <c r="J376" s="38" t="str">
        <f>IF(A376="","",IFERROR(VLOOKUP(A376,BOOKINGS!$A:$Q,13,FALSE),0))</f>
        <v/>
      </c>
      <c r="K376" s="38" t="str">
        <f t="shared" si="2"/>
        <v/>
      </c>
      <c r="L376" s="38" t="str">
        <f t="shared" si="3"/>
        <v/>
      </c>
    </row>
    <row r="377" ht="15.75" customHeight="1">
      <c r="A377" s="33" t="str">
        <f>IF(BOOKINGS!A377="","",BOOKINGS!A377)</f>
        <v/>
      </c>
      <c r="B377" s="38" t="str">
        <f>IF(A377="","",MAX(VLOOKUP(A377,BOOKINGS!$A:$Q,6,FALSE)*VLOOKUP(VLOOKUP(A377,BOOKINGS!$A:$Q,7,FALSE),SETUP_RATES!$A:$H,3,FALSE),VLOOKUP(VLOOKUP(A377,BOOKINGS!$A:$Q,7,FALSE),SETUP_RATES!$A:$H,2,FALSE)))</f>
        <v/>
      </c>
      <c r="C377" s="38" t="str">
        <f>IF(A377="","",VLOOKUP(A377,BOOKINGS!$A:$Q,10,FALSE)*VLOOKUP(VLOOKUP(A377,BOOKINGS!$A:$Q,7,FALSE),SETUP_RATES!$A:$H,6,FALSE))</f>
        <v/>
      </c>
      <c r="D377" s="38" t="str">
        <f>IF(A377="","",MAX(0,VLOOKUP(A377,TRIP_ACTUALS!$A:$O,8,FALSE)-SETUP_RATES!$K$2)*SETUP_RATES!$K$3)</f>
        <v/>
      </c>
      <c r="E377" s="38" t="str">
        <f>IF(A377="","",VLOOKUP(A377,TRIP_ACTUALS!$A:$O,9,FALSE)*VLOOKUP(VLOOKUP(A377,BOOKINGS!$A:$Q,7,FALSE),SETUP_RATES!$A:$H,5,FALSE))</f>
        <v/>
      </c>
      <c r="F377" s="38" t="str">
        <f>IF(A377="","",IFERROR(VLOOKUP(A377,TRIP_ACTUALS!$A:$O,5,FALSE),0))</f>
        <v/>
      </c>
      <c r="G377" s="38" t="str">
        <f>IF(A377="","",IFERROR(VLOOKUP(A377,TRIP_ACTUALS!$A:$O,6,FALSE),0)+IFERROR(VLOOKUP(A377,TRIP_ACTUALS!$A:$O,7,FALSE),0))</f>
        <v/>
      </c>
      <c r="H377" s="38" t="str">
        <f>IF(A377="","",IFERROR(VLOOKUP(VLOOKUP(A377,BOOKINGS!$A:$Q,7,FALSE),SETUP_RATES!$A:$H,8,FALSE),0))</f>
        <v/>
      </c>
      <c r="I377" s="38" t="str">
        <f t="shared" si="1"/>
        <v/>
      </c>
      <c r="J377" s="38" t="str">
        <f>IF(A377="","",IFERROR(VLOOKUP(A377,BOOKINGS!$A:$Q,13,FALSE),0))</f>
        <v/>
      </c>
      <c r="K377" s="38" t="str">
        <f t="shared" si="2"/>
        <v/>
      </c>
      <c r="L377" s="38" t="str">
        <f t="shared" si="3"/>
        <v/>
      </c>
    </row>
    <row r="378" ht="15.75" customHeight="1">
      <c r="A378" s="33" t="str">
        <f>IF(BOOKINGS!A378="","",BOOKINGS!A378)</f>
        <v/>
      </c>
      <c r="B378" s="38" t="str">
        <f>IF(A378="","",MAX(VLOOKUP(A378,BOOKINGS!$A:$Q,6,FALSE)*VLOOKUP(VLOOKUP(A378,BOOKINGS!$A:$Q,7,FALSE),SETUP_RATES!$A:$H,3,FALSE),VLOOKUP(VLOOKUP(A378,BOOKINGS!$A:$Q,7,FALSE),SETUP_RATES!$A:$H,2,FALSE)))</f>
        <v/>
      </c>
      <c r="C378" s="38" t="str">
        <f>IF(A378="","",VLOOKUP(A378,BOOKINGS!$A:$Q,10,FALSE)*VLOOKUP(VLOOKUP(A378,BOOKINGS!$A:$Q,7,FALSE),SETUP_RATES!$A:$H,6,FALSE))</f>
        <v/>
      </c>
      <c r="D378" s="38" t="str">
        <f>IF(A378="","",MAX(0,VLOOKUP(A378,TRIP_ACTUALS!$A:$O,8,FALSE)-SETUP_RATES!$K$2)*SETUP_RATES!$K$3)</f>
        <v/>
      </c>
      <c r="E378" s="38" t="str">
        <f>IF(A378="","",VLOOKUP(A378,TRIP_ACTUALS!$A:$O,9,FALSE)*VLOOKUP(VLOOKUP(A378,BOOKINGS!$A:$Q,7,FALSE),SETUP_RATES!$A:$H,5,FALSE))</f>
        <v/>
      </c>
      <c r="F378" s="38" t="str">
        <f>IF(A378="","",IFERROR(VLOOKUP(A378,TRIP_ACTUALS!$A:$O,5,FALSE),0))</f>
        <v/>
      </c>
      <c r="G378" s="38" t="str">
        <f>IF(A378="","",IFERROR(VLOOKUP(A378,TRIP_ACTUALS!$A:$O,6,FALSE),0)+IFERROR(VLOOKUP(A378,TRIP_ACTUALS!$A:$O,7,FALSE),0))</f>
        <v/>
      </c>
      <c r="H378" s="38" t="str">
        <f>IF(A378="","",IFERROR(VLOOKUP(VLOOKUP(A378,BOOKINGS!$A:$Q,7,FALSE),SETUP_RATES!$A:$H,8,FALSE),0))</f>
        <v/>
      </c>
      <c r="I378" s="38" t="str">
        <f t="shared" si="1"/>
        <v/>
      </c>
      <c r="J378" s="38" t="str">
        <f>IF(A378="","",IFERROR(VLOOKUP(A378,BOOKINGS!$A:$Q,13,FALSE),0))</f>
        <v/>
      </c>
      <c r="K378" s="38" t="str">
        <f t="shared" si="2"/>
        <v/>
      </c>
      <c r="L378" s="38" t="str">
        <f t="shared" si="3"/>
        <v/>
      </c>
    </row>
    <row r="379" ht="15.75" customHeight="1">
      <c r="A379" s="33" t="str">
        <f>IF(BOOKINGS!A379="","",BOOKINGS!A379)</f>
        <v/>
      </c>
      <c r="B379" s="38" t="str">
        <f>IF(A379="","",MAX(VLOOKUP(A379,BOOKINGS!$A:$Q,6,FALSE)*VLOOKUP(VLOOKUP(A379,BOOKINGS!$A:$Q,7,FALSE),SETUP_RATES!$A:$H,3,FALSE),VLOOKUP(VLOOKUP(A379,BOOKINGS!$A:$Q,7,FALSE),SETUP_RATES!$A:$H,2,FALSE)))</f>
        <v/>
      </c>
      <c r="C379" s="38" t="str">
        <f>IF(A379="","",VLOOKUP(A379,BOOKINGS!$A:$Q,10,FALSE)*VLOOKUP(VLOOKUP(A379,BOOKINGS!$A:$Q,7,FALSE),SETUP_RATES!$A:$H,6,FALSE))</f>
        <v/>
      </c>
      <c r="D379" s="38" t="str">
        <f>IF(A379="","",MAX(0,VLOOKUP(A379,TRIP_ACTUALS!$A:$O,8,FALSE)-SETUP_RATES!$K$2)*SETUP_RATES!$K$3)</f>
        <v/>
      </c>
      <c r="E379" s="38" t="str">
        <f>IF(A379="","",VLOOKUP(A379,TRIP_ACTUALS!$A:$O,9,FALSE)*VLOOKUP(VLOOKUP(A379,BOOKINGS!$A:$Q,7,FALSE),SETUP_RATES!$A:$H,5,FALSE))</f>
        <v/>
      </c>
      <c r="F379" s="38" t="str">
        <f>IF(A379="","",IFERROR(VLOOKUP(A379,TRIP_ACTUALS!$A:$O,5,FALSE),0))</f>
        <v/>
      </c>
      <c r="G379" s="38" t="str">
        <f>IF(A379="","",IFERROR(VLOOKUP(A379,TRIP_ACTUALS!$A:$O,6,FALSE),0)+IFERROR(VLOOKUP(A379,TRIP_ACTUALS!$A:$O,7,FALSE),0))</f>
        <v/>
      </c>
      <c r="H379" s="38" t="str">
        <f>IF(A379="","",IFERROR(VLOOKUP(VLOOKUP(A379,BOOKINGS!$A:$Q,7,FALSE),SETUP_RATES!$A:$H,8,FALSE),0))</f>
        <v/>
      </c>
      <c r="I379" s="38" t="str">
        <f t="shared" si="1"/>
        <v/>
      </c>
      <c r="J379" s="38" t="str">
        <f>IF(A379="","",IFERROR(VLOOKUP(A379,BOOKINGS!$A:$Q,13,FALSE),0))</f>
        <v/>
      </c>
      <c r="K379" s="38" t="str">
        <f t="shared" si="2"/>
        <v/>
      </c>
      <c r="L379" s="38" t="str">
        <f t="shared" si="3"/>
        <v/>
      </c>
    </row>
    <row r="380" ht="15.75" customHeight="1">
      <c r="A380" s="33" t="str">
        <f>IF(BOOKINGS!A380="","",BOOKINGS!A380)</f>
        <v/>
      </c>
      <c r="B380" s="38" t="str">
        <f>IF(A380="","",MAX(VLOOKUP(A380,BOOKINGS!$A:$Q,6,FALSE)*VLOOKUP(VLOOKUP(A380,BOOKINGS!$A:$Q,7,FALSE),SETUP_RATES!$A:$H,3,FALSE),VLOOKUP(VLOOKUP(A380,BOOKINGS!$A:$Q,7,FALSE),SETUP_RATES!$A:$H,2,FALSE)))</f>
        <v/>
      </c>
      <c r="C380" s="38" t="str">
        <f>IF(A380="","",VLOOKUP(A380,BOOKINGS!$A:$Q,10,FALSE)*VLOOKUP(VLOOKUP(A380,BOOKINGS!$A:$Q,7,FALSE),SETUP_RATES!$A:$H,6,FALSE))</f>
        <v/>
      </c>
      <c r="D380" s="38" t="str">
        <f>IF(A380="","",MAX(0,VLOOKUP(A380,TRIP_ACTUALS!$A:$O,8,FALSE)-SETUP_RATES!$K$2)*SETUP_RATES!$K$3)</f>
        <v/>
      </c>
      <c r="E380" s="38" t="str">
        <f>IF(A380="","",VLOOKUP(A380,TRIP_ACTUALS!$A:$O,9,FALSE)*VLOOKUP(VLOOKUP(A380,BOOKINGS!$A:$Q,7,FALSE),SETUP_RATES!$A:$H,5,FALSE))</f>
        <v/>
      </c>
      <c r="F380" s="38" t="str">
        <f>IF(A380="","",IFERROR(VLOOKUP(A380,TRIP_ACTUALS!$A:$O,5,FALSE),0))</f>
        <v/>
      </c>
      <c r="G380" s="38" t="str">
        <f>IF(A380="","",IFERROR(VLOOKUP(A380,TRIP_ACTUALS!$A:$O,6,FALSE),0)+IFERROR(VLOOKUP(A380,TRIP_ACTUALS!$A:$O,7,FALSE),0))</f>
        <v/>
      </c>
      <c r="H380" s="38" t="str">
        <f>IF(A380="","",IFERROR(VLOOKUP(VLOOKUP(A380,BOOKINGS!$A:$Q,7,FALSE),SETUP_RATES!$A:$H,8,FALSE),0))</f>
        <v/>
      </c>
      <c r="I380" s="38" t="str">
        <f t="shared" si="1"/>
        <v/>
      </c>
      <c r="J380" s="38" t="str">
        <f>IF(A380="","",IFERROR(VLOOKUP(A380,BOOKINGS!$A:$Q,13,FALSE),0))</f>
        <v/>
      </c>
      <c r="K380" s="38" t="str">
        <f t="shared" si="2"/>
        <v/>
      </c>
      <c r="L380" s="38" t="str">
        <f t="shared" si="3"/>
        <v/>
      </c>
    </row>
    <row r="381" ht="15.75" customHeight="1">
      <c r="A381" s="33" t="str">
        <f>IF(BOOKINGS!A381="","",BOOKINGS!A381)</f>
        <v/>
      </c>
      <c r="B381" s="38" t="str">
        <f>IF(A381="","",MAX(VLOOKUP(A381,BOOKINGS!$A:$Q,6,FALSE)*VLOOKUP(VLOOKUP(A381,BOOKINGS!$A:$Q,7,FALSE),SETUP_RATES!$A:$H,3,FALSE),VLOOKUP(VLOOKUP(A381,BOOKINGS!$A:$Q,7,FALSE),SETUP_RATES!$A:$H,2,FALSE)))</f>
        <v/>
      </c>
      <c r="C381" s="38" t="str">
        <f>IF(A381="","",VLOOKUP(A381,BOOKINGS!$A:$Q,10,FALSE)*VLOOKUP(VLOOKUP(A381,BOOKINGS!$A:$Q,7,FALSE),SETUP_RATES!$A:$H,6,FALSE))</f>
        <v/>
      </c>
      <c r="D381" s="38" t="str">
        <f>IF(A381="","",MAX(0,VLOOKUP(A381,TRIP_ACTUALS!$A:$O,8,FALSE)-SETUP_RATES!$K$2)*SETUP_RATES!$K$3)</f>
        <v/>
      </c>
      <c r="E381" s="38" t="str">
        <f>IF(A381="","",VLOOKUP(A381,TRIP_ACTUALS!$A:$O,9,FALSE)*VLOOKUP(VLOOKUP(A381,BOOKINGS!$A:$Q,7,FALSE),SETUP_RATES!$A:$H,5,FALSE))</f>
        <v/>
      </c>
      <c r="F381" s="38" t="str">
        <f>IF(A381="","",IFERROR(VLOOKUP(A381,TRIP_ACTUALS!$A:$O,5,FALSE),0))</f>
        <v/>
      </c>
      <c r="G381" s="38" t="str">
        <f>IF(A381="","",IFERROR(VLOOKUP(A381,TRIP_ACTUALS!$A:$O,6,FALSE),0)+IFERROR(VLOOKUP(A381,TRIP_ACTUALS!$A:$O,7,FALSE),0))</f>
        <v/>
      </c>
      <c r="H381" s="38" t="str">
        <f>IF(A381="","",IFERROR(VLOOKUP(VLOOKUP(A381,BOOKINGS!$A:$Q,7,FALSE),SETUP_RATES!$A:$H,8,FALSE),0))</f>
        <v/>
      </c>
      <c r="I381" s="38" t="str">
        <f t="shared" si="1"/>
        <v/>
      </c>
      <c r="J381" s="38" t="str">
        <f>IF(A381="","",IFERROR(VLOOKUP(A381,BOOKINGS!$A:$Q,13,FALSE),0))</f>
        <v/>
      </c>
      <c r="K381" s="38" t="str">
        <f t="shared" si="2"/>
        <v/>
      </c>
      <c r="L381" s="38" t="str">
        <f t="shared" si="3"/>
        <v/>
      </c>
    </row>
    <row r="382" ht="15.75" customHeight="1">
      <c r="A382" s="33" t="str">
        <f>IF(BOOKINGS!A382="","",BOOKINGS!A382)</f>
        <v/>
      </c>
      <c r="B382" s="38" t="str">
        <f>IF(A382="","",MAX(VLOOKUP(A382,BOOKINGS!$A:$Q,6,FALSE)*VLOOKUP(VLOOKUP(A382,BOOKINGS!$A:$Q,7,FALSE),SETUP_RATES!$A:$H,3,FALSE),VLOOKUP(VLOOKUP(A382,BOOKINGS!$A:$Q,7,FALSE),SETUP_RATES!$A:$H,2,FALSE)))</f>
        <v/>
      </c>
      <c r="C382" s="38" t="str">
        <f>IF(A382="","",VLOOKUP(A382,BOOKINGS!$A:$Q,10,FALSE)*VLOOKUP(VLOOKUP(A382,BOOKINGS!$A:$Q,7,FALSE),SETUP_RATES!$A:$H,6,FALSE))</f>
        <v/>
      </c>
      <c r="D382" s="38" t="str">
        <f>IF(A382="","",MAX(0,VLOOKUP(A382,TRIP_ACTUALS!$A:$O,8,FALSE)-SETUP_RATES!$K$2)*SETUP_RATES!$K$3)</f>
        <v/>
      </c>
      <c r="E382" s="38" t="str">
        <f>IF(A382="","",VLOOKUP(A382,TRIP_ACTUALS!$A:$O,9,FALSE)*VLOOKUP(VLOOKUP(A382,BOOKINGS!$A:$Q,7,FALSE),SETUP_RATES!$A:$H,5,FALSE))</f>
        <v/>
      </c>
      <c r="F382" s="38" t="str">
        <f>IF(A382="","",IFERROR(VLOOKUP(A382,TRIP_ACTUALS!$A:$O,5,FALSE),0))</f>
        <v/>
      </c>
      <c r="G382" s="38" t="str">
        <f>IF(A382="","",IFERROR(VLOOKUP(A382,TRIP_ACTUALS!$A:$O,6,FALSE),0)+IFERROR(VLOOKUP(A382,TRIP_ACTUALS!$A:$O,7,FALSE),0))</f>
        <v/>
      </c>
      <c r="H382" s="38" t="str">
        <f>IF(A382="","",IFERROR(VLOOKUP(VLOOKUP(A382,BOOKINGS!$A:$Q,7,FALSE),SETUP_RATES!$A:$H,8,FALSE),0))</f>
        <v/>
      </c>
      <c r="I382" s="38" t="str">
        <f t="shared" si="1"/>
        <v/>
      </c>
      <c r="J382" s="38" t="str">
        <f>IF(A382="","",IFERROR(VLOOKUP(A382,BOOKINGS!$A:$Q,13,FALSE),0))</f>
        <v/>
      </c>
      <c r="K382" s="38" t="str">
        <f t="shared" si="2"/>
        <v/>
      </c>
      <c r="L382" s="38" t="str">
        <f t="shared" si="3"/>
        <v/>
      </c>
    </row>
    <row r="383" ht="15.75" customHeight="1">
      <c r="A383" s="33" t="str">
        <f>IF(BOOKINGS!A383="","",BOOKINGS!A383)</f>
        <v/>
      </c>
      <c r="B383" s="38" t="str">
        <f>IF(A383="","",MAX(VLOOKUP(A383,BOOKINGS!$A:$Q,6,FALSE)*VLOOKUP(VLOOKUP(A383,BOOKINGS!$A:$Q,7,FALSE),SETUP_RATES!$A:$H,3,FALSE),VLOOKUP(VLOOKUP(A383,BOOKINGS!$A:$Q,7,FALSE),SETUP_RATES!$A:$H,2,FALSE)))</f>
        <v/>
      </c>
      <c r="C383" s="38" t="str">
        <f>IF(A383="","",VLOOKUP(A383,BOOKINGS!$A:$Q,10,FALSE)*VLOOKUP(VLOOKUP(A383,BOOKINGS!$A:$Q,7,FALSE),SETUP_RATES!$A:$H,6,FALSE))</f>
        <v/>
      </c>
      <c r="D383" s="38" t="str">
        <f>IF(A383="","",MAX(0,VLOOKUP(A383,TRIP_ACTUALS!$A:$O,8,FALSE)-SETUP_RATES!$K$2)*SETUP_RATES!$K$3)</f>
        <v/>
      </c>
      <c r="E383" s="38" t="str">
        <f>IF(A383="","",VLOOKUP(A383,TRIP_ACTUALS!$A:$O,9,FALSE)*VLOOKUP(VLOOKUP(A383,BOOKINGS!$A:$Q,7,FALSE),SETUP_RATES!$A:$H,5,FALSE))</f>
        <v/>
      </c>
      <c r="F383" s="38" t="str">
        <f>IF(A383="","",IFERROR(VLOOKUP(A383,TRIP_ACTUALS!$A:$O,5,FALSE),0))</f>
        <v/>
      </c>
      <c r="G383" s="38" t="str">
        <f>IF(A383="","",IFERROR(VLOOKUP(A383,TRIP_ACTUALS!$A:$O,6,FALSE),0)+IFERROR(VLOOKUP(A383,TRIP_ACTUALS!$A:$O,7,FALSE),0))</f>
        <v/>
      </c>
      <c r="H383" s="38" t="str">
        <f>IF(A383="","",IFERROR(VLOOKUP(VLOOKUP(A383,BOOKINGS!$A:$Q,7,FALSE),SETUP_RATES!$A:$H,8,FALSE),0))</f>
        <v/>
      </c>
      <c r="I383" s="38" t="str">
        <f t="shared" si="1"/>
        <v/>
      </c>
      <c r="J383" s="38" t="str">
        <f>IF(A383="","",IFERROR(VLOOKUP(A383,BOOKINGS!$A:$Q,13,FALSE),0))</f>
        <v/>
      </c>
      <c r="K383" s="38" t="str">
        <f t="shared" si="2"/>
        <v/>
      </c>
      <c r="L383" s="38" t="str">
        <f t="shared" si="3"/>
        <v/>
      </c>
    </row>
    <row r="384" ht="15.75" customHeight="1">
      <c r="A384" s="33" t="str">
        <f>IF(BOOKINGS!A384="","",BOOKINGS!A384)</f>
        <v/>
      </c>
      <c r="B384" s="38" t="str">
        <f>IF(A384="","",MAX(VLOOKUP(A384,BOOKINGS!$A:$Q,6,FALSE)*VLOOKUP(VLOOKUP(A384,BOOKINGS!$A:$Q,7,FALSE),SETUP_RATES!$A:$H,3,FALSE),VLOOKUP(VLOOKUP(A384,BOOKINGS!$A:$Q,7,FALSE),SETUP_RATES!$A:$H,2,FALSE)))</f>
        <v/>
      </c>
      <c r="C384" s="38" t="str">
        <f>IF(A384="","",VLOOKUP(A384,BOOKINGS!$A:$Q,10,FALSE)*VLOOKUP(VLOOKUP(A384,BOOKINGS!$A:$Q,7,FALSE),SETUP_RATES!$A:$H,6,FALSE))</f>
        <v/>
      </c>
      <c r="D384" s="38" t="str">
        <f>IF(A384="","",MAX(0,VLOOKUP(A384,TRIP_ACTUALS!$A:$O,8,FALSE)-SETUP_RATES!$K$2)*SETUP_RATES!$K$3)</f>
        <v/>
      </c>
      <c r="E384" s="38" t="str">
        <f>IF(A384="","",VLOOKUP(A384,TRIP_ACTUALS!$A:$O,9,FALSE)*VLOOKUP(VLOOKUP(A384,BOOKINGS!$A:$Q,7,FALSE),SETUP_RATES!$A:$H,5,FALSE))</f>
        <v/>
      </c>
      <c r="F384" s="38" t="str">
        <f>IF(A384="","",IFERROR(VLOOKUP(A384,TRIP_ACTUALS!$A:$O,5,FALSE),0))</f>
        <v/>
      </c>
      <c r="G384" s="38" t="str">
        <f>IF(A384="","",IFERROR(VLOOKUP(A384,TRIP_ACTUALS!$A:$O,6,FALSE),0)+IFERROR(VLOOKUP(A384,TRIP_ACTUALS!$A:$O,7,FALSE),0))</f>
        <v/>
      </c>
      <c r="H384" s="38" t="str">
        <f>IF(A384="","",IFERROR(VLOOKUP(VLOOKUP(A384,BOOKINGS!$A:$Q,7,FALSE),SETUP_RATES!$A:$H,8,FALSE),0))</f>
        <v/>
      </c>
      <c r="I384" s="38" t="str">
        <f t="shared" si="1"/>
        <v/>
      </c>
      <c r="J384" s="38" t="str">
        <f>IF(A384="","",IFERROR(VLOOKUP(A384,BOOKINGS!$A:$Q,13,FALSE),0))</f>
        <v/>
      </c>
      <c r="K384" s="38" t="str">
        <f t="shared" si="2"/>
        <v/>
      </c>
      <c r="L384" s="38" t="str">
        <f t="shared" si="3"/>
        <v/>
      </c>
    </row>
    <row r="385" ht="15.75" customHeight="1">
      <c r="A385" s="33" t="str">
        <f>IF(BOOKINGS!A385="","",BOOKINGS!A385)</f>
        <v/>
      </c>
      <c r="B385" s="38" t="str">
        <f>IF(A385="","",MAX(VLOOKUP(A385,BOOKINGS!$A:$Q,6,FALSE)*VLOOKUP(VLOOKUP(A385,BOOKINGS!$A:$Q,7,FALSE),SETUP_RATES!$A:$H,3,FALSE),VLOOKUP(VLOOKUP(A385,BOOKINGS!$A:$Q,7,FALSE),SETUP_RATES!$A:$H,2,FALSE)))</f>
        <v/>
      </c>
      <c r="C385" s="38" t="str">
        <f>IF(A385="","",VLOOKUP(A385,BOOKINGS!$A:$Q,10,FALSE)*VLOOKUP(VLOOKUP(A385,BOOKINGS!$A:$Q,7,FALSE),SETUP_RATES!$A:$H,6,FALSE))</f>
        <v/>
      </c>
      <c r="D385" s="38" t="str">
        <f>IF(A385="","",MAX(0,VLOOKUP(A385,TRIP_ACTUALS!$A:$O,8,FALSE)-SETUP_RATES!$K$2)*SETUP_RATES!$K$3)</f>
        <v/>
      </c>
      <c r="E385" s="38" t="str">
        <f>IF(A385="","",VLOOKUP(A385,TRIP_ACTUALS!$A:$O,9,FALSE)*VLOOKUP(VLOOKUP(A385,BOOKINGS!$A:$Q,7,FALSE),SETUP_RATES!$A:$H,5,FALSE))</f>
        <v/>
      </c>
      <c r="F385" s="38" t="str">
        <f>IF(A385="","",IFERROR(VLOOKUP(A385,TRIP_ACTUALS!$A:$O,5,FALSE),0))</f>
        <v/>
      </c>
      <c r="G385" s="38" t="str">
        <f>IF(A385="","",IFERROR(VLOOKUP(A385,TRIP_ACTUALS!$A:$O,6,FALSE),0)+IFERROR(VLOOKUP(A385,TRIP_ACTUALS!$A:$O,7,FALSE),0))</f>
        <v/>
      </c>
      <c r="H385" s="38" t="str">
        <f>IF(A385="","",IFERROR(VLOOKUP(VLOOKUP(A385,BOOKINGS!$A:$Q,7,FALSE),SETUP_RATES!$A:$H,8,FALSE),0))</f>
        <v/>
      </c>
      <c r="I385" s="38" t="str">
        <f t="shared" si="1"/>
        <v/>
      </c>
      <c r="J385" s="38" t="str">
        <f>IF(A385="","",IFERROR(VLOOKUP(A385,BOOKINGS!$A:$Q,13,FALSE),0))</f>
        <v/>
      </c>
      <c r="K385" s="38" t="str">
        <f t="shared" si="2"/>
        <v/>
      </c>
      <c r="L385" s="38" t="str">
        <f t="shared" si="3"/>
        <v/>
      </c>
    </row>
    <row r="386" ht="15.75" customHeight="1">
      <c r="A386" s="33" t="str">
        <f>IF(BOOKINGS!A386="","",BOOKINGS!A386)</f>
        <v/>
      </c>
      <c r="B386" s="38" t="str">
        <f>IF(A386="","",MAX(VLOOKUP(A386,BOOKINGS!$A:$Q,6,FALSE)*VLOOKUP(VLOOKUP(A386,BOOKINGS!$A:$Q,7,FALSE),SETUP_RATES!$A:$H,3,FALSE),VLOOKUP(VLOOKUP(A386,BOOKINGS!$A:$Q,7,FALSE),SETUP_RATES!$A:$H,2,FALSE)))</f>
        <v/>
      </c>
      <c r="C386" s="38" t="str">
        <f>IF(A386="","",VLOOKUP(A386,BOOKINGS!$A:$Q,10,FALSE)*VLOOKUP(VLOOKUP(A386,BOOKINGS!$A:$Q,7,FALSE),SETUP_RATES!$A:$H,6,FALSE))</f>
        <v/>
      </c>
      <c r="D386" s="38" t="str">
        <f>IF(A386="","",MAX(0,VLOOKUP(A386,TRIP_ACTUALS!$A:$O,8,FALSE)-SETUP_RATES!$K$2)*SETUP_RATES!$K$3)</f>
        <v/>
      </c>
      <c r="E386" s="38" t="str">
        <f>IF(A386="","",VLOOKUP(A386,TRIP_ACTUALS!$A:$O,9,FALSE)*VLOOKUP(VLOOKUP(A386,BOOKINGS!$A:$Q,7,FALSE),SETUP_RATES!$A:$H,5,FALSE))</f>
        <v/>
      </c>
      <c r="F386" s="38" t="str">
        <f>IF(A386="","",IFERROR(VLOOKUP(A386,TRIP_ACTUALS!$A:$O,5,FALSE),0))</f>
        <v/>
      </c>
      <c r="G386" s="38" t="str">
        <f>IF(A386="","",IFERROR(VLOOKUP(A386,TRIP_ACTUALS!$A:$O,6,FALSE),0)+IFERROR(VLOOKUP(A386,TRIP_ACTUALS!$A:$O,7,FALSE),0))</f>
        <v/>
      </c>
      <c r="H386" s="38" t="str">
        <f>IF(A386="","",IFERROR(VLOOKUP(VLOOKUP(A386,BOOKINGS!$A:$Q,7,FALSE),SETUP_RATES!$A:$H,8,FALSE),0))</f>
        <v/>
      </c>
      <c r="I386" s="38" t="str">
        <f t="shared" si="1"/>
        <v/>
      </c>
      <c r="J386" s="38" t="str">
        <f>IF(A386="","",IFERROR(VLOOKUP(A386,BOOKINGS!$A:$Q,13,FALSE),0))</f>
        <v/>
      </c>
      <c r="K386" s="38" t="str">
        <f t="shared" si="2"/>
        <v/>
      </c>
      <c r="L386" s="38" t="str">
        <f t="shared" si="3"/>
        <v/>
      </c>
    </row>
    <row r="387" ht="15.75" customHeight="1">
      <c r="A387" s="33" t="str">
        <f>IF(BOOKINGS!A387="","",BOOKINGS!A387)</f>
        <v/>
      </c>
      <c r="B387" s="38" t="str">
        <f>IF(A387="","",MAX(VLOOKUP(A387,BOOKINGS!$A:$Q,6,FALSE)*VLOOKUP(VLOOKUP(A387,BOOKINGS!$A:$Q,7,FALSE),SETUP_RATES!$A:$H,3,FALSE),VLOOKUP(VLOOKUP(A387,BOOKINGS!$A:$Q,7,FALSE),SETUP_RATES!$A:$H,2,FALSE)))</f>
        <v/>
      </c>
      <c r="C387" s="38" t="str">
        <f>IF(A387="","",VLOOKUP(A387,BOOKINGS!$A:$Q,10,FALSE)*VLOOKUP(VLOOKUP(A387,BOOKINGS!$A:$Q,7,FALSE),SETUP_RATES!$A:$H,6,FALSE))</f>
        <v/>
      </c>
      <c r="D387" s="38" t="str">
        <f>IF(A387="","",MAX(0,VLOOKUP(A387,TRIP_ACTUALS!$A:$O,8,FALSE)-SETUP_RATES!$K$2)*SETUP_RATES!$K$3)</f>
        <v/>
      </c>
      <c r="E387" s="38" t="str">
        <f>IF(A387="","",VLOOKUP(A387,TRIP_ACTUALS!$A:$O,9,FALSE)*VLOOKUP(VLOOKUP(A387,BOOKINGS!$A:$Q,7,FALSE),SETUP_RATES!$A:$H,5,FALSE))</f>
        <v/>
      </c>
      <c r="F387" s="38" t="str">
        <f>IF(A387="","",IFERROR(VLOOKUP(A387,TRIP_ACTUALS!$A:$O,5,FALSE),0))</f>
        <v/>
      </c>
      <c r="G387" s="38" t="str">
        <f>IF(A387="","",IFERROR(VLOOKUP(A387,TRIP_ACTUALS!$A:$O,6,FALSE),0)+IFERROR(VLOOKUP(A387,TRIP_ACTUALS!$A:$O,7,FALSE),0))</f>
        <v/>
      </c>
      <c r="H387" s="38" t="str">
        <f>IF(A387="","",IFERROR(VLOOKUP(VLOOKUP(A387,BOOKINGS!$A:$Q,7,FALSE),SETUP_RATES!$A:$H,8,FALSE),0))</f>
        <v/>
      </c>
      <c r="I387" s="38" t="str">
        <f t="shared" si="1"/>
        <v/>
      </c>
      <c r="J387" s="38" t="str">
        <f>IF(A387="","",IFERROR(VLOOKUP(A387,BOOKINGS!$A:$Q,13,FALSE),0))</f>
        <v/>
      </c>
      <c r="K387" s="38" t="str">
        <f t="shared" si="2"/>
        <v/>
      </c>
      <c r="L387" s="38" t="str">
        <f t="shared" si="3"/>
        <v/>
      </c>
    </row>
    <row r="388" ht="15.75" customHeight="1">
      <c r="A388" s="33" t="str">
        <f>IF(BOOKINGS!A388="","",BOOKINGS!A388)</f>
        <v/>
      </c>
      <c r="B388" s="38" t="str">
        <f>IF(A388="","",MAX(VLOOKUP(A388,BOOKINGS!$A:$Q,6,FALSE)*VLOOKUP(VLOOKUP(A388,BOOKINGS!$A:$Q,7,FALSE),SETUP_RATES!$A:$H,3,FALSE),VLOOKUP(VLOOKUP(A388,BOOKINGS!$A:$Q,7,FALSE),SETUP_RATES!$A:$H,2,FALSE)))</f>
        <v/>
      </c>
      <c r="C388" s="38" t="str">
        <f>IF(A388="","",VLOOKUP(A388,BOOKINGS!$A:$Q,10,FALSE)*VLOOKUP(VLOOKUP(A388,BOOKINGS!$A:$Q,7,FALSE),SETUP_RATES!$A:$H,6,FALSE))</f>
        <v/>
      </c>
      <c r="D388" s="38" t="str">
        <f>IF(A388="","",MAX(0,VLOOKUP(A388,TRIP_ACTUALS!$A:$O,8,FALSE)-SETUP_RATES!$K$2)*SETUP_RATES!$K$3)</f>
        <v/>
      </c>
      <c r="E388" s="38" t="str">
        <f>IF(A388="","",VLOOKUP(A388,TRIP_ACTUALS!$A:$O,9,FALSE)*VLOOKUP(VLOOKUP(A388,BOOKINGS!$A:$Q,7,FALSE),SETUP_RATES!$A:$H,5,FALSE))</f>
        <v/>
      </c>
      <c r="F388" s="38" t="str">
        <f>IF(A388="","",IFERROR(VLOOKUP(A388,TRIP_ACTUALS!$A:$O,5,FALSE),0))</f>
        <v/>
      </c>
      <c r="G388" s="38" t="str">
        <f>IF(A388="","",IFERROR(VLOOKUP(A388,TRIP_ACTUALS!$A:$O,6,FALSE),0)+IFERROR(VLOOKUP(A388,TRIP_ACTUALS!$A:$O,7,FALSE),0))</f>
        <v/>
      </c>
      <c r="H388" s="38" t="str">
        <f>IF(A388="","",IFERROR(VLOOKUP(VLOOKUP(A388,BOOKINGS!$A:$Q,7,FALSE),SETUP_RATES!$A:$H,8,FALSE),0))</f>
        <v/>
      </c>
      <c r="I388" s="38" t="str">
        <f t="shared" si="1"/>
        <v/>
      </c>
      <c r="J388" s="38" t="str">
        <f>IF(A388="","",IFERROR(VLOOKUP(A388,BOOKINGS!$A:$Q,13,FALSE),0))</f>
        <v/>
      </c>
      <c r="K388" s="38" t="str">
        <f t="shared" si="2"/>
        <v/>
      </c>
      <c r="L388" s="38" t="str">
        <f t="shared" si="3"/>
        <v/>
      </c>
    </row>
    <row r="389" ht="15.75" customHeight="1">
      <c r="A389" s="33" t="str">
        <f>IF(BOOKINGS!A389="","",BOOKINGS!A389)</f>
        <v/>
      </c>
      <c r="B389" s="38" t="str">
        <f>IF(A389="","",MAX(VLOOKUP(A389,BOOKINGS!$A:$Q,6,FALSE)*VLOOKUP(VLOOKUP(A389,BOOKINGS!$A:$Q,7,FALSE),SETUP_RATES!$A:$H,3,FALSE),VLOOKUP(VLOOKUP(A389,BOOKINGS!$A:$Q,7,FALSE),SETUP_RATES!$A:$H,2,FALSE)))</f>
        <v/>
      </c>
      <c r="C389" s="38" t="str">
        <f>IF(A389="","",VLOOKUP(A389,BOOKINGS!$A:$Q,10,FALSE)*VLOOKUP(VLOOKUP(A389,BOOKINGS!$A:$Q,7,FALSE),SETUP_RATES!$A:$H,6,FALSE))</f>
        <v/>
      </c>
      <c r="D389" s="38" t="str">
        <f>IF(A389="","",MAX(0,VLOOKUP(A389,TRIP_ACTUALS!$A:$O,8,FALSE)-SETUP_RATES!$K$2)*SETUP_RATES!$K$3)</f>
        <v/>
      </c>
      <c r="E389" s="38" t="str">
        <f>IF(A389="","",VLOOKUP(A389,TRIP_ACTUALS!$A:$O,9,FALSE)*VLOOKUP(VLOOKUP(A389,BOOKINGS!$A:$Q,7,FALSE),SETUP_RATES!$A:$H,5,FALSE))</f>
        <v/>
      </c>
      <c r="F389" s="38" t="str">
        <f>IF(A389="","",IFERROR(VLOOKUP(A389,TRIP_ACTUALS!$A:$O,5,FALSE),0))</f>
        <v/>
      </c>
      <c r="G389" s="38" t="str">
        <f>IF(A389="","",IFERROR(VLOOKUP(A389,TRIP_ACTUALS!$A:$O,6,FALSE),0)+IFERROR(VLOOKUP(A389,TRIP_ACTUALS!$A:$O,7,FALSE),0))</f>
        <v/>
      </c>
      <c r="H389" s="38" t="str">
        <f>IF(A389="","",IFERROR(VLOOKUP(VLOOKUP(A389,BOOKINGS!$A:$Q,7,FALSE),SETUP_RATES!$A:$H,8,FALSE),0))</f>
        <v/>
      </c>
      <c r="I389" s="38" t="str">
        <f t="shared" si="1"/>
        <v/>
      </c>
      <c r="J389" s="38" t="str">
        <f>IF(A389="","",IFERROR(VLOOKUP(A389,BOOKINGS!$A:$Q,13,FALSE),0))</f>
        <v/>
      </c>
      <c r="K389" s="38" t="str">
        <f t="shared" si="2"/>
        <v/>
      </c>
      <c r="L389" s="38" t="str">
        <f t="shared" si="3"/>
        <v/>
      </c>
    </row>
    <row r="390" ht="15.75" customHeight="1">
      <c r="A390" s="33" t="str">
        <f>IF(BOOKINGS!A390="","",BOOKINGS!A390)</f>
        <v/>
      </c>
      <c r="B390" s="38" t="str">
        <f>IF(A390="","",MAX(VLOOKUP(A390,BOOKINGS!$A:$Q,6,FALSE)*VLOOKUP(VLOOKUP(A390,BOOKINGS!$A:$Q,7,FALSE),SETUP_RATES!$A:$H,3,FALSE),VLOOKUP(VLOOKUP(A390,BOOKINGS!$A:$Q,7,FALSE),SETUP_RATES!$A:$H,2,FALSE)))</f>
        <v/>
      </c>
      <c r="C390" s="38" t="str">
        <f>IF(A390="","",VLOOKUP(A390,BOOKINGS!$A:$Q,10,FALSE)*VLOOKUP(VLOOKUP(A390,BOOKINGS!$A:$Q,7,FALSE),SETUP_RATES!$A:$H,6,FALSE))</f>
        <v/>
      </c>
      <c r="D390" s="38" t="str">
        <f>IF(A390="","",MAX(0,VLOOKUP(A390,TRIP_ACTUALS!$A:$O,8,FALSE)-SETUP_RATES!$K$2)*SETUP_RATES!$K$3)</f>
        <v/>
      </c>
      <c r="E390" s="38" t="str">
        <f>IF(A390="","",VLOOKUP(A390,TRIP_ACTUALS!$A:$O,9,FALSE)*VLOOKUP(VLOOKUP(A390,BOOKINGS!$A:$Q,7,FALSE),SETUP_RATES!$A:$H,5,FALSE))</f>
        <v/>
      </c>
      <c r="F390" s="38" t="str">
        <f>IF(A390="","",IFERROR(VLOOKUP(A390,TRIP_ACTUALS!$A:$O,5,FALSE),0))</f>
        <v/>
      </c>
      <c r="G390" s="38" t="str">
        <f>IF(A390="","",IFERROR(VLOOKUP(A390,TRIP_ACTUALS!$A:$O,6,FALSE),0)+IFERROR(VLOOKUP(A390,TRIP_ACTUALS!$A:$O,7,FALSE),0))</f>
        <v/>
      </c>
      <c r="H390" s="38" t="str">
        <f>IF(A390="","",IFERROR(VLOOKUP(VLOOKUP(A390,BOOKINGS!$A:$Q,7,FALSE),SETUP_RATES!$A:$H,8,FALSE),0))</f>
        <v/>
      </c>
      <c r="I390" s="38" t="str">
        <f t="shared" si="1"/>
        <v/>
      </c>
      <c r="J390" s="38" t="str">
        <f>IF(A390="","",IFERROR(VLOOKUP(A390,BOOKINGS!$A:$Q,13,FALSE),0))</f>
        <v/>
      </c>
      <c r="K390" s="38" t="str">
        <f t="shared" si="2"/>
        <v/>
      </c>
      <c r="L390" s="38" t="str">
        <f t="shared" si="3"/>
        <v/>
      </c>
    </row>
    <row r="391" ht="15.75" customHeight="1">
      <c r="A391" s="33" t="str">
        <f>IF(BOOKINGS!A391="","",BOOKINGS!A391)</f>
        <v/>
      </c>
      <c r="B391" s="38" t="str">
        <f>IF(A391="","",MAX(VLOOKUP(A391,BOOKINGS!$A:$Q,6,FALSE)*VLOOKUP(VLOOKUP(A391,BOOKINGS!$A:$Q,7,FALSE),SETUP_RATES!$A:$H,3,FALSE),VLOOKUP(VLOOKUP(A391,BOOKINGS!$A:$Q,7,FALSE),SETUP_RATES!$A:$H,2,FALSE)))</f>
        <v/>
      </c>
      <c r="C391" s="38" t="str">
        <f>IF(A391="","",VLOOKUP(A391,BOOKINGS!$A:$Q,10,FALSE)*VLOOKUP(VLOOKUP(A391,BOOKINGS!$A:$Q,7,FALSE),SETUP_RATES!$A:$H,6,FALSE))</f>
        <v/>
      </c>
      <c r="D391" s="38" t="str">
        <f>IF(A391="","",MAX(0,VLOOKUP(A391,TRIP_ACTUALS!$A:$O,8,FALSE)-SETUP_RATES!$K$2)*SETUP_RATES!$K$3)</f>
        <v/>
      </c>
      <c r="E391" s="38" t="str">
        <f>IF(A391="","",VLOOKUP(A391,TRIP_ACTUALS!$A:$O,9,FALSE)*VLOOKUP(VLOOKUP(A391,BOOKINGS!$A:$Q,7,FALSE),SETUP_RATES!$A:$H,5,FALSE))</f>
        <v/>
      </c>
      <c r="F391" s="38" t="str">
        <f>IF(A391="","",IFERROR(VLOOKUP(A391,TRIP_ACTUALS!$A:$O,5,FALSE),0))</f>
        <v/>
      </c>
      <c r="G391" s="38" t="str">
        <f>IF(A391="","",IFERROR(VLOOKUP(A391,TRIP_ACTUALS!$A:$O,6,FALSE),0)+IFERROR(VLOOKUP(A391,TRIP_ACTUALS!$A:$O,7,FALSE),0))</f>
        <v/>
      </c>
      <c r="H391" s="38" t="str">
        <f>IF(A391="","",IFERROR(VLOOKUP(VLOOKUP(A391,BOOKINGS!$A:$Q,7,FALSE),SETUP_RATES!$A:$H,8,FALSE),0))</f>
        <v/>
      </c>
      <c r="I391" s="38" t="str">
        <f t="shared" si="1"/>
        <v/>
      </c>
      <c r="J391" s="38" t="str">
        <f>IF(A391="","",IFERROR(VLOOKUP(A391,BOOKINGS!$A:$Q,13,FALSE),0))</f>
        <v/>
      </c>
      <c r="K391" s="38" t="str">
        <f t="shared" si="2"/>
        <v/>
      </c>
      <c r="L391" s="38" t="str">
        <f t="shared" si="3"/>
        <v/>
      </c>
    </row>
    <row r="392" ht="15.75" customHeight="1">
      <c r="A392" s="33" t="str">
        <f>IF(BOOKINGS!A392="","",BOOKINGS!A392)</f>
        <v/>
      </c>
      <c r="B392" s="38" t="str">
        <f>IF(A392="","",MAX(VLOOKUP(A392,BOOKINGS!$A:$Q,6,FALSE)*VLOOKUP(VLOOKUP(A392,BOOKINGS!$A:$Q,7,FALSE),SETUP_RATES!$A:$H,3,FALSE),VLOOKUP(VLOOKUP(A392,BOOKINGS!$A:$Q,7,FALSE),SETUP_RATES!$A:$H,2,FALSE)))</f>
        <v/>
      </c>
      <c r="C392" s="38" t="str">
        <f>IF(A392="","",VLOOKUP(A392,BOOKINGS!$A:$Q,10,FALSE)*VLOOKUP(VLOOKUP(A392,BOOKINGS!$A:$Q,7,FALSE),SETUP_RATES!$A:$H,6,FALSE))</f>
        <v/>
      </c>
      <c r="D392" s="38" t="str">
        <f>IF(A392="","",MAX(0,VLOOKUP(A392,TRIP_ACTUALS!$A:$O,8,FALSE)-SETUP_RATES!$K$2)*SETUP_RATES!$K$3)</f>
        <v/>
      </c>
      <c r="E392" s="38" t="str">
        <f>IF(A392="","",VLOOKUP(A392,TRIP_ACTUALS!$A:$O,9,FALSE)*VLOOKUP(VLOOKUP(A392,BOOKINGS!$A:$Q,7,FALSE),SETUP_RATES!$A:$H,5,FALSE))</f>
        <v/>
      </c>
      <c r="F392" s="38" t="str">
        <f>IF(A392="","",IFERROR(VLOOKUP(A392,TRIP_ACTUALS!$A:$O,5,FALSE),0))</f>
        <v/>
      </c>
      <c r="G392" s="38" t="str">
        <f>IF(A392="","",IFERROR(VLOOKUP(A392,TRIP_ACTUALS!$A:$O,6,FALSE),0)+IFERROR(VLOOKUP(A392,TRIP_ACTUALS!$A:$O,7,FALSE),0))</f>
        <v/>
      </c>
      <c r="H392" s="38" t="str">
        <f>IF(A392="","",IFERROR(VLOOKUP(VLOOKUP(A392,BOOKINGS!$A:$Q,7,FALSE),SETUP_RATES!$A:$H,8,FALSE),0))</f>
        <v/>
      </c>
      <c r="I392" s="38" t="str">
        <f t="shared" si="1"/>
        <v/>
      </c>
      <c r="J392" s="38" t="str">
        <f>IF(A392="","",IFERROR(VLOOKUP(A392,BOOKINGS!$A:$Q,13,FALSE),0))</f>
        <v/>
      </c>
      <c r="K392" s="38" t="str">
        <f t="shared" si="2"/>
        <v/>
      </c>
      <c r="L392" s="38" t="str">
        <f t="shared" si="3"/>
        <v/>
      </c>
    </row>
    <row r="393" ht="15.75" customHeight="1">
      <c r="A393" s="33" t="str">
        <f>IF(BOOKINGS!A393="","",BOOKINGS!A393)</f>
        <v/>
      </c>
      <c r="B393" s="38" t="str">
        <f>IF(A393="","",MAX(VLOOKUP(A393,BOOKINGS!$A:$Q,6,FALSE)*VLOOKUP(VLOOKUP(A393,BOOKINGS!$A:$Q,7,FALSE),SETUP_RATES!$A:$H,3,FALSE),VLOOKUP(VLOOKUP(A393,BOOKINGS!$A:$Q,7,FALSE),SETUP_RATES!$A:$H,2,FALSE)))</f>
        <v/>
      </c>
      <c r="C393" s="38" t="str">
        <f>IF(A393="","",VLOOKUP(A393,BOOKINGS!$A:$Q,10,FALSE)*VLOOKUP(VLOOKUP(A393,BOOKINGS!$A:$Q,7,FALSE),SETUP_RATES!$A:$H,6,FALSE))</f>
        <v/>
      </c>
      <c r="D393" s="38" t="str">
        <f>IF(A393="","",MAX(0,VLOOKUP(A393,TRIP_ACTUALS!$A:$O,8,FALSE)-SETUP_RATES!$K$2)*SETUP_RATES!$K$3)</f>
        <v/>
      </c>
      <c r="E393" s="38" t="str">
        <f>IF(A393="","",VLOOKUP(A393,TRIP_ACTUALS!$A:$O,9,FALSE)*VLOOKUP(VLOOKUP(A393,BOOKINGS!$A:$Q,7,FALSE),SETUP_RATES!$A:$H,5,FALSE))</f>
        <v/>
      </c>
      <c r="F393" s="38" t="str">
        <f>IF(A393="","",IFERROR(VLOOKUP(A393,TRIP_ACTUALS!$A:$O,5,FALSE),0))</f>
        <v/>
      </c>
      <c r="G393" s="38" t="str">
        <f>IF(A393="","",IFERROR(VLOOKUP(A393,TRIP_ACTUALS!$A:$O,6,FALSE),0)+IFERROR(VLOOKUP(A393,TRIP_ACTUALS!$A:$O,7,FALSE),0))</f>
        <v/>
      </c>
      <c r="H393" s="38" t="str">
        <f>IF(A393="","",IFERROR(VLOOKUP(VLOOKUP(A393,BOOKINGS!$A:$Q,7,FALSE),SETUP_RATES!$A:$H,8,FALSE),0))</f>
        <v/>
      </c>
      <c r="I393" s="38" t="str">
        <f t="shared" si="1"/>
        <v/>
      </c>
      <c r="J393" s="38" t="str">
        <f>IF(A393="","",IFERROR(VLOOKUP(A393,BOOKINGS!$A:$Q,13,FALSE),0))</f>
        <v/>
      </c>
      <c r="K393" s="38" t="str">
        <f t="shared" si="2"/>
        <v/>
      </c>
      <c r="L393" s="38" t="str">
        <f t="shared" si="3"/>
        <v/>
      </c>
    </row>
    <row r="394" ht="15.75" customHeight="1">
      <c r="A394" s="33" t="str">
        <f>IF(BOOKINGS!A394="","",BOOKINGS!A394)</f>
        <v/>
      </c>
      <c r="B394" s="38" t="str">
        <f>IF(A394="","",MAX(VLOOKUP(A394,BOOKINGS!$A:$Q,6,FALSE)*VLOOKUP(VLOOKUP(A394,BOOKINGS!$A:$Q,7,FALSE),SETUP_RATES!$A:$H,3,FALSE),VLOOKUP(VLOOKUP(A394,BOOKINGS!$A:$Q,7,FALSE),SETUP_RATES!$A:$H,2,FALSE)))</f>
        <v/>
      </c>
      <c r="C394" s="38" t="str">
        <f>IF(A394="","",VLOOKUP(A394,BOOKINGS!$A:$Q,10,FALSE)*VLOOKUP(VLOOKUP(A394,BOOKINGS!$A:$Q,7,FALSE),SETUP_RATES!$A:$H,6,FALSE))</f>
        <v/>
      </c>
      <c r="D394" s="38" t="str">
        <f>IF(A394="","",MAX(0,VLOOKUP(A394,TRIP_ACTUALS!$A:$O,8,FALSE)-SETUP_RATES!$K$2)*SETUP_RATES!$K$3)</f>
        <v/>
      </c>
      <c r="E394" s="38" t="str">
        <f>IF(A394="","",VLOOKUP(A394,TRIP_ACTUALS!$A:$O,9,FALSE)*VLOOKUP(VLOOKUP(A394,BOOKINGS!$A:$Q,7,FALSE),SETUP_RATES!$A:$H,5,FALSE))</f>
        <v/>
      </c>
      <c r="F394" s="38" t="str">
        <f>IF(A394="","",IFERROR(VLOOKUP(A394,TRIP_ACTUALS!$A:$O,5,FALSE),0))</f>
        <v/>
      </c>
      <c r="G394" s="38" t="str">
        <f>IF(A394="","",IFERROR(VLOOKUP(A394,TRIP_ACTUALS!$A:$O,6,FALSE),0)+IFERROR(VLOOKUP(A394,TRIP_ACTUALS!$A:$O,7,FALSE),0))</f>
        <v/>
      </c>
      <c r="H394" s="38" t="str">
        <f>IF(A394="","",IFERROR(VLOOKUP(VLOOKUP(A394,BOOKINGS!$A:$Q,7,FALSE),SETUP_RATES!$A:$H,8,FALSE),0))</f>
        <v/>
      </c>
      <c r="I394" s="38" t="str">
        <f t="shared" si="1"/>
        <v/>
      </c>
      <c r="J394" s="38" t="str">
        <f>IF(A394="","",IFERROR(VLOOKUP(A394,BOOKINGS!$A:$Q,13,FALSE),0))</f>
        <v/>
      </c>
      <c r="K394" s="38" t="str">
        <f t="shared" si="2"/>
        <v/>
      </c>
      <c r="L394" s="38" t="str">
        <f t="shared" si="3"/>
        <v/>
      </c>
    </row>
    <row r="395" ht="15.75" customHeight="1">
      <c r="A395" s="33" t="str">
        <f>IF(BOOKINGS!A395="","",BOOKINGS!A395)</f>
        <v/>
      </c>
      <c r="B395" s="38" t="str">
        <f>IF(A395="","",MAX(VLOOKUP(A395,BOOKINGS!$A:$Q,6,FALSE)*VLOOKUP(VLOOKUP(A395,BOOKINGS!$A:$Q,7,FALSE),SETUP_RATES!$A:$H,3,FALSE),VLOOKUP(VLOOKUP(A395,BOOKINGS!$A:$Q,7,FALSE),SETUP_RATES!$A:$H,2,FALSE)))</f>
        <v/>
      </c>
      <c r="C395" s="38" t="str">
        <f>IF(A395="","",VLOOKUP(A395,BOOKINGS!$A:$Q,10,FALSE)*VLOOKUP(VLOOKUP(A395,BOOKINGS!$A:$Q,7,FALSE),SETUP_RATES!$A:$H,6,FALSE))</f>
        <v/>
      </c>
      <c r="D395" s="38" t="str">
        <f>IF(A395="","",MAX(0,VLOOKUP(A395,TRIP_ACTUALS!$A:$O,8,FALSE)-SETUP_RATES!$K$2)*SETUP_RATES!$K$3)</f>
        <v/>
      </c>
      <c r="E395" s="38" t="str">
        <f>IF(A395="","",VLOOKUP(A395,TRIP_ACTUALS!$A:$O,9,FALSE)*VLOOKUP(VLOOKUP(A395,BOOKINGS!$A:$Q,7,FALSE),SETUP_RATES!$A:$H,5,FALSE))</f>
        <v/>
      </c>
      <c r="F395" s="38" t="str">
        <f>IF(A395="","",IFERROR(VLOOKUP(A395,TRIP_ACTUALS!$A:$O,5,FALSE),0))</f>
        <v/>
      </c>
      <c r="G395" s="38" t="str">
        <f>IF(A395="","",IFERROR(VLOOKUP(A395,TRIP_ACTUALS!$A:$O,6,FALSE),0)+IFERROR(VLOOKUP(A395,TRIP_ACTUALS!$A:$O,7,FALSE),0))</f>
        <v/>
      </c>
      <c r="H395" s="38" t="str">
        <f>IF(A395="","",IFERROR(VLOOKUP(VLOOKUP(A395,BOOKINGS!$A:$Q,7,FALSE),SETUP_RATES!$A:$H,8,FALSE),0))</f>
        <v/>
      </c>
      <c r="I395" s="38" t="str">
        <f t="shared" si="1"/>
        <v/>
      </c>
      <c r="J395" s="38" t="str">
        <f>IF(A395="","",IFERROR(VLOOKUP(A395,BOOKINGS!$A:$Q,13,FALSE),0))</f>
        <v/>
      </c>
      <c r="K395" s="38" t="str">
        <f t="shared" si="2"/>
        <v/>
      </c>
      <c r="L395" s="38" t="str">
        <f t="shared" si="3"/>
        <v/>
      </c>
    </row>
    <row r="396" ht="15.75" customHeight="1">
      <c r="A396" s="33" t="str">
        <f>IF(BOOKINGS!A396="","",BOOKINGS!A396)</f>
        <v/>
      </c>
      <c r="B396" s="38" t="str">
        <f>IF(A396="","",MAX(VLOOKUP(A396,BOOKINGS!$A:$Q,6,FALSE)*VLOOKUP(VLOOKUP(A396,BOOKINGS!$A:$Q,7,FALSE),SETUP_RATES!$A:$H,3,FALSE),VLOOKUP(VLOOKUP(A396,BOOKINGS!$A:$Q,7,FALSE),SETUP_RATES!$A:$H,2,FALSE)))</f>
        <v/>
      </c>
      <c r="C396" s="38" t="str">
        <f>IF(A396="","",VLOOKUP(A396,BOOKINGS!$A:$Q,10,FALSE)*VLOOKUP(VLOOKUP(A396,BOOKINGS!$A:$Q,7,FALSE),SETUP_RATES!$A:$H,6,FALSE))</f>
        <v/>
      </c>
      <c r="D396" s="38" t="str">
        <f>IF(A396="","",MAX(0,VLOOKUP(A396,TRIP_ACTUALS!$A:$O,8,FALSE)-SETUP_RATES!$K$2)*SETUP_RATES!$K$3)</f>
        <v/>
      </c>
      <c r="E396" s="38" t="str">
        <f>IF(A396="","",VLOOKUP(A396,TRIP_ACTUALS!$A:$O,9,FALSE)*VLOOKUP(VLOOKUP(A396,BOOKINGS!$A:$Q,7,FALSE),SETUP_RATES!$A:$H,5,FALSE))</f>
        <v/>
      </c>
      <c r="F396" s="38" t="str">
        <f>IF(A396="","",IFERROR(VLOOKUP(A396,TRIP_ACTUALS!$A:$O,5,FALSE),0))</f>
        <v/>
      </c>
      <c r="G396" s="38" t="str">
        <f>IF(A396="","",IFERROR(VLOOKUP(A396,TRIP_ACTUALS!$A:$O,6,FALSE),0)+IFERROR(VLOOKUP(A396,TRIP_ACTUALS!$A:$O,7,FALSE),0))</f>
        <v/>
      </c>
      <c r="H396" s="38" t="str">
        <f>IF(A396="","",IFERROR(VLOOKUP(VLOOKUP(A396,BOOKINGS!$A:$Q,7,FALSE),SETUP_RATES!$A:$H,8,FALSE),0))</f>
        <v/>
      </c>
      <c r="I396" s="38" t="str">
        <f t="shared" si="1"/>
        <v/>
      </c>
      <c r="J396" s="38" t="str">
        <f>IF(A396="","",IFERROR(VLOOKUP(A396,BOOKINGS!$A:$Q,13,FALSE),0))</f>
        <v/>
      </c>
      <c r="K396" s="38" t="str">
        <f t="shared" si="2"/>
        <v/>
      </c>
      <c r="L396" s="38" t="str">
        <f t="shared" si="3"/>
        <v/>
      </c>
    </row>
    <row r="397" ht="15.75" customHeight="1">
      <c r="A397" s="33" t="str">
        <f>IF(BOOKINGS!A397="","",BOOKINGS!A397)</f>
        <v/>
      </c>
      <c r="B397" s="38" t="str">
        <f>IF(A397="","",MAX(VLOOKUP(A397,BOOKINGS!$A:$Q,6,FALSE)*VLOOKUP(VLOOKUP(A397,BOOKINGS!$A:$Q,7,FALSE),SETUP_RATES!$A:$H,3,FALSE),VLOOKUP(VLOOKUP(A397,BOOKINGS!$A:$Q,7,FALSE),SETUP_RATES!$A:$H,2,FALSE)))</f>
        <v/>
      </c>
      <c r="C397" s="38" t="str">
        <f>IF(A397="","",VLOOKUP(A397,BOOKINGS!$A:$Q,10,FALSE)*VLOOKUP(VLOOKUP(A397,BOOKINGS!$A:$Q,7,FALSE),SETUP_RATES!$A:$H,6,FALSE))</f>
        <v/>
      </c>
      <c r="D397" s="38" t="str">
        <f>IF(A397="","",MAX(0,VLOOKUP(A397,TRIP_ACTUALS!$A:$O,8,FALSE)-SETUP_RATES!$K$2)*SETUP_RATES!$K$3)</f>
        <v/>
      </c>
      <c r="E397" s="38" t="str">
        <f>IF(A397="","",VLOOKUP(A397,TRIP_ACTUALS!$A:$O,9,FALSE)*VLOOKUP(VLOOKUP(A397,BOOKINGS!$A:$Q,7,FALSE),SETUP_RATES!$A:$H,5,FALSE))</f>
        <v/>
      </c>
      <c r="F397" s="38" t="str">
        <f>IF(A397="","",IFERROR(VLOOKUP(A397,TRIP_ACTUALS!$A:$O,5,FALSE),0))</f>
        <v/>
      </c>
      <c r="G397" s="38" t="str">
        <f>IF(A397="","",IFERROR(VLOOKUP(A397,TRIP_ACTUALS!$A:$O,6,FALSE),0)+IFERROR(VLOOKUP(A397,TRIP_ACTUALS!$A:$O,7,FALSE),0))</f>
        <v/>
      </c>
      <c r="H397" s="38" t="str">
        <f>IF(A397="","",IFERROR(VLOOKUP(VLOOKUP(A397,BOOKINGS!$A:$Q,7,FALSE),SETUP_RATES!$A:$H,8,FALSE),0))</f>
        <v/>
      </c>
      <c r="I397" s="38" t="str">
        <f t="shared" si="1"/>
        <v/>
      </c>
      <c r="J397" s="38" t="str">
        <f>IF(A397="","",IFERROR(VLOOKUP(A397,BOOKINGS!$A:$Q,13,FALSE),0))</f>
        <v/>
      </c>
      <c r="K397" s="38" t="str">
        <f t="shared" si="2"/>
        <v/>
      </c>
      <c r="L397" s="38" t="str">
        <f t="shared" si="3"/>
        <v/>
      </c>
    </row>
    <row r="398" ht="15.75" customHeight="1">
      <c r="A398" s="33" t="str">
        <f>IF(BOOKINGS!A398="","",BOOKINGS!A398)</f>
        <v/>
      </c>
      <c r="B398" s="38" t="str">
        <f>IF(A398="","",MAX(VLOOKUP(A398,BOOKINGS!$A:$Q,6,FALSE)*VLOOKUP(VLOOKUP(A398,BOOKINGS!$A:$Q,7,FALSE),SETUP_RATES!$A:$H,3,FALSE),VLOOKUP(VLOOKUP(A398,BOOKINGS!$A:$Q,7,FALSE),SETUP_RATES!$A:$H,2,FALSE)))</f>
        <v/>
      </c>
      <c r="C398" s="38" t="str">
        <f>IF(A398="","",VLOOKUP(A398,BOOKINGS!$A:$Q,10,FALSE)*VLOOKUP(VLOOKUP(A398,BOOKINGS!$A:$Q,7,FALSE),SETUP_RATES!$A:$H,6,FALSE))</f>
        <v/>
      </c>
      <c r="D398" s="38" t="str">
        <f>IF(A398="","",MAX(0,VLOOKUP(A398,TRIP_ACTUALS!$A:$O,8,FALSE)-SETUP_RATES!$K$2)*SETUP_RATES!$K$3)</f>
        <v/>
      </c>
      <c r="E398" s="38" t="str">
        <f>IF(A398="","",VLOOKUP(A398,TRIP_ACTUALS!$A:$O,9,FALSE)*VLOOKUP(VLOOKUP(A398,BOOKINGS!$A:$Q,7,FALSE),SETUP_RATES!$A:$H,5,FALSE))</f>
        <v/>
      </c>
      <c r="F398" s="38" t="str">
        <f>IF(A398="","",IFERROR(VLOOKUP(A398,TRIP_ACTUALS!$A:$O,5,FALSE),0))</f>
        <v/>
      </c>
      <c r="G398" s="38" t="str">
        <f>IF(A398="","",IFERROR(VLOOKUP(A398,TRIP_ACTUALS!$A:$O,6,FALSE),0)+IFERROR(VLOOKUP(A398,TRIP_ACTUALS!$A:$O,7,FALSE),0))</f>
        <v/>
      </c>
      <c r="H398" s="38" t="str">
        <f>IF(A398="","",IFERROR(VLOOKUP(VLOOKUP(A398,BOOKINGS!$A:$Q,7,FALSE),SETUP_RATES!$A:$H,8,FALSE),0))</f>
        <v/>
      </c>
      <c r="I398" s="38" t="str">
        <f t="shared" si="1"/>
        <v/>
      </c>
      <c r="J398" s="38" t="str">
        <f>IF(A398="","",IFERROR(VLOOKUP(A398,BOOKINGS!$A:$Q,13,FALSE),0))</f>
        <v/>
      </c>
      <c r="K398" s="38" t="str">
        <f t="shared" si="2"/>
        <v/>
      </c>
      <c r="L398" s="38" t="str">
        <f t="shared" si="3"/>
        <v/>
      </c>
    </row>
    <row r="399" ht="15.75" customHeight="1">
      <c r="A399" s="33" t="str">
        <f>IF(BOOKINGS!A399="","",BOOKINGS!A399)</f>
        <v/>
      </c>
      <c r="B399" s="38" t="str">
        <f>IF(A399="","",MAX(VLOOKUP(A399,BOOKINGS!$A:$Q,6,FALSE)*VLOOKUP(VLOOKUP(A399,BOOKINGS!$A:$Q,7,FALSE),SETUP_RATES!$A:$H,3,FALSE),VLOOKUP(VLOOKUP(A399,BOOKINGS!$A:$Q,7,FALSE),SETUP_RATES!$A:$H,2,FALSE)))</f>
        <v/>
      </c>
      <c r="C399" s="38" t="str">
        <f>IF(A399="","",VLOOKUP(A399,BOOKINGS!$A:$Q,10,FALSE)*VLOOKUP(VLOOKUP(A399,BOOKINGS!$A:$Q,7,FALSE),SETUP_RATES!$A:$H,6,FALSE))</f>
        <v/>
      </c>
      <c r="D399" s="38" t="str">
        <f>IF(A399="","",MAX(0,VLOOKUP(A399,TRIP_ACTUALS!$A:$O,8,FALSE)-SETUP_RATES!$K$2)*SETUP_RATES!$K$3)</f>
        <v/>
      </c>
      <c r="E399" s="38" t="str">
        <f>IF(A399="","",VLOOKUP(A399,TRIP_ACTUALS!$A:$O,9,FALSE)*VLOOKUP(VLOOKUP(A399,BOOKINGS!$A:$Q,7,FALSE),SETUP_RATES!$A:$H,5,FALSE))</f>
        <v/>
      </c>
      <c r="F399" s="38" t="str">
        <f>IF(A399="","",IFERROR(VLOOKUP(A399,TRIP_ACTUALS!$A:$O,5,FALSE),0))</f>
        <v/>
      </c>
      <c r="G399" s="38" t="str">
        <f>IF(A399="","",IFERROR(VLOOKUP(A399,TRIP_ACTUALS!$A:$O,6,FALSE),0)+IFERROR(VLOOKUP(A399,TRIP_ACTUALS!$A:$O,7,FALSE),0))</f>
        <v/>
      </c>
      <c r="H399" s="38" t="str">
        <f>IF(A399="","",IFERROR(VLOOKUP(VLOOKUP(A399,BOOKINGS!$A:$Q,7,FALSE),SETUP_RATES!$A:$H,8,FALSE),0))</f>
        <v/>
      </c>
      <c r="I399" s="38" t="str">
        <f t="shared" si="1"/>
        <v/>
      </c>
      <c r="J399" s="38" t="str">
        <f>IF(A399="","",IFERROR(VLOOKUP(A399,BOOKINGS!$A:$Q,13,FALSE),0))</f>
        <v/>
      </c>
      <c r="K399" s="38" t="str">
        <f t="shared" si="2"/>
        <v/>
      </c>
      <c r="L399" s="38" t="str">
        <f t="shared" si="3"/>
        <v/>
      </c>
    </row>
    <row r="400" ht="15.75" customHeight="1">
      <c r="A400" s="33" t="str">
        <f>IF(BOOKINGS!A400="","",BOOKINGS!A400)</f>
        <v/>
      </c>
      <c r="B400" s="38" t="str">
        <f>IF(A400="","",MAX(VLOOKUP(A400,BOOKINGS!$A:$Q,6,FALSE)*VLOOKUP(VLOOKUP(A400,BOOKINGS!$A:$Q,7,FALSE),SETUP_RATES!$A:$H,3,FALSE),VLOOKUP(VLOOKUP(A400,BOOKINGS!$A:$Q,7,FALSE),SETUP_RATES!$A:$H,2,FALSE)))</f>
        <v/>
      </c>
      <c r="C400" s="38" t="str">
        <f>IF(A400="","",VLOOKUP(A400,BOOKINGS!$A:$Q,10,FALSE)*VLOOKUP(VLOOKUP(A400,BOOKINGS!$A:$Q,7,FALSE),SETUP_RATES!$A:$H,6,FALSE))</f>
        <v/>
      </c>
      <c r="D400" s="38" t="str">
        <f>IF(A400="","",MAX(0,VLOOKUP(A400,TRIP_ACTUALS!$A:$O,8,FALSE)-SETUP_RATES!$K$2)*SETUP_RATES!$K$3)</f>
        <v/>
      </c>
      <c r="E400" s="38" t="str">
        <f>IF(A400="","",VLOOKUP(A400,TRIP_ACTUALS!$A:$O,9,FALSE)*VLOOKUP(VLOOKUP(A400,BOOKINGS!$A:$Q,7,FALSE),SETUP_RATES!$A:$H,5,FALSE))</f>
        <v/>
      </c>
      <c r="F400" s="38" t="str">
        <f>IF(A400="","",IFERROR(VLOOKUP(A400,TRIP_ACTUALS!$A:$O,5,FALSE),0))</f>
        <v/>
      </c>
      <c r="G400" s="38" t="str">
        <f>IF(A400="","",IFERROR(VLOOKUP(A400,TRIP_ACTUALS!$A:$O,6,FALSE),0)+IFERROR(VLOOKUP(A400,TRIP_ACTUALS!$A:$O,7,FALSE),0))</f>
        <v/>
      </c>
      <c r="H400" s="38" t="str">
        <f>IF(A400="","",IFERROR(VLOOKUP(VLOOKUP(A400,BOOKINGS!$A:$Q,7,FALSE),SETUP_RATES!$A:$H,8,FALSE),0))</f>
        <v/>
      </c>
      <c r="I400" s="38" t="str">
        <f t="shared" si="1"/>
        <v/>
      </c>
      <c r="J400" s="38" t="str">
        <f>IF(A400="","",IFERROR(VLOOKUP(A400,BOOKINGS!$A:$Q,13,FALSE),0))</f>
        <v/>
      </c>
      <c r="K400" s="38" t="str">
        <f t="shared" si="2"/>
        <v/>
      </c>
      <c r="L400" s="38" t="str">
        <f t="shared" si="3"/>
        <v/>
      </c>
    </row>
    <row r="401" ht="15.75" customHeight="1">
      <c r="A401" s="33" t="str">
        <f>IF(BOOKINGS!A401="","",BOOKINGS!A401)</f>
        <v/>
      </c>
      <c r="B401" s="38" t="str">
        <f>IF(A401="","",MAX(VLOOKUP(A401,BOOKINGS!$A:$Q,6,FALSE)*VLOOKUP(VLOOKUP(A401,BOOKINGS!$A:$Q,7,FALSE),SETUP_RATES!$A:$H,3,FALSE),VLOOKUP(VLOOKUP(A401,BOOKINGS!$A:$Q,7,FALSE),SETUP_RATES!$A:$H,2,FALSE)))</f>
        <v/>
      </c>
      <c r="C401" s="38" t="str">
        <f>IF(A401="","",VLOOKUP(A401,BOOKINGS!$A:$Q,10,FALSE)*VLOOKUP(VLOOKUP(A401,BOOKINGS!$A:$Q,7,FALSE),SETUP_RATES!$A:$H,6,FALSE))</f>
        <v/>
      </c>
      <c r="D401" s="38" t="str">
        <f>IF(A401="","",MAX(0,VLOOKUP(A401,TRIP_ACTUALS!$A:$O,8,FALSE)-SETUP_RATES!$K$2)*SETUP_RATES!$K$3)</f>
        <v/>
      </c>
      <c r="E401" s="38" t="str">
        <f>IF(A401="","",VLOOKUP(A401,TRIP_ACTUALS!$A:$O,9,FALSE)*VLOOKUP(VLOOKUP(A401,BOOKINGS!$A:$Q,7,FALSE),SETUP_RATES!$A:$H,5,FALSE))</f>
        <v/>
      </c>
      <c r="F401" s="38" t="str">
        <f>IF(A401="","",IFERROR(VLOOKUP(A401,TRIP_ACTUALS!$A:$O,5,FALSE),0))</f>
        <v/>
      </c>
      <c r="G401" s="38" t="str">
        <f>IF(A401="","",IFERROR(VLOOKUP(A401,TRIP_ACTUALS!$A:$O,6,FALSE),0)+IFERROR(VLOOKUP(A401,TRIP_ACTUALS!$A:$O,7,FALSE),0))</f>
        <v/>
      </c>
      <c r="H401" s="38" t="str">
        <f>IF(A401="","",IFERROR(VLOOKUP(VLOOKUP(A401,BOOKINGS!$A:$Q,7,FALSE),SETUP_RATES!$A:$H,8,FALSE),0))</f>
        <v/>
      </c>
      <c r="I401" s="38" t="str">
        <f t="shared" si="1"/>
        <v/>
      </c>
      <c r="J401" s="38" t="str">
        <f>IF(A401="","",IFERROR(VLOOKUP(A401,BOOKINGS!$A:$Q,13,FALSE),0))</f>
        <v/>
      </c>
      <c r="K401" s="38" t="str">
        <f t="shared" si="2"/>
        <v/>
      </c>
      <c r="L401" s="38" t="str">
        <f t="shared" si="3"/>
        <v/>
      </c>
    </row>
    <row r="402" ht="15.75" customHeight="1">
      <c r="A402" s="33" t="str">
        <f>IF(BOOKINGS!A402="","",BOOKINGS!A402)</f>
        <v/>
      </c>
      <c r="B402" s="38" t="str">
        <f>IF(A402="","",MAX(VLOOKUP(A402,BOOKINGS!$A:$Q,6,FALSE)*VLOOKUP(VLOOKUP(A402,BOOKINGS!$A:$Q,7,FALSE),SETUP_RATES!$A:$H,3,FALSE),VLOOKUP(VLOOKUP(A402,BOOKINGS!$A:$Q,7,FALSE),SETUP_RATES!$A:$H,2,FALSE)))</f>
        <v/>
      </c>
      <c r="C402" s="38" t="str">
        <f>IF(A402="","",VLOOKUP(A402,BOOKINGS!$A:$Q,10,FALSE)*VLOOKUP(VLOOKUP(A402,BOOKINGS!$A:$Q,7,FALSE),SETUP_RATES!$A:$H,6,FALSE))</f>
        <v/>
      </c>
      <c r="D402" s="38" t="str">
        <f>IF(A402="","",MAX(0,VLOOKUP(A402,TRIP_ACTUALS!$A:$O,8,FALSE)-SETUP_RATES!$K$2)*SETUP_RATES!$K$3)</f>
        <v/>
      </c>
      <c r="E402" s="38" t="str">
        <f>IF(A402="","",VLOOKUP(A402,TRIP_ACTUALS!$A:$O,9,FALSE)*VLOOKUP(VLOOKUP(A402,BOOKINGS!$A:$Q,7,FALSE),SETUP_RATES!$A:$H,5,FALSE))</f>
        <v/>
      </c>
      <c r="F402" s="38" t="str">
        <f>IF(A402="","",IFERROR(VLOOKUP(A402,TRIP_ACTUALS!$A:$O,5,FALSE),0))</f>
        <v/>
      </c>
      <c r="G402" s="38" t="str">
        <f>IF(A402="","",IFERROR(VLOOKUP(A402,TRIP_ACTUALS!$A:$O,6,FALSE),0)+IFERROR(VLOOKUP(A402,TRIP_ACTUALS!$A:$O,7,FALSE),0))</f>
        <v/>
      </c>
      <c r="H402" s="38" t="str">
        <f>IF(A402="","",IFERROR(VLOOKUP(VLOOKUP(A402,BOOKINGS!$A:$Q,7,FALSE),SETUP_RATES!$A:$H,8,FALSE),0))</f>
        <v/>
      </c>
      <c r="I402" s="38" t="str">
        <f t="shared" si="1"/>
        <v/>
      </c>
      <c r="J402" s="38" t="str">
        <f>IF(A402="","",IFERROR(VLOOKUP(A402,BOOKINGS!$A:$Q,13,FALSE),0))</f>
        <v/>
      </c>
      <c r="K402" s="38" t="str">
        <f t="shared" si="2"/>
        <v/>
      </c>
      <c r="L402" s="38" t="str">
        <f t="shared" si="3"/>
        <v/>
      </c>
    </row>
    <row r="403" ht="15.75" customHeight="1">
      <c r="A403" s="33" t="str">
        <f>IF(BOOKINGS!A403="","",BOOKINGS!A403)</f>
        <v/>
      </c>
      <c r="B403" s="38" t="str">
        <f>IF(A403="","",MAX(VLOOKUP(A403,BOOKINGS!$A:$Q,6,FALSE)*VLOOKUP(VLOOKUP(A403,BOOKINGS!$A:$Q,7,FALSE),SETUP_RATES!$A:$H,3,FALSE),VLOOKUP(VLOOKUP(A403,BOOKINGS!$A:$Q,7,FALSE),SETUP_RATES!$A:$H,2,FALSE)))</f>
        <v/>
      </c>
      <c r="C403" s="38" t="str">
        <f>IF(A403="","",VLOOKUP(A403,BOOKINGS!$A:$Q,10,FALSE)*VLOOKUP(VLOOKUP(A403,BOOKINGS!$A:$Q,7,FALSE),SETUP_RATES!$A:$H,6,FALSE))</f>
        <v/>
      </c>
      <c r="D403" s="38" t="str">
        <f>IF(A403="","",MAX(0,VLOOKUP(A403,TRIP_ACTUALS!$A:$O,8,FALSE)-SETUP_RATES!$K$2)*SETUP_RATES!$K$3)</f>
        <v/>
      </c>
      <c r="E403" s="38" t="str">
        <f>IF(A403="","",VLOOKUP(A403,TRIP_ACTUALS!$A:$O,9,FALSE)*VLOOKUP(VLOOKUP(A403,BOOKINGS!$A:$Q,7,FALSE),SETUP_RATES!$A:$H,5,FALSE))</f>
        <v/>
      </c>
      <c r="F403" s="38" t="str">
        <f>IF(A403="","",IFERROR(VLOOKUP(A403,TRIP_ACTUALS!$A:$O,5,FALSE),0))</f>
        <v/>
      </c>
      <c r="G403" s="38" t="str">
        <f>IF(A403="","",IFERROR(VLOOKUP(A403,TRIP_ACTUALS!$A:$O,6,FALSE),0)+IFERROR(VLOOKUP(A403,TRIP_ACTUALS!$A:$O,7,FALSE),0))</f>
        <v/>
      </c>
      <c r="H403" s="38" t="str">
        <f>IF(A403="","",IFERROR(VLOOKUP(VLOOKUP(A403,BOOKINGS!$A:$Q,7,FALSE),SETUP_RATES!$A:$H,8,FALSE),0))</f>
        <v/>
      </c>
      <c r="I403" s="38" t="str">
        <f t="shared" si="1"/>
        <v/>
      </c>
      <c r="J403" s="38" t="str">
        <f>IF(A403="","",IFERROR(VLOOKUP(A403,BOOKINGS!$A:$Q,13,FALSE),0))</f>
        <v/>
      </c>
      <c r="K403" s="38" t="str">
        <f t="shared" si="2"/>
        <v/>
      </c>
      <c r="L403" s="38" t="str">
        <f t="shared" si="3"/>
        <v/>
      </c>
    </row>
    <row r="404" ht="15.75" customHeight="1">
      <c r="A404" s="33" t="str">
        <f>IF(BOOKINGS!A404="","",BOOKINGS!A404)</f>
        <v/>
      </c>
      <c r="B404" s="38" t="str">
        <f>IF(A404="","",MAX(VLOOKUP(A404,BOOKINGS!$A:$Q,6,FALSE)*VLOOKUP(VLOOKUP(A404,BOOKINGS!$A:$Q,7,FALSE),SETUP_RATES!$A:$H,3,FALSE),VLOOKUP(VLOOKUP(A404,BOOKINGS!$A:$Q,7,FALSE),SETUP_RATES!$A:$H,2,FALSE)))</f>
        <v/>
      </c>
      <c r="C404" s="38" t="str">
        <f>IF(A404="","",VLOOKUP(A404,BOOKINGS!$A:$Q,10,FALSE)*VLOOKUP(VLOOKUP(A404,BOOKINGS!$A:$Q,7,FALSE),SETUP_RATES!$A:$H,6,FALSE))</f>
        <v/>
      </c>
      <c r="D404" s="38" t="str">
        <f>IF(A404="","",MAX(0,VLOOKUP(A404,TRIP_ACTUALS!$A:$O,8,FALSE)-SETUP_RATES!$K$2)*SETUP_RATES!$K$3)</f>
        <v/>
      </c>
      <c r="E404" s="38" t="str">
        <f>IF(A404="","",VLOOKUP(A404,TRIP_ACTUALS!$A:$O,9,FALSE)*VLOOKUP(VLOOKUP(A404,BOOKINGS!$A:$Q,7,FALSE),SETUP_RATES!$A:$H,5,FALSE))</f>
        <v/>
      </c>
      <c r="F404" s="38" t="str">
        <f>IF(A404="","",IFERROR(VLOOKUP(A404,TRIP_ACTUALS!$A:$O,5,FALSE),0))</f>
        <v/>
      </c>
      <c r="G404" s="38" t="str">
        <f>IF(A404="","",IFERROR(VLOOKUP(A404,TRIP_ACTUALS!$A:$O,6,FALSE),0)+IFERROR(VLOOKUP(A404,TRIP_ACTUALS!$A:$O,7,FALSE),0))</f>
        <v/>
      </c>
      <c r="H404" s="38" t="str">
        <f>IF(A404="","",IFERROR(VLOOKUP(VLOOKUP(A404,BOOKINGS!$A:$Q,7,FALSE),SETUP_RATES!$A:$H,8,FALSE),0))</f>
        <v/>
      </c>
      <c r="I404" s="38" t="str">
        <f t="shared" si="1"/>
        <v/>
      </c>
      <c r="J404" s="38" t="str">
        <f>IF(A404="","",IFERROR(VLOOKUP(A404,BOOKINGS!$A:$Q,13,FALSE),0))</f>
        <v/>
      </c>
      <c r="K404" s="38" t="str">
        <f t="shared" si="2"/>
        <v/>
      </c>
      <c r="L404" s="38" t="str">
        <f t="shared" si="3"/>
        <v/>
      </c>
    </row>
    <row r="405" ht="15.75" customHeight="1">
      <c r="A405" s="33" t="str">
        <f>IF(BOOKINGS!A405="","",BOOKINGS!A405)</f>
        <v/>
      </c>
      <c r="B405" s="38" t="str">
        <f>IF(A405="","",MAX(VLOOKUP(A405,BOOKINGS!$A:$Q,6,FALSE)*VLOOKUP(VLOOKUP(A405,BOOKINGS!$A:$Q,7,FALSE),SETUP_RATES!$A:$H,3,FALSE),VLOOKUP(VLOOKUP(A405,BOOKINGS!$A:$Q,7,FALSE),SETUP_RATES!$A:$H,2,FALSE)))</f>
        <v/>
      </c>
      <c r="C405" s="38" t="str">
        <f>IF(A405="","",VLOOKUP(A405,BOOKINGS!$A:$Q,10,FALSE)*VLOOKUP(VLOOKUP(A405,BOOKINGS!$A:$Q,7,FALSE),SETUP_RATES!$A:$H,6,FALSE))</f>
        <v/>
      </c>
      <c r="D405" s="38" t="str">
        <f>IF(A405="","",MAX(0,VLOOKUP(A405,TRIP_ACTUALS!$A:$O,8,FALSE)-SETUP_RATES!$K$2)*SETUP_RATES!$K$3)</f>
        <v/>
      </c>
      <c r="E405" s="38" t="str">
        <f>IF(A405="","",VLOOKUP(A405,TRIP_ACTUALS!$A:$O,9,FALSE)*VLOOKUP(VLOOKUP(A405,BOOKINGS!$A:$Q,7,FALSE),SETUP_RATES!$A:$H,5,FALSE))</f>
        <v/>
      </c>
      <c r="F405" s="38" t="str">
        <f>IF(A405="","",IFERROR(VLOOKUP(A405,TRIP_ACTUALS!$A:$O,5,FALSE),0))</f>
        <v/>
      </c>
      <c r="G405" s="38" t="str">
        <f>IF(A405="","",IFERROR(VLOOKUP(A405,TRIP_ACTUALS!$A:$O,6,FALSE),0)+IFERROR(VLOOKUP(A405,TRIP_ACTUALS!$A:$O,7,FALSE),0))</f>
        <v/>
      </c>
      <c r="H405" s="38" t="str">
        <f>IF(A405="","",IFERROR(VLOOKUP(VLOOKUP(A405,BOOKINGS!$A:$Q,7,FALSE),SETUP_RATES!$A:$H,8,FALSE),0))</f>
        <v/>
      </c>
      <c r="I405" s="38" t="str">
        <f t="shared" si="1"/>
        <v/>
      </c>
      <c r="J405" s="38" t="str">
        <f>IF(A405="","",IFERROR(VLOOKUP(A405,BOOKINGS!$A:$Q,13,FALSE),0))</f>
        <v/>
      </c>
      <c r="K405" s="38" t="str">
        <f t="shared" si="2"/>
        <v/>
      </c>
      <c r="L405" s="38" t="str">
        <f t="shared" si="3"/>
        <v/>
      </c>
    </row>
    <row r="406" ht="15.75" customHeight="1">
      <c r="A406" s="33" t="str">
        <f>IF(BOOKINGS!A406="","",BOOKINGS!A406)</f>
        <v/>
      </c>
      <c r="B406" s="38" t="str">
        <f>IF(A406="","",MAX(VLOOKUP(A406,BOOKINGS!$A:$Q,6,FALSE)*VLOOKUP(VLOOKUP(A406,BOOKINGS!$A:$Q,7,FALSE),SETUP_RATES!$A:$H,3,FALSE),VLOOKUP(VLOOKUP(A406,BOOKINGS!$A:$Q,7,FALSE),SETUP_RATES!$A:$H,2,FALSE)))</f>
        <v/>
      </c>
      <c r="C406" s="38" t="str">
        <f>IF(A406="","",VLOOKUP(A406,BOOKINGS!$A:$Q,10,FALSE)*VLOOKUP(VLOOKUP(A406,BOOKINGS!$A:$Q,7,FALSE),SETUP_RATES!$A:$H,6,FALSE))</f>
        <v/>
      </c>
      <c r="D406" s="38" t="str">
        <f>IF(A406="","",MAX(0,VLOOKUP(A406,TRIP_ACTUALS!$A:$O,8,FALSE)-SETUP_RATES!$K$2)*SETUP_RATES!$K$3)</f>
        <v/>
      </c>
      <c r="E406" s="38" t="str">
        <f>IF(A406="","",VLOOKUP(A406,TRIP_ACTUALS!$A:$O,9,FALSE)*VLOOKUP(VLOOKUP(A406,BOOKINGS!$A:$Q,7,FALSE),SETUP_RATES!$A:$H,5,FALSE))</f>
        <v/>
      </c>
      <c r="F406" s="38" t="str">
        <f>IF(A406="","",IFERROR(VLOOKUP(A406,TRIP_ACTUALS!$A:$O,5,FALSE),0))</f>
        <v/>
      </c>
      <c r="G406" s="38" t="str">
        <f>IF(A406="","",IFERROR(VLOOKUP(A406,TRIP_ACTUALS!$A:$O,6,FALSE),0)+IFERROR(VLOOKUP(A406,TRIP_ACTUALS!$A:$O,7,FALSE),0))</f>
        <v/>
      </c>
      <c r="H406" s="38" t="str">
        <f>IF(A406="","",IFERROR(VLOOKUP(VLOOKUP(A406,BOOKINGS!$A:$Q,7,FALSE),SETUP_RATES!$A:$H,8,FALSE),0))</f>
        <v/>
      </c>
      <c r="I406" s="38" t="str">
        <f t="shared" si="1"/>
        <v/>
      </c>
      <c r="J406" s="38" t="str">
        <f>IF(A406="","",IFERROR(VLOOKUP(A406,BOOKINGS!$A:$Q,13,FALSE),0))</f>
        <v/>
      </c>
      <c r="K406" s="38" t="str">
        <f t="shared" si="2"/>
        <v/>
      </c>
      <c r="L406" s="38" t="str">
        <f t="shared" si="3"/>
        <v/>
      </c>
    </row>
    <row r="407" ht="15.75" customHeight="1">
      <c r="A407" s="33" t="str">
        <f>IF(BOOKINGS!A407="","",BOOKINGS!A407)</f>
        <v/>
      </c>
      <c r="B407" s="38" t="str">
        <f>IF(A407="","",MAX(VLOOKUP(A407,BOOKINGS!$A:$Q,6,FALSE)*VLOOKUP(VLOOKUP(A407,BOOKINGS!$A:$Q,7,FALSE),SETUP_RATES!$A:$H,3,FALSE),VLOOKUP(VLOOKUP(A407,BOOKINGS!$A:$Q,7,FALSE),SETUP_RATES!$A:$H,2,FALSE)))</f>
        <v/>
      </c>
      <c r="C407" s="38" t="str">
        <f>IF(A407="","",VLOOKUP(A407,BOOKINGS!$A:$Q,10,FALSE)*VLOOKUP(VLOOKUP(A407,BOOKINGS!$A:$Q,7,FALSE),SETUP_RATES!$A:$H,6,FALSE))</f>
        <v/>
      </c>
      <c r="D407" s="38" t="str">
        <f>IF(A407="","",MAX(0,VLOOKUP(A407,TRIP_ACTUALS!$A:$O,8,FALSE)-SETUP_RATES!$K$2)*SETUP_RATES!$K$3)</f>
        <v/>
      </c>
      <c r="E407" s="38" t="str">
        <f>IF(A407="","",VLOOKUP(A407,TRIP_ACTUALS!$A:$O,9,FALSE)*VLOOKUP(VLOOKUP(A407,BOOKINGS!$A:$Q,7,FALSE),SETUP_RATES!$A:$H,5,FALSE))</f>
        <v/>
      </c>
      <c r="F407" s="38" t="str">
        <f>IF(A407="","",IFERROR(VLOOKUP(A407,TRIP_ACTUALS!$A:$O,5,FALSE),0))</f>
        <v/>
      </c>
      <c r="G407" s="38" t="str">
        <f>IF(A407="","",IFERROR(VLOOKUP(A407,TRIP_ACTUALS!$A:$O,6,FALSE),0)+IFERROR(VLOOKUP(A407,TRIP_ACTUALS!$A:$O,7,FALSE),0))</f>
        <v/>
      </c>
      <c r="H407" s="38" t="str">
        <f>IF(A407="","",IFERROR(VLOOKUP(VLOOKUP(A407,BOOKINGS!$A:$Q,7,FALSE),SETUP_RATES!$A:$H,8,FALSE),0))</f>
        <v/>
      </c>
      <c r="I407" s="38" t="str">
        <f t="shared" si="1"/>
        <v/>
      </c>
      <c r="J407" s="38" t="str">
        <f>IF(A407="","",IFERROR(VLOOKUP(A407,BOOKINGS!$A:$Q,13,FALSE),0))</f>
        <v/>
      </c>
      <c r="K407" s="38" t="str">
        <f t="shared" si="2"/>
        <v/>
      </c>
      <c r="L407" s="38" t="str">
        <f t="shared" si="3"/>
        <v/>
      </c>
    </row>
    <row r="408" ht="15.75" customHeight="1">
      <c r="A408" s="33" t="str">
        <f>IF(BOOKINGS!A408="","",BOOKINGS!A408)</f>
        <v/>
      </c>
      <c r="B408" s="38" t="str">
        <f>IF(A408="","",MAX(VLOOKUP(A408,BOOKINGS!$A:$Q,6,FALSE)*VLOOKUP(VLOOKUP(A408,BOOKINGS!$A:$Q,7,FALSE),SETUP_RATES!$A:$H,3,FALSE),VLOOKUP(VLOOKUP(A408,BOOKINGS!$A:$Q,7,FALSE),SETUP_RATES!$A:$H,2,FALSE)))</f>
        <v/>
      </c>
      <c r="C408" s="38" t="str">
        <f>IF(A408="","",VLOOKUP(A408,BOOKINGS!$A:$Q,10,FALSE)*VLOOKUP(VLOOKUP(A408,BOOKINGS!$A:$Q,7,FALSE),SETUP_RATES!$A:$H,6,FALSE))</f>
        <v/>
      </c>
      <c r="D408" s="38" t="str">
        <f>IF(A408="","",MAX(0,VLOOKUP(A408,TRIP_ACTUALS!$A:$O,8,FALSE)-SETUP_RATES!$K$2)*SETUP_RATES!$K$3)</f>
        <v/>
      </c>
      <c r="E408" s="38" t="str">
        <f>IF(A408="","",VLOOKUP(A408,TRIP_ACTUALS!$A:$O,9,FALSE)*VLOOKUP(VLOOKUP(A408,BOOKINGS!$A:$Q,7,FALSE),SETUP_RATES!$A:$H,5,FALSE))</f>
        <v/>
      </c>
      <c r="F408" s="38" t="str">
        <f>IF(A408="","",IFERROR(VLOOKUP(A408,TRIP_ACTUALS!$A:$O,5,FALSE),0))</f>
        <v/>
      </c>
      <c r="G408" s="38" t="str">
        <f>IF(A408="","",IFERROR(VLOOKUP(A408,TRIP_ACTUALS!$A:$O,6,FALSE),0)+IFERROR(VLOOKUP(A408,TRIP_ACTUALS!$A:$O,7,FALSE),0))</f>
        <v/>
      </c>
      <c r="H408" s="38" t="str">
        <f>IF(A408="","",IFERROR(VLOOKUP(VLOOKUP(A408,BOOKINGS!$A:$Q,7,FALSE),SETUP_RATES!$A:$H,8,FALSE),0))</f>
        <v/>
      </c>
      <c r="I408" s="38" t="str">
        <f t="shared" si="1"/>
        <v/>
      </c>
      <c r="J408" s="38" t="str">
        <f>IF(A408="","",IFERROR(VLOOKUP(A408,BOOKINGS!$A:$Q,13,FALSE),0))</f>
        <v/>
      </c>
      <c r="K408" s="38" t="str">
        <f t="shared" si="2"/>
        <v/>
      </c>
      <c r="L408" s="38" t="str">
        <f t="shared" si="3"/>
        <v/>
      </c>
    </row>
    <row r="409" ht="15.75" customHeight="1">
      <c r="A409" s="33" t="str">
        <f>IF(BOOKINGS!A409="","",BOOKINGS!A409)</f>
        <v/>
      </c>
      <c r="B409" s="38" t="str">
        <f>IF(A409="","",MAX(VLOOKUP(A409,BOOKINGS!$A:$Q,6,FALSE)*VLOOKUP(VLOOKUP(A409,BOOKINGS!$A:$Q,7,FALSE),SETUP_RATES!$A:$H,3,FALSE),VLOOKUP(VLOOKUP(A409,BOOKINGS!$A:$Q,7,FALSE),SETUP_RATES!$A:$H,2,FALSE)))</f>
        <v/>
      </c>
      <c r="C409" s="38" t="str">
        <f>IF(A409="","",VLOOKUP(A409,BOOKINGS!$A:$Q,10,FALSE)*VLOOKUP(VLOOKUP(A409,BOOKINGS!$A:$Q,7,FALSE),SETUP_RATES!$A:$H,6,FALSE))</f>
        <v/>
      </c>
      <c r="D409" s="38" t="str">
        <f>IF(A409="","",MAX(0,VLOOKUP(A409,TRIP_ACTUALS!$A:$O,8,FALSE)-SETUP_RATES!$K$2)*SETUP_RATES!$K$3)</f>
        <v/>
      </c>
      <c r="E409" s="38" t="str">
        <f>IF(A409="","",VLOOKUP(A409,TRIP_ACTUALS!$A:$O,9,FALSE)*VLOOKUP(VLOOKUP(A409,BOOKINGS!$A:$Q,7,FALSE),SETUP_RATES!$A:$H,5,FALSE))</f>
        <v/>
      </c>
      <c r="F409" s="38" t="str">
        <f>IF(A409="","",IFERROR(VLOOKUP(A409,TRIP_ACTUALS!$A:$O,5,FALSE),0))</f>
        <v/>
      </c>
      <c r="G409" s="38" t="str">
        <f>IF(A409="","",IFERROR(VLOOKUP(A409,TRIP_ACTUALS!$A:$O,6,FALSE),0)+IFERROR(VLOOKUP(A409,TRIP_ACTUALS!$A:$O,7,FALSE),0))</f>
        <v/>
      </c>
      <c r="H409" s="38" t="str">
        <f>IF(A409="","",IFERROR(VLOOKUP(VLOOKUP(A409,BOOKINGS!$A:$Q,7,FALSE),SETUP_RATES!$A:$H,8,FALSE),0))</f>
        <v/>
      </c>
      <c r="I409" s="38" t="str">
        <f t="shared" si="1"/>
        <v/>
      </c>
      <c r="J409" s="38" t="str">
        <f>IF(A409="","",IFERROR(VLOOKUP(A409,BOOKINGS!$A:$Q,13,FALSE),0))</f>
        <v/>
      </c>
      <c r="K409" s="38" t="str">
        <f t="shared" si="2"/>
        <v/>
      </c>
      <c r="L409" s="38" t="str">
        <f t="shared" si="3"/>
        <v/>
      </c>
    </row>
    <row r="410" ht="15.75" customHeight="1">
      <c r="A410" s="33" t="str">
        <f>IF(BOOKINGS!A410="","",BOOKINGS!A410)</f>
        <v/>
      </c>
      <c r="B410" s="38" t="str">
        <f>IF(A410="","",MAX(VLOOKUP(A410,BOOKINGS!$A:$Q,6,FALSE)*VLOOKUP(VLOOKUP(A410,BOOKINGS!$A:$Q,7,FALSE),SETUP_RATES!$A:$H,3,FALSE),VLOOKUP(VLOOKUP(A410,BOOKINGS!$A:$Q,7,FALSE),SETUP_RATES!$A:$H,2,FALSE)))</f>
        <v/>
      </c>
      <c r="C410" s="38" t="str">
        <f>IF(A410="","",VLOOKUP(A410,BOOKINGS!$A:$Q,10,FALSE)*VLOOKUP(VLOOKUP(A410,BOOKINGS!$A:$Q,7,FALSE),SETUP_RATES!$A:$H,6,FALSE))</f>
        <v/>
      </c>
      <c r="D410" s="38" t="str">
        <f>IF(A410="","",MAX(0,VLOOKUP(A410,TRIP_ACTUALS!$A:$O,8,FALSE)-SETUP_RATES!$K$2)*SETUP_RATES!$K$3)</f>
        <v/>
      </c>
      <c r="E410" s="38" t="str">
        <f>IF(A410="","",VLOOKUP(A410,TRIP_ACTUALS!$A:$O,9,FALSE)*VLOOKUP(VLOOKUP(A410,BOOKINGS!$A:$Q,7,FALSE),SETUP_RATES!$A:$H,5,FALSE))</f>
        <v/>
      </c>
      <c r="F410" s="38" t="str">
        <f>IF(A410="","",IFERROR(VLOOKUP(A410,TRIP_ACTUALS!$A:$O,5,FALSE),0))</f>
        <v/>
      </c>
      <c r="G410" s="38" t="str">
        <f>IF(A410="","",IFERROR(VLOOKUP(A410,TRIP_ACTUALS!$A:$O,6,FALSE),0)+IFERROR(VLOOKUP(A410,TRIP_ACTUALS!$A:$O,7,FALSE),0))</f>
        <v/>
      </c>
      <c r="H410" s="38" t="str">
        <f>IF(A410="","",IFERROR(VLOOKUP(VLOOKUP(A410,BOOKINGS!$A:$Q,7,FALSE),SETUP_RATES!$A:$H,8,FALSE),0))</f>
        <v/>
      </c>
      <c r="I410" s="38" t="str">
        <f t="shared" si="1"/>
        <v/>
      </c>
      <c r="J410" s="38" t="str">
        <f>IF(A410="","",IFERROR(VLOOKUP(A410,BOOKINGS!$A:$Q,13,FALSE),0))</f>
        <v/>
      </c>
      <c r="K410" s="38" t="str">
        <f t="shared" si="2"/>
        <v/>
      </c>
      <c r="L410" s="38" t="str">
        <f t="shared" si="3"/>
        <v/>
      </c>
    </row>
    <row r="411" ht="15.75" customHeight="1">
      <c r="A411" s="33" t="str">
        <f>IF(BOOKINGS!A411="","",BOOKINGS!A411)</f>
        <v/>
      </c>
      <c r="B411" s="38" t="str">
        <f>IF(A411="","",MAX(VLOOKUP(A411,BOOKINGS!$A:$Q,6,FALSE)*VLOOKUP(VLOOKUP(A411,BOOKINGS!$A:$Q,7,FALSE),SETUP_RATES!$A:$H,3,FALSE),VLOOKUP(VLOOKUP(A411,BOOKINGS!$A:$Q,7,FALSE),SETUP_RATES!$A:$H,2,FALSE)))</f>
        <v/>
      </c>
      <c r="C411" s="38" t="str">
        <f>IF(A411="","",VLOOKUP(A411,BOOKINGS!$A:$Q,10,FALSE)*VLOOKUP(VLOOKUP(A411,BOOKINGS!$A:$Q,7,FALSE),SETUP_RATES!$A:$H,6,FALSE))</f>
        <v/>
      </c>
      <c r="D411" s="38" t="str">
        <f>IF(A411="","",MAX(0,VLOOKUP(A411,TRIP_ACTUALS!$A:$O,8,FALSE)-SETUP_RATES!$K$2)*SETUP_RATES!$K$3)</f>
        <v/>
      </c>
      <c r="E411" s="38" t="str">
        <f>IF(A411="","",VLOOKUP(A411,TRIP_ACTUALS!$A:$O,9,FALSE)*VLOOKUP(VLOOKUP(A411,BOOKINGS!$A:$Q,7,FALSE),SETUP_RATES!$A:$H,5,FALSE))</f>
        <v/>
      </c>
      <c r="F411" s="38" t="str">
        <f>IF(A411="","",IFERROR(VLOOKUP(A411,TRIP_ACTUALS!$A:$O,5,FALSE),0))</f>
        <v/>
      </c>
      <c r="G411" s="38" t="str">
        <f>IF(A411="","",IFERROR(VLOOKUP(A411,TRIP_ACTUALS!$A:$O,6,FALSE),0)+IFERROR(VLOOKUP(A411,TRIP_ACTUALS!$A:$O,7,FALSE),0))</f>
        <v/>
      </c>
      <c r="H411" s="38" t="str">
        <f>IF(A411="","",IFERROR(VLOOKUP(VLOOKUP(A411,BOOKINGS!$A:$Q,7,FALSE),SETUP_RATES!$A:$H,8,FALSE),0))</f>
        <v/>
      </c>
      <c r="I411" s="38" t="str">
        <f t="shared" si="1"/>
        <v/>
      </c>
      <c r="J411" s="38" t="str">
        <f>IF(A411="","",IFERROR(VLOOKUP(A411,BOOKINGS!$A:$Q,13,FALSE),0))</f>
        <v/>
      </c>
      <c r="K411" s="38" t="str">
        <f t="shared" si="2"/>
        <v/>
      </c>
      <c r="L411" s="38" t="str">
        <f t="shared" si="3"/>
        <v/>
      </c>
    </row>
    <row r="412" ht="15.75" customHeight="1">
      <c r="A412" s="33" t="str">
        <f>IF(BOOKINGS!A412="","",BOOKINGS!A412)</f>
        <v/>
      </c>
      <c r="B412" s="38" t="str">
        <f>IF(A412="","",MAX(VLOOKUP(A412,BOOKINGS!$A:$Q,6,FALSE)*VLOOKUP(VLOOKUP(A412,BOOKINGS!$A:$Q,7,FALSE),SETUP_RATES!$A:$H,3,FALSE),VLOOKUP(VLOOKUP(A412,BOOKINGS!$A:$Q,7,FALSE),SETUP_RATES!$A:$H,2,FALSE)))</f>
        <v/>
      </c>
      <c r="C412" s="38" t="str">
        <f>IF(A412="","",VLOOKUP(A412,BOOKINGS!$A:$Q,10,FALSE)*VLOOKUP(VLOOKUP(A412,BOOKINGS!$A:$Q,7,FALSE),SETUP_RATES!$A:$H,6,FALSE))</f>
        <v/>
      </c>
      <c r="D412" s="38" t="str">
        <f>IF(A412="","",MAX(0,VLOOKUP(A412,TRIP_ACTUALS!$A:$O,8,FALSE)-SETUP_RATES!$K$2)*SETUP_RATES!$K$3)</f>
        <v/>
      </c>
      <c r="E412" s="38" t="str">
        <f>IF(A412="","",VLOOKUP(A412,TRIP_ACTUALS!$A:$O,9,FALSE)*VLOOKUP(VLOOKUP(A412,BOOKINGS!$A:$Q,7,FALSE),SETUP_RATES!$A:$H,5,FALSE))</f>
        <v/>
      </c>
      <c r="F412" s="38" t="str">
        <f>IF(A412="","",IFERROR(VLOOKUP(A412,TRIP_ACTUALS!$A:$O,5,FALSE),0))</f>
        <v/>
      </c>
      <c r="G412" s="38" t="str">
        <f>IF(A412="","",IFERROR(VLOOKUP(A412,TRIP_ACTUALS!$A:$O,6,FALSE),0)+IFERROR(VLOOKUP(A412,TRIP_ACTUALS!$A:$O,7,FALSE),0))</f>
        <v/>
      </c>
      <c r="H412" s="38" t="str">
        <f>IF(A412="","",IFERROR(VLOOKUP(VLOOKUP(A412,BOOKINGS!$A:$Q,7,FALSE),SETUP_RATES!$A:$H,8,FALSE),0))</f>
        <v/>
      </c>
      <c r="I412" s="38" t="str">
        <f t="shared" si="1"/>
        <v/>
      </c>
      <c r="J412" s="38" t="str">
        <f>IF(A412="","",IFERROR(VLOOKUP(A412,BOOKINGS!$A:$Q,13,FALSE),0))</f>
        <v/>
      </c>
      <c r="K412" s="38" t="str">
        <f t="shared" si="2"/>
        <v/>
      </c>
      <c r="L412" s="38" t="str">
        <f t="shared" si="3"/>
        <v/>
      </c>
    </row>
    <row r="413" ht="15.75" customHeight="1">
      <c r="A413" s="33" t="str">
        <f>IF(BOOKINGS!A413="","",BOOKINGS!A413)</f>
        <v/>
      </c>
      <c r="B413" s="38" t="str">
        <f>IF(A413="","",MAX(VLOOKUP(A413,BOOKINGS!$A:$Q,6,FALSE)*VLOOKUP(VLOOKUP(A413,BOOKINGS!$A:$Q,7,FALSE),SETUP_RATES!$A:$H,3,FALSE),VLOOKUP(VLOOKUP(A413,BOOKINGS!$A:$Q,7,FALSE),SETUP_RATES!$A:$H,2,FALSE)))</f>
        <v/>
      </c>
      <c r="C413" s="38" t="str">
        <f>IF(A413="","",VLOOKUP(A413,BOOKINGS!$A:$Q,10,FALSE)*VLOOKUP(VLOOKUP(A413,BOOKINGS!$A:$Q,7,FALSE),SETUP_RATES!$A:$H,6,FALSE))</f>
        <v/>
      </c>
      <c r="D413" s="38" t="str">
        <f>IF(A413="","",MAX(0,VLOOKUP(A413,TRIP_ACTUALS!$A:$O,8,FALSE)-SETUP_RATES!$K$2)*SETUP_RATES!$K$3)</f>
        <v/>
      </c>
      <c r="E413" s="38" t="str">
        <f>IF(A413="","",VLOOKUP(A413,TRIP_ACTUALS!$A:$O,9,FALSE)*VLOOKUP(VLOOKUP(A413,BOOKINGS!$A:$Q,7,FALSE),SETUP_RATES!$A:$H,5,FALSE))</f>
        <v/>
      </c>
      <c r="F413" s="38" t="str">
        <f>IF(A413="","",IFERROR(VLOOKUP(A413,TRIP_ACTUALS!$A:$O,5,FALSE),0))</f>
        <v/>
      </c>
      <c r="G413" s="38" t="str">
        <f>IF(A413="","",IFERROR(VLOOKUP(A413,TRIP_ACTUALS!$A:$O,6,FALSE),0)+IFERROR(VLOOKUP(A413,TRIP_ACTUALS!$A:$O,7,FALSE),0))</f>
        <v/>
      </c>
      <c r="H413" s="38" t="str">
        <f>IF(A413="","",IFERROR(VLOOKUP(VLOOKUP(A413,BOOKINGS!$A:$Q,7,FALSE),SETUP_RATES!$A:$H,8,FALSE),0))</f>
        <v/>
      </c>
      <c r="I413" s="38" t="str">
        <f t="shared" si="1"/>
        <v/>
      </c>
      <c r="J413" s="38" t="str">
        <f>IF(A413="","",IFERROR(VLOOKUP(A413,BOOKINGS!$A:$Q,13,FALSE),0))</f>
        <v/>
      </c>
      <c r="K413" s="38" t="str">
        <f t="shared" si="2"/>
        <v/>
      </c>
      <c r="L413" s="38" t="str">
        <f t="shared" si="3"/>
        <v/>
      </c>
    </row>
    <row r="414" ht="15.75" customHeight="1">
      <c r="A414" s="33" t="str">
        <f>IF(BOOKINGS!A414="","",BOOKINGS!A414)</f>
        <v/>
      </c>
      <c r="B414" s="38" t="str">
        <f>IF(A414="","",MAX(VLOOKUP(A414,BOOKINGS!$A:$Q,6,FALSE)*VLOOKUP(VLOOKUP(A414,BOOKINGS!$A:$Q,7,FALSE),SETUP_RATES!$A:$H,3,FALSE),VLOOKUP(VLOOKUP(A414,BOOKINGS!$A:$Q,7,FALSE),SETUP_RATES!$A:$H,2,FALSE)))</f>
        <v/>
      </c>
      <c r="C414" s="38" t="str">
        <f>IF(A414="","",VLOOKUP(A414,BOOKINGS!$A:$Q,10,FALSE)*VLOOKUP(VLOOKUP(A414,BOOKINGS!$A:$Q,7,FALSE),SETUP_RATES!$A:$H,6,FALSE))</f>
        <v/>
      </c>
      <c r="D414" s="38" t="str">
        <f>IF(A414="","",MAX(0,VLOOKUP(A414,TRIP_ACTUALS!$A:$O,8,FALSE)-SETUP_RATES!$K$2)*SETUP_RATES!$K$3)</f>
        <v/>
      </c>
      <c r="E414" s="38" t="str">
        <f>IF(A414="","",VLOOKUP(A414,TRIP_ACTUALS!$A:$O,9,FALSE)*VLOOKUP(VLOOKUP(A414,BOOKINGS!$A:$Q,7,FALSE),SETUP_RATES!$A:$H,5,FALSE))</f>
        <v/>
      </c>
      <c r="F414" s="38" t="str">
        <f>IF(A414="","",IFERROR(VLOOKUP(A414,TRIP_ACTUALS!$A:$O,5,FALSE),0))</f>
        <v/>
      </c>
      <c r="G414" s="38" t="str">
        <f>IF(A414="","",IFERROR(VLOOKUP(A414,TRIP_ACTUALS!$A:$O,6,FALSE),0)+IFERROR(VLOOKUP(A414,TRIP_ACTUALS!$A:$O,7,FALSE),0))</f>
        <v/>
      </c>
      <c r="H414" s="38" t="str">
        <f>IF(A414="","",IFERROR(VLOOKUP(VLOOKUP(A414,BOOKINGS!$A:$Q,7,FALSE),SETUP_RATES!$A:$H,8,FALSE),0))</f>
        <v/>
      </c>
      <c r="I414" s="38" t="str">
        <f t="shared" si="1"/>
        <v/>
      </c>
      <c r="J414" s="38" t="str">
        <f>IF(A414="","",IFERROR(VLOOKUP(A414,BOOKINGS!$A:$Q,13,FALSE),0))</f>
        <v/>
      </c>
      <c r="K414" s="38" t="str">
        <f t="shared" si="2"/>
        <v/>
      </c>
      <c r="L414" s="38" t="str">
        <f t="shared" si="3"/>
        <v/>
      </c>
    </row>
    <row r="415" ht="15.75" customHeight="1">
      <c r="A415" s="33" t="str">
        <f>IF(BOOKINGS!A415="","",BOOKINGS!A415)</f>
        <v/>
      </c>
      <c r="B415" s="38" t="str">
        <f>IF(A415="","",MAX(VLOOKUP(A415,BOOKINGS!$A:$Q,6,FALSE)*VLOOKUP(VLOOKUP(A415,BOOKINGS!$A:$Q,7,FALSE),SETUP_RATES!$A:$H,3,FALSE),VLOOKUP(VLOOKUP(A415,BOOKINGS!$A:$Q,7,FALSE),SETUP_RATES!$A:$H,2,FALSE)))</f>
        <v/>
      </c>
      <c r="C415" s="38" t="str">
        <f>IF(A415="","",VLOOKUP(A415,BOOKINGS!$A:$Q,10,FALSE)*VLOOKUP(VLOOKUP(A415,BOOKINGS!$A:$Q,7,FALSE),SETUP_RATES!$A:$H,6,FALSE))</f>
        <v/>
      </c>
      <c r="D415" s="38" t="str">
        <f>IF(A415="","",MAX(0,VLOOKUP(A415,TRIP_ACTUALS!$A:$O,8,FALSE)-SETUP_RATES!$K$2)*SETUP_RATES!$K$3)</f>
        <v/>
      </c>
      <c r="E415" s="38" t="str">
        <f>IF(A415="","",VLOOKUP(A415,TRIP_ACTUALS!$A:$O,9,FALSE)*VLOOKUP(VLOOKUP(A415,BOOKINGS!$A:$Q,7,FALSE),SETUP_RATES!$A:$H,5,FALSE))</f>
        <v/>
      </c>
      <c r="F415" s="38" t="str">
        <f>IF(A415="","",IFERROR(VLOOKUP(A415,TRIP_ACTUALS!$A:$O,5,FALSE),0))</f>
        <v/>
      </c>
      <c r="G415" s="38" t="str">
        <f>IF(A415="","",IFERROR(VLOOKUP(A415,TRIP_ACTUALS!$A:$O,6,FALSE),0)+IFERROR(VLOOKUP(A415,TRIP_ACTUALS!$A:$O,7,FALSE),0))</f>
        <v/>
      </c>
      <c r="H415" s="38" t="str">
        <f>IF(A415="","",IFERROR(VLOOKUP(VLOOKUP(A415,BOOKINGS!$A:$Q,7,FALSE),SETUP_RATES!$A:$H,8,FALSE),0))</f>
        <v/>
      </c>
      <c r="I415" s="38" t="str">
        <f t="shared" si="1"/>
        <v/>
      </c>
      <c r="J415" s="38" t="str">
        <f>IF(A415="","",IFERROR(VLOOKUP(A415,BOOKINGS!$A:$Q,13,FALSE),0))</f>
        <v/>
      </c>
      <c r="K415" s="38" t="str">
        <f t="shared" si="2"/>
        <v/>
      </c>
      <c r="L415" s="38" t="str">
        <f t="shared" si="3"/>
        <v/>
      </c>
    </row>
    <row r="416" ht="15.75" customHeight="1">
      <c r="A416" s="33" t="str">
        <f>IF(BOOKINGS!A416="","",BOOKINGS!A416)</f>
        <v/>
      </c>
      <c r="B416" s="38" t="str">
        <f>IF(A416="","",MAX(VLOOKUP(A416,BOOKINGS!$A:$Q,6,FALSE)*VLOOKUP(VLOOKUP(A416,BOOKINGS!$A:$Q,7,FALSE),SETUP_RATES!$A:$H,3,FALSE),VLOOKUP(VLOOKUP(A416,BOOKINGS!$A:$Q,7,FALSE),SETUP_RATES!$A:$H,2,FALSE)))</f>
        <v/>
      </c>
      <c r="C416" s="38" t="str">
        <f>IF(A416="","",VLOOKUP(A416,BOOKINGS!$A:$Q,10,FALSE)*VLOOKUP(VLOOKUP(A416,BOOKINGS!$A:$Q,7,FALSE),SETUP_RATES!$A:$H,6,FALSE))</f>
        <v/>
      </c>
      <c r="D416" s="38" t="str">
        <f>IF(A416="","",MAX(0,VLOOKUP(A416,TRIP_ACTUALS!$A:$O,8,FALSE)-SETUP_RATES!$K$2)*SETUP_RATES!$K$3)</f>
        <v/>
      </c>
      <c r="E416" s="38" t="str">
        <f>IF(A416="","",VLOOKUP(A416,TRIP_ACTUALS!$A:$O,9,FALSE)*VLOOKUP(VLOOKUP(A416,BOOKINGS!$A:$Q,7,FALSE),SETUP_RATES!$A:$H,5,FALSE))</f>
        <v/>
      </c>
      <c r="F416" s="38" t="str">
        <f>IF(A416="","",IFERROR(VLOOKUP(A416,TRIP_ACTUALS!$A:$O,5,FALSE),0))</f>
        <v/>
      </c>
      <c r="G416" s="38" t="str">
        <f>IF(A416="","",IFERROR(VLOOKUP(A416,TRIP_ACTUALS!$A:$O,6,FALSE),0)+IFERROR(VLOOKUP(A416,TRIP_ACTUALS!$A:$O,7,FALSE),0))</f>
        <v/>
      </c>
      <c r="H416" s="38" t="str">
        <f>IF(A416="","",IFERROR(VLOOKUP(VLOOKUP(A416,BOOKINGS!$A:$Q,7,FALSE),SETUP_RATES!$A:$H,8,FALSE),0))</f>
        <v/>
      </c>
      <c r="I416" s="38" t="str">
        <f t="shared" si="1"/>
        <v/>
      </c>
      <c r="J416" s="38" t="str">
        <f>IF(A416="","",IFERROR(VLOOKUP(A416,BOOKINGS!$A:$Q,13,FALSE),0))</f>
        <v/>
      </c>
      <c r="K416" s="38" t="str">
        <f t="shared" si="2"/>
        <v/>
      </c>
      <c r="L416" s="38" t="str">
        <f t="shared" si="3"/>
        <v/>
      </c>
    </row>
    <row r="417" ht="15.75" customHeight="1">
      <c r="A417" s="33" t="str">
        <f>IF(BOOKINGS!A417="","",BOOKINGS!A417)</f>
        <v/>
      </c>
      <c r="B417" s="38" t="str">
        <f>IF(A417="","",MAX(VLOOKUP(A417,BOOKINGS!$A:$Q,6,FALSE)*VLOOKUP(VLOOKUP(A417,BOOKINGS!$A:$Q,7,FALSE),SETUP_RATES!$A:$H,3,FALSE),VLOOKUP(VLOOKUP(A417,BOOKINGS!$A:$Q,7,FALSE),SETUP_RATES!$A:$H,2,FALSE)))</f>
        <v/>
      </c>
      <c r="C417" s="38" t="str">
        <f>IF(A417="","",VLOOKUP(A417,BOOKINGS!$A:$Q,10,FALSE)*VLOOKUP(VLOOKUP(A417,BOOKINGS!$A:$Q,7,FALSE),SETUP_RATES!$A:$H,6,FALSE))</f>
        <v/>
      </c>
      <c r="D417" s="38" t="str">
        <f>IF(A417="","",MAX(0,VLOOKUP(A417,TRIP_ACTUALS!$A:$O,8,FALSE)-SETUP_RATES!$K$2)*SETUP_RATES!$K$3)</f>
        <v/>
      </c>
      <c r="E417" s="38" t="str">
        <f>IF(A417="","",VLOOKUP(A417,TRIP_ACTUALS!$A:$O,9,FALSE)*VLOOKUP(VLOOKUP(A417,BOOKINGS!$A:$Q,7,FALSE),SETUP_RATES!$A:$H,5,FALSE))</f>
        <v/>
      </c>
      <c r="F417" s="38" t="str">
        <f>IF(A417="","",IFERROR(VLOOKUP(A417,TRIP_ACTUALS!$A:$O,5,FALSE),0))</f>
        <v/>
      </c>
      <c r="G417" s="38" t="str">
        <f>IF(A417="","",IFERROR(VLOOKUP(A417,TRIP_ACTUALS!$A:$O,6,FALSE),0)+IFERROR(VLOOKUP(A417,TRIP_ACTUALS!$A:$O,7,FALSE),0))</f>
        <v/>
      </c>
      <c r="H417" s="38" t="str">
        <f>IF(A417="","",IFERROR(VLOOKUP(VLOOKUP(A417,BOOKINGS!$A:$Q,7,FALSE),SETUP_RATES!$A:$H,8,FALSE),0))</f>
        <v/>
      </c>
      <c r="I417" s="38" t="str">
        <f t="shared" si="1"/>
        <v/>
      </c>
      <c r="J417" s="38" t="str">
        <f>IF(A417="","",IFERROR(VLOOKUP(A417,BOOKINGS!$A:$Q,13,FALSE),0))</f>
        <v/>
      </c>
      <c r="K417" s="38" t="str">
        <f t="shared" si="2"/>
        <v/>
      </c>
      <c r="L417" s="38" t="str">
        <f t="shared" si="3"/>
        <v/>
      </c>
    </row>
    <row r="418" ht="15.75" customHeight="1">
      <c r="A418" s="33" t="str">
        <f>IF(BOOKINGS!A418="","",BOOKINGS!A418)</f>
        <v/>
      </c>
      <c r="B418" s="38" t="str">
        <f>IF(A418="","",MAX(VLOOKUP(A418,BOOKINGS!$A:$Q,6,FALSE)*VLOOKUP(VLOOKUP(A418,BOOKINGS!$A:$Q,7,FALSE),SETUP_RATES!$A:$H,3,FALSE),VLOOKUP(VLOOKUP(A418,BOOKINGS!$A:$Q,7,FALSE),SETUP_RATES!$A:$H,2,FALSE)))</f>
        <v/>
      </c>
      <c r="C418" s="38" t="str">
        <f>IF(A418="","",VLOOKUP(A418,BOOKINGS!$A:$Q,10,FALSE)*VLOOKUP(VLOOKUP(A418,BOOKINGS!$A:$Q,7,FALSE),SETUP_RATES!$A:$H,6,FALSE))</f>
        <v/>
      </c>
      <c r="D418" s="38" t="str">
        <f>IF(A418="","",MAX(0,VLOOKUP(A418,TRIP_ACTUALS!$A:$O,8,FALSE)-SETUP_RATES!$K$2)*SETUP_RATES!$K$3)</f>
        <v/>
      </c>
      <c r="E418" s="38" t="str">
        <f>IF(A418="","",VLOOKUP(A418,TRIP_ACTUALS!$A:$O,9,FALSE)*VLOOKUP(VLOOKUP(A418,BOOKINGS!$A:$Q,7,FALSE),SETUP_RATES!$A:$H,5,FALSE))</f>
        <v/>
      </c>
      <c r="F418" s="38" t="str">
        <f>IF(A418="","",IFERROR(VLOOKUP(A418,TRIP_ACTUALS!$A:$O,5,FALSE),0))</f>
        <v/>
      </c>
      <c r="G418" s="38" t="str">
        <f>IF(A418="","",IFERROR(VLOOKUP(A418,TRIP_ACTUALS!$A:$O,6,FALSE),0)+IFERROR(VLOOKUP(A418,TRIP_ACTUALS!$A:$O,7,FALSE),0))</f>
        <v/>
      </c>
      <c r="H418" s="38" t="str">
        <f>IF(A418="","",IFERROR(VLOOKUP(VLOOKUP(A418,BOOKINGS!$A:$Q,7,FALSE),SETUP_RATES!$A:$H,8,FALSE),0))</f>
        <v/>
      </c>
      <c r="I418" s="38" t="str">
        <f t="shared" si="1"/>
        <v/>
      </c>
      <c r="J418" s="38" t="str">
        <f>IF(A418="","",IFERROR(VLOOKUP(A418,BOOKINGS!$A:$Q,13,FALSE),0))</f>
        <v/>
      </c>
      <c r="K418" s="38" t="str">
        <f t="shared" si="2"/>
        <v/>
      </c>
      <c r="L418" s="38" t="str">
        <f t="shared" si="3"/>
        <v/>
      </c>
    </row>
    <row r="419" ht="15.75" customHeight="1">
      <c r="A419" s="33" t="str">
        <f>IF(BOOKINGS!A419="","",BOOKINGS!A419)</f>
        <v/>
      </c>
      <c r="B419" s="38" t="str">
        <f>IF(A419="","",MAX(VLOOKUP(A419,BOOKINGS!$A:$Q,6,FALSE)*VLOOKUP(VLOOKUP(A419,BOOKINGS!$A:$Q,7,FALSE),SETUP_RATES!$A:$H,3,FALSE),VLOOKUP(VLOOKUP(A419,BOOKINGS!$A:$Q,7,FALSE),SETUP_RATES!$A:$H,2,FALSE)))</f>
        <v/>
      </c>
      <c r="C419" s="38" t="str">
        <f>IF(A419="","",VLOOKUP(A419,BOOKINGS!$A:$Q,10,FALSE)*VLOOKUP(VLOOKUP(A419,BOOKINGS!$A:$Q,7,FALSE),SETUP_RATES!$A:$H,6,FALSE))</f>
        <v/>
      </c>
      <c r="D419" s="38" t="str">
        <f>IF(A419="","",MAX(0,VLOOKUP(A419,TRIP_ACTUALS!$A:$O,8,FALSE)-SETUP_RATES!$K$2)*SETUP_RATES!$K$3)</f>
        <v/>
      </c>
      <c r="E419" s="38" t="str">
        <f>IF(A419="","",VLOOKUP(A419,TRIP_ACTUALS!$A:$O,9,FALSE)*VLOOKUP(VLOOKUP(A419,BOOKINGS!$A:$Q,7,FALSE),SETUP_RATES!$A:$H,5,FALSE))</f>
        <v/>
      </c>
      <c r="F419" s="38" t="str">
        <f>IF(A419="","",IFERROR(VLOOKUP(A419,TRIP_ACTUALS!$A:$O,5,FALSE),0))</f>
        <v/>
      </c>
      <c r="G419" s="38" t="str">
        <f>IF(A419="","",IFERROR(VLOOKUP(A419,TRIP_ACTUALS!$A:$O,6,FALSE),0)+IFERROR(VLOOKUP(A419,TRIP_ACTUALS!$A:$O,7,FALSE),0))</f>
        <v/>
      </c>
      <c r="H419" s="38" t="str">
        <f>IF(A419="","",IFERROR(VLOOKUP(VLOOKUP(A419,BOOKINGS!$A:$Q,7,FALSE),SETUP_RATES!$A:$H,8,FALSE),0))</f>
        <v/>
      </c>
      <c r="I419" s="38" t="str">
        <f t="shared" si="1"/>
        <v/>
      </c>
      <c r="J419" s="38" t="str">
        <f>IF(A419="","",IFERROR(VLOOKUP(A419,BOOKINGS!$A:$Q,13,FALSE),0))</f>
        <v/>
      </c>
      <c r="K419" s="38" t="str">
        <f t="shared" si="2"/>
        <v/>
      </c>
      <c r="L419" s="38" t="str">
        <f t="shared" si="3"/>
        <v/>
      </c>
    </row>
    <row r="420" ht="15.75" customHeight="1">
      <c r="A420" s="33" t="str">
        <f>IF(BOOKINGS!A420="","",BOOKINGS!A420)</f>
        <v/>
      </c>
      <c r="B420" s="38" t="str">
        <f>IF(A420="","",MAX(VLOOKUP(A420,BOOKINGS!$A:$Q,6,FALSE)*VLOOKUP(VLOOKUP(A420,BOOKINGS!$A:$Q,7,FALSE),SETUP_RATES!$A:$H,3,FALSE),VLOOKUP(VLOOKUP(A420,BOOKINGS!$A:$Q,7,FALSE),SETUP_RATES!$A:$H,2,FALSE)))</f>
        <v/>
      </c>
      <c r="C420" s="38" t="str">
        <f>IF(A420="","",VLOOKUP(A420,BOOKINGS!$A:$Q,10,FALSE)*VLOOKUP(VLOOKUP(A420,BOOKINGS!$A:$Q,7,FALSE),SETUP_RATES!$A:$H,6,FALSE))</f>
        <v/>
      </c>
      <c r="D420" s="38" t="str">
        <f>IF(A420="","",MAX(0,VLOOKUP(A420,TRIP_ACTUALS!$A:$O,8,FALSE)-SETUP_RATES!$K$2)*SETUP_RATES!$K$3)</f>
        <v/>
      </c>
      <c r="E420" s="38" t="str">
        <f>IF(A420="","",VLOOKUP(A420,TRIP_ACTUALS!$A:$O,9,FALSE)*VLOOKUP(VLOOKUP(A420,BOOKINGS!$A:$Q,7,FALSE),SETUP_RATES!$A:$H,5,FALSE))</f>
        <v/>
      </c>
      <c r="F420" s="38" t="str">
        <f>IF(A420="","",IFERROR(VLOOKUP(A420,TRIP_ACTUALS!$A:$O,5,FALSE),0))</f>
        <v/>
      </c>
      <c r="G420" s="38" t="str">
        <f>IF(A420="","",IFERROR(VLOOKUP(A420,TRIP_ACTUALS!$A:$O,6,FALSE),0)+IFERROR(VLOOKUP(A420,TRIP_ACTUALS!$A:$O,7,FALSE),0))</f>
        <v/>
      </c>
      <c r="H420" s="38" t="str">
        <f>IF(A420="","",IFERROR(VLOOKUP(VLOOKUP(A420,BOOKINGS!$A:$Q,7,FALSE),SETUP_RATES!$A:$H,8,FALSE),0))</f>
        <v/>
      </c>
      <c r="I420" s="38" t="str">
        <f t="shared" si="1"/>
        <v/>
      </c>
      <c r="J420" s="38" t="str">
        <f>IF(A420="","",IFERROR(VLOOKUP(A420,BOOKINGS!$A:$Q,13,FALSE),0))</f>
        <v/>
      </c>
      <c r="K420" s="38" t="str">
        <f t="shared" si="2"/>
        <v/>
      </c>
      <c r="L420" s="38" t="str">
        <f t="shared" si="3"/>
        <v/>
      </c>
    </row>
    <row r="421" ht="15.75" customHeight="1">
      <c r="A421" s="33" t="str">
        <f>IF(BOOKINGS!A421="","",BOOKINGS!A421)</f>
        <v/>
      </c>
      <c r="B421" s="38" t="str">
        <f>IF(A421="","",MAX(VLOOKUP(A421,BOOKINGS!$A:$Q,6,FALSE)*VLOOKUP(VLOOKUP(A421,BOOKINGS!$A:$Q,7,FALSE),SETUP_RATES!$A:$H,3,FALSE),VLOOKUP(VLOOKUP(A421,BOOKINGS!$A:$Q,7,FALSE),SETUP_RATES!$A:$H,2,FALSE)))</f>
        <v/>
      </c>
      <c r="C421" s="38" t="str">
        <f>IF(A421="","",VLOOKUP(A421,BOOKINGS!$A:$Q,10,FALSE)*VLOOKUP(VLOOKUP(A421,BOOKINGS!$A:$Q,7,FALSE),SETUP_RATES!$A:$H,6,FALSE))</f>
        <v/>
      </c>
      <c r="D421" s="38" t="str">
        <f>IF(A421="","",MAX(0,VLOOKUP(A421,TRIP_ACTUALS!$A:$O,8,FALSE)-SETUP_RATES!$K$2)*SETUP_RATES!$K$3)</f>
        <v/>
      </c>
      <c r="E421" s="38" t="str">
        <f>IF(A421="","",VLOOKUP(A421,TRIP_ACTUALS!$A:$O,9,FALSE)*VLOOKUP(VLOOKUP(A421,BOOKINGS!$A:$Q,7,FALSE),SETUP_RATES!$A:$H,5,FALSE))</f>
        <v/>
      </c>
      <c r="F421" s="38" t="str">
        <f>IF(A421="","",IFERROR(VLOOKUP(A421,TRIP_ACTUALS!$A:$O,5,FALSE),0))</f>
        <v/>
      </c>
      <c r="G421" s="38" t="str">
        <f>IF(A421="","",IFERROR(VLOOKUP(A421,TRIP_ACTUALS!$A:$O,6,FALSE),0)+IFERROR(VLOOKUP(A421,TRIP_ACTUALS!$A:$O,7,FALSE),0))</f>
        <v/>
      </c>
      <c r="H421" s="38" t="str">
        <f>IF(A421="","",IFERROR(VLOOKUP(VLOOKUP(A421,BOOKINGS!$A:$Q,7,FALSE),SETUP_RATES!$A:$H,8,FALSE),0))</f>
        <v/>
      </c>
      <c r="I421" s="38" t="str">
        <f t="shared" si="1"/>
        <v/>
      </c>
      <c r="J421" s="38" t="str">
        <f>IF(A421="","",IFERROR(VLOOKUP(A421,BOOKINGS!$A:$Q,13,FALSE),0))</f>
        <v/>
      </c>
      <c r="K421" s="38" t="str">
        <f t="shared" si="2"/>
        <v/>
      </c>
      <c r="L421" s="38" t="str">
        <f t="shared" si="3"/>
        <v/>
      </c>
    </row>
    <row r="422" ht="15.75" customHeight="1">
      <c r="A422" s="33" t="str">
        <f>IF(BOOKINGS!A422="","",BOOKINGS!A422)</f>
        <v/>
      </c>
      <c r="B422" s="38" t="str">
        <f>IF(A422="","",MAX(VLOOKUP(A422,BOOKINGS!$A:$Q,6,FALSE)*VLOOKUP(VLOOKUP(A422,BOOKINGS!$A:$Q,7,FALSE),SETUP_RATES!$A:$H,3,FALSE),VLOOKUP(VLOOKUP(A422,BOOKINGS!$A:$Q,7,FALSE),SETUP_RATES!$A:$H,2,FALSE)))</f>
        <v/>
      </c>
      <c r="C422" s="38" t="str">
        <f>IF(A422="","",VLOOKUP(A422,BOOKINGS!$A:$Q,10,FALSE)*VLOOKUP(VLOOKUP(A422,BOOKINGS!$A:$Q,7,FALSE),SETUP_RATES!$A:$H,6,FALSE))</f>
        <v/>
      </c>
      <c r="D422" s="38" t="str">
        <f>IF(A422="","",MAX(0,VLOOKUP(A422,TRIP_ACTUALS!$A:$O,8,FALSE)-SETUP_RATES!$K$2)*SETUP_RATES!$K$3)</f>
        <v/>
      </c>
      <c r="E422" s="38" t="str">
        <f>IF(A422="","",VLOOKUP(A422,TRIP_ACTUALS!$A:$O,9,FALSE)*VLOOKUP(VLOOKUP(A422,BOOKINGS!$A:$Q,7,FALSE),SETUP_RATES!$A:$H,5,FALSE))</f>
        <v/>
      </c>
      <c r="F422" s="38" t="str">
        <f>IF(A422="","",IFERROR(VLOOKUP(A422,TRIP_ACTUALS!$A:$O,5,FALSE),0))</f>
        <v/>
      </c>
      <c r="G422" s="38" t="str">
        <f>IF(A422="","",IFERROR(VLOOKUP(A422,TRIP_ACTUALS!$A:$O,6,FALSE),0)+IFERROR(VLOOKUP(A422,TRIP_ACTUALS!$A:$O,7,FALSE),0))</f>
        <v/>
      </c>
      <c r="H422" s="38" t="str">
        <f>IF(A422="","",IFERROR(VLOOKUP(VLOOKUP(A422,BOOKINGS!$A:$Q,7,FALSE),SETUP_RATES!$A:$H,8,FALSE),0))</f>
        <v/>
      </c>
      <c r="I422" s="38" t="str">
        <f t="shared" si="1"/>
        <v/>
      </c>
      <c r="J422" s="38" t="str">
        <f>IF(A422="","",IFERROR(VLOOKUP(A422,BOOKINGS!$A:$Q,13,FALSE),0))</f>
        <v/>
      </c>
      <c r="K422" s="38" t="str">
        <f t="shared" si="2"/>
        <v/>
      </c>
      <c r="L422" s="38" t="str">
        <f t="shared" si="3"/>
        <v/>
      </c>
    </row>
    <row r="423" ht="15.75" customHeight="1">
      <c r="A423" s="33" t="str">
        <f>IF(BOOKINGS!A423="","",BOOKINGS!A423)</f>
        <v/>
      </c>
      <c r="B423" s="38" t="str">
        <f>IF(A423="","",MAX(VLOOKUP(A423,BOOKINGS!$A:$Q,6,FALSE)*VLOOKUP(VLOOKUP(A423,BOOKINGS!$A:$Q,7,FALSE),SETUP_RATES!$A:$H,3,FALSE),VLOOKUP(VLOOKUP(A423,BOOKINGS!$A:$Q,7,FALSE),SETUP_RATES!$A:$H,2,FALSE)))</f>
        <v/>
      </c>
      <c r="C423" s="38" t="str">
        <f>IF(A423="","",VLOOKUP(A423,BOOKINGS!$A:$Q,10,FALSE)*VLOOKUP(VLOOKUP(A423,BOOKINGS!$A:$Q,7,FALSE),SETUP_RATES!$A:$H,6,FALSE))</f>
        <v/>
      </c>
      <c r="D423" s="38" t="str">
        <f>IF(A423="","",MAX(0,VLOOKUP(A423,TRIP_ACTUALS!$A:$O,8,FALSE)-SETUP_RATES!$K$2)*SETUP_RATES!$K$3)</f>
        <v/>
      </c>
      <c r="E423" s="38" t="str">
        <f>IF(A423="","",VLOOKUP(A423,TRIP_ACTUALS!$A:$O,9,FALSE)*VLOOKUP(VLOOKUP(A423,BOOKINGS!$A:$Q,7,FALSE),SETUP_RATES!$A:$H,5,FALSE))</f>
        <v/>
      </c>
      <c r="F423" s="38" t="str">
        <f>IF(A423="","",IFERROR(VLOOKUP(A423,TRIP_ACTUALS!$A:$O,5,FALSE),0))</f>
        <v/>
      </c>
      <c r="G423" s="38" t="str">
        <f>IF(A423="","",IFERROR(VLOOKUP(A423,TRIP_ACTUALS!$A:$O,6,FALSE),0)+IFERROR(VLOOKUP(A423,TRIP_ACTUALS!$A:$O,7,FALSE),0))</f>
        <v/>
      </c>
      <c r="H423" s="38" t="str">
        <f>IF(A423="","",IFERROR(VLOOKUP(VLOOKUP(A423,BOOKINGS!$A:$Q,7,FALSE),SETUP_RATES!$A:$H,8,FALSE),0))</f>
        <v/>
      </c>
      <c r="I423" s="38" t="str">
        <f t="shared" si="1"/>
        <v/>
      </c>
      <c r="J423" s="38" t="str">
        <f>IF(A423="","",IFERROR(VLOOKUP(A423,BOOKINGS!$A:$Q,13,FALSE),0))</f>
        <v/>
      </c>
      <c r="K423" s="38" t="str">
        <f t="shared" si="2"/>
        <v/>
      </c>
      <c r="L423" s="38" t="str">
        <f t="shared" si="3"/>
        <v/>
      </c>
    </row>
    <row r="424" ht="15.75" customHeight="1">
      <c r="A424" s="33" t="str">
        <f>IF(BOOKINGS!A424="","",BOOKINGS!A424)</f>
        <v/>
      </c>
      <c r="B424" s="38" t="str">
        <f>IF(A424="","",MAX(VLOOKUP(A424,BOOKINGS!$A:$Q,6,FALSE)*VLOOKUP(VLOOKUP(A424,BOOKINGS!$A:$Q,7,FALSE),SETUP_RATES!$A:$H,3,FALSE),VLOOKUP(VLOOKUP(A424,BOOKINGS!$A:$Q,7,FALSE),SETUP_RATES!$A:$H,2,FALSE)))</f>
        <v/>
      </c>
      <c r="C424" s="38" t="str">
        <f>IF(A424="","",VLOOKUP(A424,BOOKINGS!$A:$Q,10,FALSE)*VLOOKUP(VLOOKUP(A424,BOOKINGS!$A:$Q,7,FALSE),SETUP_RATES!$A:$H,6,FALSE))</f>
        <v/>
      </c>
      <c r="D424" s="38" t="str">
        <f>IF(A424="","",MAX(0,VLOOKUP(A424,TRIP_ACTUALS!$A:$O,8,FALSE)-SETUP_RATES!$K$2)*SETUP_RATES!$K$3)</f>
        <v/>
      </c>
      <c r="E424" s="38" t="str">
        <f>IF(A424="","",VLOOKUP(A424,TRIP_ACTUALS!$A:$O,9,FALSE)*VLOOKUP(VLOOKUP(A424,BOOKINGS!$A:$Q,7,FALSE),SETUP_RATES!$A:$H,5,FALSE))</f>
        <v/>
      </c>
      <c r="F424" s="38" t="str">
        <f>IF(A424="","",IFERROR(VLOOKUP(A424,TRIP_ACTUALS!$A:$O,5,FALSE),0))</f>
        <v/>
      </c>
      <c r="G424" s="38" t="str">
        <f>IF(A424="","",IFERROR(VLOOKUP(A424,TRIP_ACTUALS!$A:$O,6,FALSE),0)+IFERROR(VLOOKUP(A424,TRIP_ACTUALS!$A:$O,7,FALSE),0))</f>
        <v/>
      </c>
      <c r="H424" s="38" t="str">
        <f>IF(A424="","",IFERROR(VLOOKUP(VLOOKUP(A424,BOOKINGS!$A:$Q,7,FALSE),SETUP_RATES!$A:$H,8,FALSE),0))</f>
        <v/>
      </c>
      <c r="I424" s="38" t="str">
        <f t="shared" si="1"/>
        <v/>
      </c>
      <c r="J424" s="38" t="str">
        <f>IF(A424="","",IFERROR(VLOOKUP(A424,BOOKINGS!$A:$Q,13,FALSE),0))</f>
        <v/>
      </c>
      <c r="K424" s="38" t="str">
        <f t="shared" si="2"/>
        <v/>
      </c>
      <c r="L424" s="38" t="str">
        <f t="shared" si="3"/>
        <v/>
      </c>
    </row>
    <row r="425" ht="15.75" customHeight="1">
      <c r="A425" s="33" t="str">
        <f>IF(BOOKINGS!A425="","",BOOKINGS!A425)</f>
        <v/>
      </c>
      <c r="B425" s="38" t="str">
        <f>IF(A425="","",MAX(VLOOKUP(A425,BOOKINGS!$A:$Q,6,FALSE)*VLOOKUP(VLOOKUP(A425,BOOKINGS!$A:$Q,7,FALSE),SETUP_RATES!$A:$H,3,FALSE),VLOOKUP(VLOOKUP(A425,BOOKINGS!$A:$Q,7,FALSE),SETUP_RATES!$A:$H,2,FALSE)))</f>
        <v/>
      </c>
      <c r="C425" s="38" t="str">
        <f>IF(A425="","",VLOOKUP(A425,BOOKINGS!$A:$Q,10,FALSE)*VLOOKUP(VLOOKUP(A425,BOOKINGS!$A:$Q,7,FALSE),SETUP_RATES!$A:$H,6,FALSE))</f>
        <v/>
      </c>
      <c r="D425" s="38" t="str">
        <f>IF(A425="","",MAX(0,VLOOKUP(A425,TRIP_ACTUALS!$A:$O,8,FALSE)-SETUP_RATES!$K$2)*SETUP_RATES!$K$3)</f>
        <v/>
      </c>
      <c r="E425" s="38" t="str">
        <f>IF(A425="","",VLOOKUP(A425,TRIP_ACTUALS!$A:$O,9,FALSE)*VLOOKUP(VLOOKUP(A425,BOOKINGS!$A:$Q,7,FALSE),SETUP_RATES!$A:$H,5,FALSE))</f>
        <v/>
      </c>
      <c r="F425" s="38" t="str">
        <f>IF(A425="","",IFERROR(VLOOKUP(A425,TRIP_ACTUALS!$A:$O,5,FALSE),0))</f>
        <v/>
      </c>
      <c r="G425" s="38" t="str">
        <f>IF(A425="","",IFERROR(VLOOKUP(A425,TRIP_ACTUALS!$A:$O,6,FALSE),0)+IFERROR(VLOOKUP(A425,TRIP_ACTUALS!$A:$O,7,FALSE),0))</f>
        <v/>
      </c>
      <c r="H425" s="38" t="str">
        <f>IF(A425="","",IFERROR(VLOOKUP(VLOOKUP(A425,BOOKINGS!$A:$Q,7,FALSE),SETUP_RATES!$A:$H,8,FALSE),0))</f>
        <v/>
      </c>
      <c r="I425" s="38" t="str">
        <f t="shared" si="1"/>
        <v/>
      </c>
      <c r="J425" s="38" t="str">
        <f>IF(A425="","",IFERROR(VLOOKUP(A425,BOOKINGS!$A:$Q,13,FALSE),0))</f>
        <v/>
      </c>
      <c r="K425" s="38" t="str">
        <f t="shared" si="2"/>
        <v/>
      </c>
      <c r="L425" s="38" t="str">
        <f t="shared" si="3"/>
        <v/>
      </c>
    </row>
    <row r="426" ht="15.75" customHeight="1">
      <c r="A426" s="33" t="str">
        <f>IF(BOOKINGS!A426="","",BOOKINGS!A426)</f>
        <v/>
      </c>
      <c r="B426" s="38" t="str">
        <f>IF(A426="","",MAX(VLOOKUP(A426,BOOKINGS!$A:$Q,6,FALSE)*VLOOKUP(VLOOKUP(A426,BOOKINGS!$A:$Q,7,FALSE),SETUP_RATES!$A:$H,3,FALSE),VLOOKUP(VLOOKUP(A426,BOOKINGS!$A:$Q,7,FALSE),SETUP_RATES!$A:$H,2,FALSE)))</f>
        <v/>
      </c>
      <c r="C426" s="38" t="str">
        <f>IF(A426="","",VLOOKUP(A426,BOOKINGS!$A:$Q,10,FALSE)*VLOOKUP(VLOOKUP(A426,BOOKINGS!$A:$Q,7,FALSE),SETUP_RATES!$A:$H,6,FALSE))</f>
        <v/>
      </c>
      <c r="D426" s="38" t="str">
        <f>IF(A426="","",MAX(0,VLOOKUP(A426,TRIP_ACTUALS!$A:$O,8,FALSE)-SETUP_RATES!$K$2)*SETUP_RATES!$K$3)</f>
        <v/>
      </c>
      <c r="E426" s="38" t="str">
        <f>IF(A426="","",VLOOKUP(A426,TRIP_ACTUALS!$A:$O,9,FALSE)*VLOOKUP(VLOOKUP(A426,BOOKINGS!$A:$Q,7,FALSE),SETUP_RATES!$A:$H,5,FALSE))</f>
        <v/>
      </c>
      <c r="F426" s="38" t="str">
        <f>IF(A426="","",IFERROR(VLOOKUP(A426,TRIP_ACTUALS!$A:$O,5,FALSE),0))</f>
        <v/>
      </c>
      <c r="G426" s="38" t="str">
        <f>IF(A426="","",IFERROR(VLOOKUP(A426,TRIP_ACTUALS!$A:$O,6,FALSE),0)+IFERROR(VLOOKUP(A426,TRIP_ACTUALS!$A:$O,7,FALSE),0))</f>
        <v/>
      </c>
      <c r="H426" s="38" t="str">
        <f>IF(A426="","",IFERROR(VLOOKUP(VLOOKUP(A426,BOOKINGS!$A:$Q,7,FALSE),SETUP_RATES!$A:$H,8,FALSE),0))</f>
        <v/>
      </c>
      <c r="I426" s="38" t="str">
        <f t="shared" si="1"/>
        <v/>
      </c>
      <c r="J426" s="38" t="str">
        <f>IF(A426="","",IFERROR(VLOOKUP(A426,BOOKINGS!$A:$Q,13,FALSE),0))</f>
        <v/>
      </c>
      <c r="K426" s="38" t="str">
        <f t="shared" si="2"/>
        <v/>
      </c>
      <c r="L426" s="38" t="str">
        <f t="shared" si="3"/>
        <v/>
      </c>
    </row>
    <row r="427" ht="15.75" customHeight="1">
      <c r="A427" s="33" t="str">
        <f>IF(BOOKINGS!A427="","",BOOKINGS!A427)</f>
        <v/>
      </c>
      <c r="B427" s="38" t="str">
        <f>IF(A427="","",MAX(VLOOKUP(A427,BOOKINGS!$A:$Q,6,FALSE)*VLOOKUP(VLOOKUP(A427,BOOKINGS!$A:$Q,7,FALSE),SETUP_RATES!$A:$H,3,FALSE),VLOOKUP(VLOOKUP(A427,BOOKINGS!$A:$Q,7,FALSE),SETUP_RATES!$A:$H,2,FALSE)))</f>
        <v/>
      </c>
      <c r="C427" s="38" t="str">
        <f>IF(A427="","",VLOOKUP(A427,BOOKINGS!$A:$Q,10,FALSE)*VLOOKUP(VLOOKUP(A427,BOOKINGS!$A:$Q,7,FALSE),SETUP_RATES!$A:$H,6,FALSE))</f>
        <v/>
      </c>
      <c r="D427" s="38" t="str">
        <f>IF(A427="","",MAX(0,VLOOKUP(A427,TRIP_ACTUALS!$A:$O,8,FALSE)-SETUP_RATES!$K$2)*SETUP_RATES!$K$3)</f>
        <v/>
      </c>
      <c r="E427" s="38" t="str">
        <f>IF(A427="","",VLOOKUP(A427,TRIP_ACTUALS!$A:$O,9,FALSE)*VLOOKUP(VLOOKUP(A427,BOOKINGS!$A:$Q,7,FALSE),SETUP_RATES!$A:$H,5,FALSE))</f>
        <v/>
      </c>
      <c r="F427" s="38" t="str">
        <f>IF(A427="","",IFERROR(VLOOKUP(A427,TRIP_ACTUALS!$A:$O,5,FALSE),0))</f>
        <v/>
      </c>
      <c r="G427" s="38" t="str">
        <f>IF(A427="","",IFERROR(VLOOKUP(A427,TRIP_ACTUALS!$A:$O,6,FALSE),0)+IFERROR(VLOOKUP(A427,TRIP_ACTUALS!$A:$O,7,FALSE),0))</f>
        <v/>
      </c>
      <c r="H427" s="38" t="str">
        <f>IF(A427="","",IFERROR(VLOOKUP(VLOOKUP(A427,BOOKINGS!$A:$Q,7,FALSE),SETUP_RATES!$A:$H,8,FALSE),0))</f>
        <v/>
      </c>
      <c r="I427" s="38" t="str">
        <f t="shared" si="1"/>
        <v/>
      </c>
      <c r="J427" s="38" t="str">
        <f>IF(A427="","",IFERROR(VLOOKUP(A427,BOOKINGS!$A:$Q,13,FALSE),0))</f>
        <v/>
      </c>
      <c r="K427" s="38" t="str">
        <f t="shared" si="2"/>
        <v/>
      </c>
      <c r="L427" s="38" t="str">
        <f t="shared" si="3"/>
        <v/>
      </c>
    </row>
    <row r="428" ht="15.75" customHeight="1">
      <c r="A428" s="33" t="str">
        <f>IF(BOOKINGS!A428="","",BOOKINGS!A428)</f>
        <v/>
      </c>
      <c r="B428" s="38" t="str">
        <f>IF(A428="","",MAX(VLOOKUP(A428,BOOKINGS!$A:$Q,6,FALSE)*VLOOKUP(VLOOKUP(A428,BOOKINGS!$A:$Q,7,FALSE),SETUP_RATES!$A:$H,3,FALSE),VLOOKUP(VLOOKUP(A428,BOOKINGS!$A:$Q,7,FALSE),SETUP_RATES!$A:$H,2,FALSE)))</f>
        <v/>
      </c>
      <c r="C428" s="38" t="str">
        <f>IF(A428="","",VLOOKUP(A428,BOOKINGS!$A:$Q,10,FALSE)*VLOOKUP(VLOOKUP(A428,BOOKINGS!$A:$Q,7,FALSE),SETUP_RATES!$A:$H,6,FALSE))</f>
        <v/>
      </c>
      <c r="D428" s="38" t="str">
        <f>IF(A428="","",MAX(0,VLOOKUP(A428,TRIP_ACTUALS!$A:$O,8,FALSE)-SETUP_RATES!$K$2)*SETUP_RATES!$K$3)</f>
        <v/>
      </c>
      <c r="E428" s="38" t="str">
        <f>IF(A428="","",VLOOKUP(A428,TRIP_ACTUALS!$A:$O,9,FALSE)*VLOOKUP(VLOOKUP(A428,BOOKINGS!$A:$Q,7,FALSE),SETUP_RATES!$A:$H,5,FALSE))</f>
        <v/>
      </c>
      <c r="F428" s="38" t="str">
        <f>IF(A428="","",IFERROR(VLOOKUP(A428,TRIP_ACTUALS!$A:$O,5,FALSE),0))</f>
        <v/>
      </c>
      <c r="G428" s="38" t="str">
        <f>IF(A428="","",IFERROR(VLOOKUP(A428,TRIP_ACTUALS!$A:$O,6,FALSE),0)+IFERROR(VLOOKUP(A428,TRIP_ACTUALS!$A:$O,7,FALSE),0))</f>
        <v/>
      </c>
      <c r="H428" s="38" t="str">
        <f>IF(A428="","",IFERROR(VLOOKUP(VLOOKUP(A428,BOOKINGS!$A:$Q,7,FALSE),SETUP_RATES!$A:$H,8,FALSE),0))</f>
        <v/>
      </c>
      <c r="I428" s="38" t="str">
        <f t="shared" si="1"/>
        <v/>
      </c>
      <c r="J428" s="38" t="str">
        <f>IF(A428="","",IFERROR(VLOOKUP(A428,BOOKINGS!$A:$Q,13,FALSE),0))</f>
        <v/>
      </c>
      <c r="K428" s="38" t="str">
        <f t="shared" si="2"/>
        <v/>
      </c>
      <c r="L428" s="38" t="str">
        <f t="shared" si="3"/>
        <v/>
      </c>
    </row>
    <row r="429" ht="15.75" customHeight="1">
      <c r="A429" s="33" t="str">
        <f>IF(BOOKINGS!A429="","",BOOKINGS!A429)</f>
        <v/>
      </c>
      <c r="B429" s="38" t="str">
        <f>IF(A429="","",MAX(VLOOKUP(A429,BOOKINGS!$A:$Q,6,FALSE)*VLOOKUP(VLOOKUP(A429,BOOKINGS!$A:$Q,7,FALSE),SETUP_RATES!$A:$H,3,FALSE),VLOOKUP(VLOOKUP(A429,BOOKINGS!$A:$Q,7,FALSE),SETUP_RATES!$A:$H,2,FALSE)))</f>
        <v/>
      </c>
      <c r="C429" s="38" t="str">
        <f>IF(A429="","",VLOOKUP(A429,BOOKINGS!$A:$Q,10,FALSE)*VLOOKUP(VLOOKUP(A429,BOOKINGS!$A:$Q,7,FALSE),SETUP_RATES!$A:$H,6,FALSE))</f>
        <v/>
      </c>
      <c r="D429" s="38" t="str">
        <f>IF(A429="","",MAX(0,VLOOKUP(A429,TRIP_ACTUALS!$A:$O,8,FALSE)-SETUP_RATES!$K$2)*SETUP_RATES!$K$3)</f>
        <v/>
      </c>
      <c r="E429" s="38" t="str">
        <f>IF(A429="","",VLOOKUP(A429,TRIP_ACTUALS!$A:$O,9,FALSE)*VLOOKUP(VLOOKUP(A429,BOOKINGS!$A:$Q,7,FALSE),SETUP_RATES!$A:$H,5,FALSE))</f>
        <v/>
      </c>
      <c r="F429" s="38" t="str">
        <f>IF(A429="","",IFERROR(VLOOKUP(A429,TRIP_ACTUALS!$A:$O,5,FALSE),0))</f>
        <v/>
      </c>
      <c r="G429" s="38" t="str">
        <f>IF(A429="","",IFERROR(VLOOKUP(A429,TRIP_ACTUALS!$A:$O,6,FALSE),0)+IFERROR(VLOOKUP(A429,TRIP_ACTUALS!$A:$O,7,FALSE),0))</f>
        <v/>
      </c>
      <c r="H429" s="38" t="str">
        <f>IF(A429="","",IFERROR(VLOOKUP(VLOOKUP(A429,BOOKINGS!$A:$Q,7,FALSE),SETUP_RATES!$A:$H,8,FALSE),0))</f>
        <v/>
      </c>
      <c r="I429" s="38" t="str">
        <f t="shared" si="1"/>
        <v/>
      </c>
      <c r="J429" s="38" t="str">
        <f>IF(A429="","",IFERROR(VLOOKUP(A429,BOOKINGS!$A:$Q,13,FALSE),0))</f>
        <v/>
      </c>
      <c r="K429" s="38" t="str">
        <f t="shared" si="2"/>
        <v/>
      </c>
      <c r="L429" s="38" t="str">
        <f t="shared" si="3"/>
        <v/>
      </c>
    </row>
    <row r="430" ht="15.75" customHeight="1">
      <c r="A430" s="33" t="str">
        <f>IF(BOOKINGS!A430="","",BOOKINGS!A430)</f>
        <v/>
      </c>
      <c r="B430" s="38" t="str">
        <f>IF(A430="","",MAX(VLOOKUP(A430,BOOKINGS!$A:$Q,6,FALSE)*VLOOKUP(VLOOKUP(A430,BOOKINGS!$A:$Q,7,FALSE),SETUP_RATES!$A:$H,3,FALSE),VLOOKUP(VLOOKUP(A430,BOOKINGS!$A:$Q,7,FALSE),SETUP_RATES!$A:$H,2,FALSE)))</f>
        <v/>
      </c>
      <c r="C430" s="38" t="str">
        <f>IF(A430="","",VLOOKUP(A430,BOOKINGS!$A:$Q,10,FALSE)*VLOOKUP(VLOOKUP(A430,BOOKINGS!$A:$Q,7,FALSE),SETUP_RATES!$A:$H,6,FALSE))</f>
        <v/>
      </c>
      <c r="D430" s="38" t="str">
        <f>IF(A430="","",MAX(0,VLOOKUP(A430,TRIP_ACTUALS!$A:$O,8,FALSE)-SETUP_RATES!$K$2)*SETUP_RATES!$K$3)</f>
        <v/>
      </c>
      <c r="E430" s="38" t="str">
        <f>IF(A430="","",VLOOKUP(A430,TRIP_ACTUALS!$A:$O,9,FALSE)*VLOOKUP(VLOOKUP(A430,BOOKINGS!$A:$Q,7,FALSE),SETUP_RATES!$A:$H,5,FALSE))</f>
        <v/>
      </c>
      <c r="F430" s="38" t="str">
        <f>IF(A430="","",IFERROR(VLOOKUP(A430,TRIP_ACTUALS!$A:$O,5,FALSE),0))</f>
        <v/>
      </c>
      <c r="G430" s="38" t="str">
        <f>IF(A430="","",IFERROR(VLOOKUP(A430,TRIP_ACTUALS!$A:$O,6,FALSE),0)+IFERROR(VLOOKUP(A430,TRIP_ACTUALS!$A:$O,7,FALSE),0))</f>
        <v/>
      </c>
      <c r="H430" s="38" t="str">
        <f>IF(A430="","",IFERROR(VLOOKUP(VLOOKUP(A430,BOOKINGS!$A:$Q,7,FALSE),SETUP_RATES!$A:$H,8,FALSE),0))</f>
        <v/>
      </c>
      <c r="I430" s="38" t="str">
        <f t="shared" si="1"/>
        <v/>
      </c>
      <c r="J430" s="38" t="str">
        <f>IF(A430="","",IFERROR(VLOOKUP(A430,BOOKINGS!$A:$Q,13,FALSE),0))</f>
        <v/>
      </c>
      <c r="K430" s="38" t="str">
        <f t="shared" si="2"/>
        <v/>
      </c>
      <c r="L430" s="38" t="str">
        <f t="shared" si="3"/>
        <v/>
      </c>
    </row>
    <row r="431" ht="15.75" customHeight="1">
      <c r="A431" s="33" t="str">
        <f>IF(BOOKINGS!A431="","",BOOKINGS!A431)</f>
        <v/>
      </c>
      <c r="B431" s="38" t="str">
        <f>IF(A431="","",MAX(VLOOKUP(A431,BOOKINGS!$A:$Q,6,FALSE)*VLOOKUP(VLOOKUP(A431,BOOKINGS!$A:$Q,7,FALSE),SETUP_RATES!$A:$H,3,FALSE),VLOOKUP(VLOOKUP(A431,BOOKINGS!$A:$Q,7,FALSE),SETUP_RATES!$A:$H,2,FALSE)))</f>
        <v/>
      </c>
      <c r="C431" s="38" t="str">
        <f>IF(A431="","",VLOOKUP(A431,BOOKINGS!$A:$Q,10,FALSE)*VLOOKUP(VLOOKUP(A431,BOOKINGS!$A:$Q,7,FALSE),SETUP_RATES!$A:$H,6,FALSE))</f>
        <v/>
      </c>
      <c r="D431" s="38" t="str">
        <f>IF(A431="","",MAX(0,VLOOKUP(A431,TRIP_ACTUALS!$A:$O,8,FALSE)-SETUP_RATES!$K$2)*SETUP_RATES!$K$3)</f>
        <v/>
      </c>
      <c r="E431" s="38" t="str">
        <f>IF(A431="","",VLOOKUP(A431,TRIP_ACTUALS!$A:$O,9,FALSE)*VLOOKUP(VLOOKUP(A431,BOOKINGS!$A:$Q,7,FALSE),SETUP_RATES!$A:$H,5,FALSE))</f>
        <v/>
      </c>
      <c r="F431" s="38" t="str">
        <f>IF(A431="","",IFERROR(VLOOKUP(A431,TRIP_ACTUALS!$A:$O,5,FALSE),0))</f>
        <v/>
      </c>
      <c r="G431" s="38" t="str">
        <f>IF(A431="","",IFERROR(VLOOKUP(A431,TRIP_ACTUALS!$A:$O,6,FALSE),0)+IFERROR(VLOOKUP(A431,TRIP_ACTUALS!$A:$O,7,FALSE),0))</f>
        <v/>
      </c>
      <c r="H431" s="38" t="str">
        <f>IF(A431="","",IFERROR(VLOOKUP(VLOOKUP(A431,BOOKINGS!$A:$Q,7,FALSE),SETUP_RATES!$A:$H,8,FALSE),0))</f>
        <v/>
      </c>
      <c r="I431" s="38" t="str">
        <f t="shared" si="1"/>
        <v/>
      </c>
      <c r="J431" s="38" t="str">
        <f>IF(A431="","",IFERROR(VLOOKUP(A431,BOOKINGS!$A:$Q,13,FALSE),0))</f>
        <v/>
      </c>
      <c r="K431" s="38" t="str">
        <f t="shared" si="2"/>
        <v/>
      </c>
      <c r="L431" s="38" t="str">
        <f t="shared" si="3"/>
        <v/>
      </c>
    </row>
    <row r="432" ht="15.75" customHeight="1">
      <c r="A432" s="33" t="str">
        <f>IF(BOOKINGS!A432="","",BOOKINGS!A432)</f>
        <v/>
      </c>
      <c r="B432" s="38" t="str">
        <f>IF(A432="","",MAX(VLOOKUP(A432,BOOKINGS!$A:$Q,6,FALSE)*VLOOKUP(VLOOKUP(A432,BOOKINGS!$A:$Q,7,FALSE),SETUP_RATES!$A:$H,3,FALSE),VLOOKUP(VLOOKUP(A432,BOOKINGS!$A:$Q,7,FALSE),SETUP_RATES!$A:$H,2,FALSE)))</f>
        <v/>
      </c>
      <c r="C432" s="38" t="str">
        <f>IF(A432="","",VLOOKUP(A432,BOOKINGS!$A:$Q,10,FALSE)*VLOOKUP(VLOOKUP(A432,BOOKINGS!$A:$Q,7,FALSE),SETUP_RATES!$A:$H,6,FALSE))</f>
        <v/>
      </c>
      <c r="D432" s="38" t="str">
        <f>IF(A432="","",MAX(0,VLOOKUP(A432,TRIP_ACTUALS!$A:$O,8,FALSE)-SETUP_RATES!$K$2)*SETUP_RATES!$K$3)</f>
        <v/>
      </c>
      <c r="E432" s="38" t="str">
        <f>IF(A432="","",VLOOKUP(A432,TRIP_ACTUALS!$A:$O,9,FALSE)*VLOOKUP(VLOOKUP(A432,BOOKINGS!$A:$Q,7,FALSE),SETUP_RATES!$A:$H,5,FALSE))</f>
        <v/>
      </c>
      <c r="F432" s="38" t="str">
        <f>IF(A432="","",IFERROR(VLOOKUP(A432,TRIP_ACTUALS!$A:$O,5,FALSE),0))</f>
        <v/>
      </c>
      <c r="G432" s="38" t="str">
        <f>IF(A432="","",IFERROR(VLOOKUP(A432,TRIP_ACTUALS!$A:$O,6,FALSE),0)+IFERROR(VLOOKUP(A432,TRIP_ACTUALS!$A:$O,7,FALSE),0))</f>
        <v/>
      </c>
      <c r="H432" s="38" t="str">
        <f>IF(A432="","",IFERROR(VLOOKUP(VLOOKUP(A432,BOOKINGS!$A:$Q,7,FALSE),SETUP_RATES!$A:$H,8,FALSE),0))</f>
        <v/>
      </c>
      <c r="I432" s="38" t="str">
        <f t="shared" si="1"/>
        <v/>
      </c>
      <c r="J432" s="38" t="str">
        <f>IF(A432="","",IFERROR(VLOOKUP(A432,BOOKINGS!$A:$Q,13,FALSE),0))</f>
        <v/>
      </c>
      <c r="K432" s="38" t="str">
        <f t="shared" si="2"/>
        <v/>
      </c>
      <c r="L432" s="38" t="str">
        <f t="shared" si="3"/>
        <v/>
      </c>
    </row>
    <row r="433" ht="15.75" customHeight="1">
      <c r="A433" s="33" t="str">
        <f>IF(BOOKINGS!A433="","",BOOKINGS!A433)</f>
        <v/>
      </c>
      <c r="B433" s="38" t="str">
        <f>IF(A433="","",MAX(VLOOKUP(A433,BOOKINGS!$A:$Q,6,FALSE)*VLOOKUP(VLOOKUP(A433,BOOKINGS!$A:$Q,7,FALSE),SETUP_RATES!$A:$H,3,FALSE),VLOOKUP(VLOOKUP(A433,BOOKINGS!$A:$Q,7,FALSE),SETUP_RATES!$A:$H,2,FALSE)))</f>
        <v/>
      </c>
      <c r="C433" s="38" t="str">
        <f>IF(A433="","",VLOOKUP(A433,BOOKINGS!$A:$Q,10,FALSE)*VLOOKUP(VLOOKUP(A433,BOOKINGS!$A:$Q,7,FALSE),SETUP_RATES!$A:$H,6,FALSE))</f>
        <v/>
      </c>
      <c r="D433" s="38" t="str">
        <f>IF(A433="","",MAX(0,VLOOKUP(A433,TRIP_ACTUALS!$A:$O,8,FALSE)-SETUP_RATES!$K$2)*SETUP_RATES!$K$3)</f>
        <v/>
      </c>
      <c r="E433" s="38" t="str">
        <f>IF(A433="","",VLOOKUP(A433,TRIP_ACTUALS!$A:$O,9,FALSE)*VLOOKUP(VLOOKUP(A433,BOOKINGS!$A:$Q,7,FALSE),SETUP_RATES!$A:$H,5,FALSE))</f>
        <v/>
      </c>
      <c r="F433" s="38" t="str">
        <f>IF(A433="","",IFERROR(VLOOKUP(A433,TRIP_ACTUALS!$A:$O,5,FALSE),0))</f>
        <v/>
      </c>
      <c r="G433" s="38" t="str">
        <f>IF(A433="","",IFERROR(VLOOKUP(A433,TRIP_ACTUALS!$A:$O,6,FALSE),0)+IFERROR(VLOOKUP(A433,TRIP_ACTUALS!$A:$O,7,FALSE),0))</f>
        <v/>
      </c>
      <c r="H433" s="38" t="str">
        <f>IF(A433="","",IFERROR(VLOOKUP(VLOOKUP(A433,BOOKINGS!$A:$Q,7,FALSE),SETUP_RATES!$A:$H,8,FALSE),0))</f>
        <v/>
      </c>
      <c r="I433" s="38" t="str">
        <f t="shared" si="1"/>
        <v/>
      </c>
      <c r="J433" s="38" t="str">
        <f>IF(A433="","",IFERROR(VLOOKUP(A433,BOOKINGS!$A:$Q,13,FALSE),0))</f>
        <v/>
      </c>
      <c r="K433" s="38" t="str">
        <f t="shared" si="2"/>
        <v/>
      </c>
      <c r="L433" s="38" t="str">
        <f t="shared" si="3"/>
        <v/>
      </c>
    </row>
    <row r="434" ht="15.75" customHeight="1">
      <c r="A434" s="33" t="str">
        <f>IF(BOOKINGS!A434="","",BOOKINGS!A434)</f>
        <v/>
      </c>
      <c r="B434" s="38" t="str">
        <f>IF(A434="","",MAX(VLOOKUP(A434,BOOKINGS!$A:$Q,6,FALSE)*VLOOKUP(VLOOKUP(A434,BOOKINGS!$A:$Q,7,FALSE),SETUP_RATES!$A:$H,3,FALSE),VLOOKUP(VLOOKUP(A434,BOOKINGS!$A:$Q,7,FALSE),SETUP_RATES!$A:$H,2,FALSE)))</f>
        <v/>
      </c>
      <c r="C434" s="38" t="str">
        <f>IF(A434="","",VLOOKUP(A434,BOOKINGS!$A:$Q,10,FALSE)*VLOOKUP(VLOOKUP(A434,BOOKINGS!$A:$Q,7,FALSE),SETUP_RATES!$A:$H,6,FALSE))</f>
        <v/>
      </c>
      <c r="D434" s="38" t="str">
        <f>IF(A434="","",MAX(0,VLOOKUP(A434,TRIP_ACTUALS!$A:$O,8,FALSE)-SETUP_RATES!$K$2)*SETUP_RATES!$K$3)</f>
        <v/>
      </c>
      <c r="E434" s="38" t="str">
        <f>IF(A434="","",VLOOKUP(A434,TRIP_ACTUALS!$A:$O,9,FALSE)*VLOOKUP(VLOOKUP(A434,BOOKINGS!$A:$Q,7,FALSE),SETUP_RATES!$A:$H,5,FALSE))</f>
        <v/>
      </c>
      <c r="F434" s="38" t="str">
        <f>IF(A434="","",IFERROR(VLOOKUP(A434,TRIP_ACTUALS!$A:$O,5,FALSE),0))</f>
        <v/>
      </c>
      <c r="G434" s="38" t="str">
        <f>IF(A434="","",IFERROR(VLOOKUP(A434,TRIP_ACTUALS!$A:$O,6,FALSE),0)+IFERROR(VLOOKUP(A434,TRIP_ACTUALS!$A:$O,7,FALSE),0))</f>
        <v/>
      </c>
      <c r="H434" s="38" t="str">
        <f>IF(A434="","",IFERROR(VLOOKUP(VLOOKUP(A434,BOOKINGS!$A:$Q,7,FALSE),SETUP_RATES!$A:$H,8,FALSE),0))</f>
        <v/>
      </c>
      <c r="I434" s="38" t="str">
        <f t="shared" si="1"/>
        <v/>
      </c>
      <c r="J434" s="38" t="str">
        <f>IF(A434="","",IFERROR(VLOOKUP(A434,BOOKINGS!$A:$Q,13,FALSE),0))</f>
        <v/>
      </c>
      <c r="K434" s="38" t="str">
        <f t="shared" si="2"/>
        <v/>
      </c>
      <c r="L434" s="38" t="str">
        <f t="shared" si="3"/>
        <v/>
      </c>
    </row>
    <row r="435" ht="15.75" customHeight="1">
      <c r="A435" s="33" t="str">
        <f>IF(BOOKINGS!A435="","",BOOKINGS!A435)</f>
        <v/>
      </c>
      <c r="B435" s="38" t="str">
        <f>IF(A435="","",MAX(VLOOKUP(A435,BOOKINGS!$A:$Q,6,FALSE)*VLOOKUP(VLOOKUP(A435,BOOKINGS!$A:$Q,7,FALSE),SETUP_RATES!$A:$H,3,FALSE),VLOOKUP(VLOOKUP(A435,BOOKINGS!$A:$Q,7,FALSE),SETUP_RATES!$A:$H,2,FALSE)))</f>
        <v/>
      </c>
      <c r="C435" s="38" t="str">
        <f>IF(A435="","",VLOOKUP(A435,BOOKINGS!$A:$Q,10,FALSE)*VLOOKUP(VLOOKUP(A435,BOOKINGS!$A:$Q,7,FALSE),SETUP_RATES!$A:$H,6,FALSE))</f>
        <v/>
      </c>
      <c r="D435" s="38" t="str">
        <f>IF(A435="","",MAX(0,VLOOKUP(A435,TRIP_ACTUALS!$A:$O,8,FALSE)-SETUP_RATES!$K$2)*SETUP_RATES!$K$3)</f>
        <v/>
      </c>
      <c r="E435" s="38" t="str">
        <f>IF(A435="","",VLOOKUP(A435,TRIP_ACTUALS!$A:$O,9,FALSE)*VLOOKUP(VLOOKUP(A435,BOOKINGS!$A:$Q,7,FALSE),SETUP_RATES!$A:$H,5,FALSE))</f>
        <v/>
      </c>
      <c r="F435" s="38" t="str">
        <f>IF(A435="","",IFERROR(VLOOKUP(A435,TRIP_ACTUALS!$A:$O,5,FALSE),0))</f>
        <v/>
      </c>
      <c r="G435" s="38" t="str">
        <f>IF(A435="","",IFERROR(VLOOKUP(A435,TRIP_ACTUALS!$A:$O,6,FALSE),0)+IFERROR(VLOOKUP(A435,TRIP_ACTUALS!$A:$O,7,FALSE),0))</f>
        <v/>
      </c>
      <c r="H435" s="38" t="str">
        <f>IF(A435="","",IFERROR(VLOOKUP(VLOOKUP(A435,BOOKINGS!$A:$Q,7,FALSE),SETUP_RATES!$A:$H,8,FALSE),0))</f>
        <v/>
      </c>
      <c r="I435" s="38" t="str">
        <f t="shared" si="1"/>
        <v/>
      </c>
      <c r="J435" s="38" t="str">
        <f>IF(A435="","",IFERROR(VLOOKUP(A435,BOOKINGS!$A:$Q,13,FALSE),0))</f>
        <v/>
      </c>
      <c r="K435" s="38" t="str">
        <f t="shared" si="2"/>
        <v/>
      </c>
      <c r="L435" s="38" t="str">
        <f t="shared" si="3"/>
        <v/>
      </c>
    </row>
    <row r="436" ht="15.75" customHeight="1">
      <c r="A436" s="33" t="str">
        <f>IF(BOOKINGS!A436="","",BOOKINGS!A436)</f>
        <v/>
      </c>
      <c r="B436" s="38" t="str">
        <f>IF(A436="","",MAX(VLOOKUP(A436,BOOKINGS!$A:$Q,6,FALSE)*VLOOKUP(VLOOKUP(A436,BOOKINGS!$A:$Q,7,FALSE),SETUP_RATES!$A:$H,3,FALSE),VLOOKUP(VLOOKUP(A436,BOOKINGS!$A:$Q,7,FALSE),SETUP_RATES!$A:$H,2,FALSE)))</f>
        <v/>
      </c>
      <c r="C436" s="38" t="str">
        <f>IF(A436="","",VLOOKUP(A436,BOOKINGS!$A:$Q,10,FALSE)*VLOOKUP(VLOOKUP(A436,BOOKINGS!$A:$Q,7,FALSE),SETUP_RATES!$A:$H,6,FALSE))</f>
        <v/>
      </c>
      <c r="D436" s="38" t="str">
        <f>IF(A436="","",MAX(0,VLOOKUP(A436,TRIP_ACTUALS!$A:$O,8,FALSE)-SETUP_RATES!$K$2)*SETUP_RATES!$K$3)</f>
        <v/>
      </c>
      <c r="E436" s="38" t="str">
        <f>IF(A436="","",VLOOKUP(A436,TRIP_ACTUALS!$A:$O,9,FALSE)*VLOOKUP(VLOOKUP(A436,BOOKINGS!$A:$Q,7,FALSE),SETUP_RATES!$A:$H,5,FALSE))</f>
        <v/>
      </c>
      <c r="F436" s="38" t="str">
        <f>IF(A436="","",IFERROR(VLOOKUP(A436,TRIP_ACTUALS!$A:$O,5,FALSE),0))</f>
        <v/>
      </c>
      <c r="G436" s="38" t="str">
        <f>IF(A436="","",IFERROR(VLOOKUP(A436,TRIP_ACTUALS!$A:$O,6,FALSE),0)+IFERROR(VLOOKUP(A436,TRIP_ACTUALS!$A:$O,7,FALSE),0))</f>
        <v/>
      </c>
      <c r="H436" s="38" t="str">
        <f>IF(A436="","",IFERROR(VLOOKUP(VLOOKUP(A436,BOOKINGS!$A:$Q,7,FALSE),SETUP_RATES!$A:$H,8,FALSE),0))</f>
        <v/>
      </c>
      <c r="I436" s="38" t="str">
        <f t="shared" si="1"/>
        <v/>
      </c>
      <c r="J436" s="38" t="str">
        <f>IF(A436="","",IFERROR(VLOOKUP(A436,BOOKINGS!$A:$Q,13,FALSE),0))</f>
        <v/>
      </c>
      <c r="K436" s="38" t="str">
        <f t="shared" si="2"/>
        <v/>
      </c>
      <c r="L436" s="38" t="str">
        <f t="shared" si="3"/>
        <v/>
      </c>
    </row>
    <row r="437" ht="15.75" customHeight="1">
      <c r="A437" s="33" t="str">
        <f>IF(BOOKINGS!A437="","",BOOKINGS!A437)</f>
        <v/>
      </c>
      <c r="B437" s="38" t="str">
        <f>IF(A437="","",MAX(VLOOKUP(A437,BOOKINGS!$A:$Q,6,FALSE)*VLOOKUP(VLOOKUP(A437,BOOKINGS!$A:$Q,7,FALSE),SETUP_RATES!$A:$H,3,FALSE),VLOOKUP(VLOOKUP(A437,BOOKINGS!$A:$Q,7,FALSE),SETUP_RATES!$A:$H,2,FALSE)))</f>
        <v/>
      </c>
      <c r="C437" s="38" t="str">
        <f>IF(A437="","",VLOOKUP(A437,BOOKINGS!$A:$Q,10,FALSE)*VLOOKUP(VLOOKUP(A437,BOOKINGS!$A:$Q,7,FALSE),SETUP_RATES!$A:$H,6,FALSE))</f>
        <v/>
      </c>
      <c r="D437" s="38" t="str">
        <f>IF(A437="","",MAX(0,VLOOKUP(A437,TRIP_ACTUALS!$A:$O,8,FALSE)-SETUP_RATES!$K$2)*SETUP_RATES!$K$3)</f>
        <v/>
      </c>
      <c r="E437" s="38" t="str">
        <f>IF(A437="","",VLOOKUP(A437,TRIP_ACTUALS!$A:$O,9,FALSE)*VLOOKUP(VLOOKUP(A437,BOOKINGS!$A:$Q,7,FALSE),SETUP_RATES!$A:$H,5,FALSE))</f>
        <v/>
      </c>
      <c r="F437" s="38" t="str">
        <f>IF(A437="","",IFERROR(VLOOKUP(A437,TRIP_ACTUALS!$A:$O,5,FALSE),0))</f>
        <v/>
      </c>
      <c r="G437" s="38" t="str">
        <f>IF(A437="","",IFERROR(VLOOKUP(A437,TRIP_ACTUALS!$A:$O,6,FALSE),0)+IFERROR(VLOOKUP(A437,TRIP_ACTUALS!$A:$O,7,FALSE),0))</f>
        <v/>
      </c>
      <c r="H437" s="38" t="str">
        <f>IF(A437="","",IFERROR(VLOOKUP(VLOOKUP(A437,BOOKINGS!$A:$Q,7,FALSE),SETUP_RATES!$A:$H,8,FALSE),0))</f>
        <v/>
      </c>
      <c r="I437" s="38" t="str">
        <f t="shared" si="1"/>
        <v/>
      </c>
      <c r="J437" s="38" t="str">
        <f>IF(A437="","",IFERROR(VLOOKUP(A437,BOOKINGS!$A:$Q,13,FALSE),0))</f>
        <v/>
      </c>
      <c r="K437" s="38" t="str">
        <f t="shared" si="2"/>
        <v/>
      </c>
      <c r="L437" s="38" t="str">
        <f t="shared" si="3"/>
        <v/>
      </c>
    </row>
    <row r="438" ht="15.75" customHeight="1">
      <c r="A438" s="33" t="str">
        <f>IF(BOOKINGS!A438="","",BOOKINGS!A438)</f>
        <v/>
      </c>
      <c r="B438" s="38" t="str">
        <f>IF(A438="","",MAX(VLOOKUP(A438,BOOKINGS!$A:$Q,6,FALSE)*VLOOKUP(VLOOKUP(A438,BOOKINGS!$A:$Q,7,FALSE),SETUP_RATES!$A:$H,3,FALSE),VLOOKUP(VLOOKUP(A438,BOOKINGS!$A:$Q,7,FALSE),SETUP_RATES!$A:$H,2,FALSE)))</f>
        <v/>
      </c>
      <c r="C438" s="38" t="str">
        <f>IF(A438="","",VLOOKUP(A438,BOOKINGS!$A:$Q,10,FALSE)*VLOOKUP(VLOOKUP(A438,BOOKINGS!$A:$Q,7,FALSE),SETUP_RATES!$A:$H,6,FALSE))</f>
        <v/>
      </c>
      <c r="D438" s="38" t="str">
        <f>IF(A438="","",MAX(0,VLOOKUP(A438,TRIP_ACTUALS!$A:$O,8,FALSE)-SETUP_RATES!$K$2)*SETUP_RATES!$K$3)</f>
        <v/>
      </c>
      <c r="E438" s="38" t="str">
        <f>IF(A438="","",VLOOKUP(A438,TRIP_ACTUALS!$A:$O,9,FALSE)*VLOOKUP(VLOOKUP(A438,BOOKINGS!$A:$Q,7,FALSE),SETUP_RATES!$A:$H,5,FALSE))</f>
        <v/>
      </c>
      <c r="F438" s="38" t="str">
        <f>IF(A438="","",IFERROR(VLOOKUP(A438,TRIP_ACTUALS!$A:$O,5,FALSE),0))</f>
        <v/>
      </c>
      <c r="G438" s="38" t="str">
        <f>IF(A438="","",IFERROR(VLOOKUP(A438,TRIP_ACTUALS!$A:$O,6,FALSE),0)+IFERROR(VLOOKUP(A438,TRIP_ACTUALS!$A:$O,7,FALSE),0))</f>
        <v/>
      </c>
      <c r="H438" s="38" t="str">
        <f>IF(A438="","",IFERROR(VLOOKUP(VLOOKUP(A438,BOOKINGS!$A:$Q,7,FALSE),SETUP_RATES!$A:$H,8,FALSE),0))</f>
        <v/>
      </c>
      <c r="I438" s="38" t="str">
        <f t="shared" si="1"/>
        <v/>
      </c>
      <c r="J438" s="38" t="str">
        <f>IF(A438="","",IFERROR(VLOOKUP(A438,BOOKINGS!$A:$Q,13,FALSE),0))</f>
        <v/>
      </c>
      <c r="K438" s="38" t="str">
        <f t="shared" si="2"/>
        <v/>
      </c>
      <c r="L438" s="38" t="str">
        <f t="shared" si="3"/>
        <v/>
      </c>
    </row>
    <row r="439" ht="15.75" customHeight="1">
      <c r="A439" s="33" t="str">
        <f>IF(BOOKINGS!A439="","",BOOKINGS!A439)</f>
        <v/>
      </c>
      <c r="B439" s="38" t="str">
        <f>IF(A439="","",MAX(VLOOKUP(A439,BOOKINGS!$A:$Q,6,FALSE)*VLOOKUP(VLOOKUP(A439,BOOKINGS!$A:$Q,7,FALSE),SETUP_RATES!$A:$H,3,FALSE),VLOOKUP(VLOOKUP(A439,BOOKINGS!$A:$Q,7,FALSE),SETUP_RATES!$A:$H,2,FALSE)))</f>
        <v/>
      </c>
      <c r="C439" s="38" t="str">
        <f>IF(A439="","",VLOOKUP(A439,BOOKINGS!$A:$Q,10,FALSE)*VLOOKUP(VLOOKUP(A439,BOOKINGS!$A:$Q,7,FALSE),SETUP_RATES!$A:$H,6,FALSE))</f>
        <v/>
      </c>
      <c r="D439" s="38" t="str">
        <f>IF(A439="","",MAX(0,VLOOKUP(A439,TRIP_ACTUALS!$A:$O,8,FALSE)-SETUP_RATES!$K$2)*SETUP_RATES!$K$3)</f>
        <v/>
      </c>
      <c r="E439" s="38" t="str">
        <f>IF(A439="","",VLOOKUP(A439,TRIP_ACTUALS!$A:$O,9,FALSE)*VLOOKUP(VLOOKUP(A439,BOOKINGS!$A:$Q,7,FALSE),SETUP_RATES!$A:$H,5,FALSE))</f>
        <v/>
      </c>
      <c r="F439" s="38" t="str">
        <f>IF(A439="","",IFERROR(VLOOKUP(A439,TRIP_ACTUALS!$A:$O,5,FALSE),0))</f>
        <v/>
      </c>
      <c r="G439" s="38" t="str">
        <f>IF(A439="","",IFERROR(VLOOKUP(A439,TRIP_ACTUALS!$A:$O,6,FALSE),0)+IFERROR(VLOOKUP(A439,TRIP_ACTUALS!$A:$O,7,FALSE),0))</f>
        <v/>
      </c>
      <c r="H439" s="38" t="str">
        <f>IF(A439="","",IFERROR(VLOOKUP(VLOOKUP(A439,BOOKINGS!$A:$Q,7,FALSE),SETUP_RATES!$A:$H,8,FALSE),0))</f>
        <v/>
      </c>
      <c r="I439" s="38" t="str">
        <f t="shared" si="1"/>
        <v/>
      </c>
      <c r="J439" s="38" t="str">
        <f>IF(A439="","",IFERROR(VLOOKUP(A439,BOOKINGS!$A:$Q,13,FALSE),0))</f>
        <v/>
      </c>
      <c r="K439" s="38" t="str">
        <f t="shared" si="2"/>
        <v/>
      </c>
      <c r="L439" s="38" t="str">
        <f t="shared" si="3"/>
        <v/>
      </c>
    </row>
    <row r="440" ht="15.75" customHeight="1">
      <c r="A440" s="33" t="str">
        <f>IF(BOOKINGS!A440="","",BOOKINGS!A440)</f>
        <v/>
      </c>
      <c r="B440" s="38" t="str">
        <f>IF(A440="","",MAX(VLOOKUP(A440,BOOKINGS!$A:$Q,6,FALSE)*VLOOKUP(VLOOKUP(A440,BOOKINGS!$A:$Q,7,FALSE),SETUP_RATES!$A:$H,3,FALSE),VLOOKUP(VLOOKUP(A440,BOOKINGS!$A:$Q,7,FALSE),SETUP_RATES!$A:$H,2,FALSE)))</f>
        <v/>
      </c>
      <c r="C440" s="38" t="str">
        <f>IF(A440="","",VLOOKUP(A440,BOOKINGS!$A:$Q,10,FALSE)*VLOOKUP(VLOOKUP(A440,BOOKINGS!$A:$Q,7,FALSE),SETUP_RATES!$A:$H,6,FALSE))</f>
        <v/>
      </c>
      <c r="D440" s="38" t="str">
        <f>IF(A440="","",MAX(0,VLOOKUP(A440,TRIP_ACTUALS!$A:$O,8,FALSE)-SETUP_RATES!$K$2)*SETUP_RATES!$K$3)</f>
        <v/>
      </c>
      <c r="E440" s="38" t="str">
        <f>IF(A440="","",VLOOKUP(A440,TRIP_ACTUALS!$A:$O,9,FALSE)*VLOOKUP(VLOOKUP(A440,BOOKINGS!$A:$Q,7,FALSE),SETUP_RATES!$A:$H,5,FALSE))</f>
        <v/>
      </c>
      <c r="F440" s="38" t="str">
        <f>IF(A440="","",IFERROR(VLOOKUP(A440,TRIP_ACTUALS!$A:$O,5,FALSE),0))</f>
        <v/>
      </c>
      <c r="G440" s="38" t="str">
        <f>IF(A440="","",IFERROR(VLOOKUP(A440,TRIP_ACTUALS!$A:$O,6,FALSE),0)+IFERROR(VLOOKUP(A440,TRIP_ACTUALS!$A:$O,7,FALSE),0))</f>
        <v/>
      </c>
      <c r="H440" s="38" t="str">
        <f>IF(A440="","",IFERROR(VLOOKUP(VLOOKUP(A440,BOOKINGS!$A:$Q,7,FALSE),SETUP_RATES!$A:$H,8,FALSE),0))</f>
        <v/>
      </c>
      <c r="I440" s="38" t="str">
        <f t="shared" si="1"/>
        <v/>
      </c>
      <c r="J440" s="38" t="str">
        <f>IF(A440="","",IFERROR(VLOOKUP(A440,BOOKINGS!$A:$Q,13,FALSE),0))</f>
        <v/>
      </c>
      <c r="K440" s="38" t="str">
        <f t="shared" si="2"/>
        <v/>
      </c>
      <c r="L440" s="38" t="str">
        <f t="shared" si="3"/>
        <v/>
      </c>
    </row>
    <row r="441" ht="15.75" customHeight="1">
      <c r="A441" s="33" t="str">
        <f>IF(BOOKINGS!A441="","",BOOKINGS!A441)</f>
        <v/>
      </c>
      <c r="B441" s="38" t="str">
        <f>IF(A441="","",MAX(VLOOKUP(A441,BOOKINGS!$A:$Q,6,FALSE)*VLOOKUP(VLOOKUP(A441,BOOKINGS!$A:$Q,7,FALSE),SETUP_RATES!$A:$H,3,FALSE),VLOOKUP(VLOOKUP(A441,BOOKINGS!$A:$Q,7,FALSE),SETUP_RATES!$A:$H,2,FALSE)))</f>
        <v/>
      </c>
      <c r="C441" s="38" t="str">
        <f>IF(A441="","",VLOOKUP(A441,BOOKINGS!$A:$Q,10,FALSE)*VLOOKUP(VLOOKUP(A441,BOOKINGS!$A:$Q,7,FALSE),SETUP_RATES!$A:$H,6,FALSE))</f>
        <v/>
      </c>
      <c r="D441" s="38" t="str">
        <f>IF(A441="","",MAX(0,VLOOKUP(A441,TRIP_ACTUALS!$A:$O,8,FALSE)-SETUP_RATES!$K$2)*SETUP_RATES!$K$3)</f>
        <v/>
      </c>
      <c r="E441" s="38" t="str">
        <f>IF(A441="","",VLOOKUP(A441,TRIP_ACTUALS!$A:$O,9,FALSE)*VLOOKUP(VLOOKUP(A441,BOOKINGS!$A:$Q,7,FALSE),SETUP_RATES!$A:$H,5,FALSE))</f>
        <v/>
      </c>
      <c r="F441" s="38" t="str">
        <f>IF(A441="","",IFERROR(VLOOKUP(A441,TRIP_ACTUALS!$A:$O,5,FALSE),0))</f>
        <v/>
      </c>
      <c r="G441" s="38" t="str">
        <f>IF(A441="","",IFERROR(VLOOKUP(A441,TRIP_ACTUALS!$A:$O,6,FALSE),0)+IFERROR(VLOOKUP(A441,TRIP_ACTUALS!$A:$O,7,FALSE),0))</f>
        <v/>
      </c>
      <c r="H441" s="38" t="str">
        <f>IF(A441="","",IFERROR(VLOOKUP(VLOOKUP(A441,BOOKINGS!$A:$Q,7,FALSE),SETUP_RATES!$A:$H,8,FALSE),0))</f>
        <v/>
      </c>
      <c r="I441" s="38" t="str">
        <f t="shared" si="1"/>
        <v/>
      </c>
      <c r="J441" s="38" t="str">
        <f>IF(A441="","",IFERROR(VLOOKUP(A441,BOOKINGS!$A:$Q,13,FALSE),0))</f>
        <v/>
      </c>
      <c r="K441" s="38" t="str">
        <f t="shared" si="2"/>
        <v/>
      </c>
      <c r="L441" s="38" t="str">
        <f t="shared" si="3"/>
        <v/>
      </c>
    </row>
    <row r="442" ht="15.75" customHeight="1">
      <c r="A442" s="33" t="str">
        <f>IF(BOOKINGS!A442="","",BOOKINGS!A442)</f>
        <v/>
      </c>
      <c r="B442" s="38" t="str">
        <f>IF(A442="","",MAX(VLOOKUP(A442,BOOKINGS!$A:$Q,6,FALSE)*VLOOKUP(VLOOKUP(A442,BOOKINGS!$A:$Q,7,FALSE),SETUP_RATES!$A:$H,3,FALSE),VLOOKUP(VLOOKUP(A442,BOOKINGS!$A:$Q,7,FALSE),SETUP_RATES!$A:$H,2,FALSE)))</f>
        <v/>
      </c>
      <c r="C442" s="38" t="str">
        <f>IF(A442="","",VLOOKUP(A442,BOOKINGS!$A:$Q,10,FALSE)*VLOOKUP(VLOOKUP(A442,BOOKINGS!$A:$Q,7,FALSE),SETUP_RATES!$A:$H,6,FALSE))</f>
        <v/>
      </c>
      <c r="D442" s="38" t="str">
        <f>IF(A442="","",MAX(0,VLOOKUP(A442,TRIP_ACTUALS!$A:$O,8,FALSE)-SETUP_RATES!$K$2)*SETUP_RATES!$K$3)</f>
        <v/>
      </c>
      <c r="E442" s="38" t="str">
        <f>IF(A442="","",VLOOKUP(A442,TRIP_ACTUALS!$A:$O,9,FALSE)*VLOOKUP(VLOOKUP(A442,BOOKINGS!$A:$Q,7,FALSE),SETUP_RATES!$A:$H,5,FALSE))</f>
        <v/>
      </c>
      <c r="F442" s="38" t="str">
        <f>IF(A442="","",IFERROR(VLOOKUP(A442,TRIP_ACTUALS!$A:$O,5,FALSE),0))</f>
        <v/>
      </c>
      <c r="G442" s="38" t="str">
        <f>IF(A442="","",IFERROR(VLOOKUP(A442,TRIP_ACTUALS!$A:$O,6,FALSE),0)+IFERROR(VLOOKUP(A442,TRIP_ACTUALS!$A:$O,7,FALSE),0))</f>
        <v/>
      </c>
      <c r="H442" s="38" t="str">
        <f>IF(A442="","",IFERROR(VLOOKUP(VLOOKUP(A442,BOOKINGS!$A:$Q,7,FALSE),SETUP_RATES!$A:$H,8,FALSE),0))</f>
        <v/>
      </c>
      <c r="I442" s="38" t="str">
        <f t="shared" si="1"/>
        <v/>
      </c>
      <c r="J442" s="38" t="str">
        <f>IF(A442="","",IFERROR(VLOOKUP(A442,BOOKINGS!$A:$Q,13,FALSE),0))</f>
        <v/>
      </c>
      <c r="K442" s="38" t="str">
        <f t="shared" si="2"/>
        <v/>
      </c>
      <c r="L442" s="38" t="str">
        <f t="shared" si="3"/>
        <v/>
      </c>
    </row>
    <row r="443" ht="15.75" customHeight="1">
      <c r="A443" s="33" t="str">
        <f>IF(BOOKINGS!A443="","",BOOKINGS!A443)</f>
        <v/>
      </c>
      <c r="B443" s="38" t="str">
        <f>IF(A443="","",MAX(VLOOKUP(A443,BOOKINGS!$A:$Q,6,FALSE)*VLOOKUP(VLOOKUP(A443,BOOKINGS!$A:$Q,7,FALSE),SETUP_RATES!$A:$H,3,FALSE),VLOOKUP(VLOOKUP(A443,BOOKINGS!$A:$Q,7,FALSE),SETUP_RATES!$A:$H,2,FALSE)))</f>
        <v/>
      </c>
      <c r="C443" s="38" t="str">
        <f>IF(A443="","",VLOOKUP(A443,BOOKINGS!$A:$Q,10,FALSE)*VLOOKUP(VLOOKUP(A443,BOOKINGS!$A:$Q,7,FALSE),SETUP_RATES!$A:$H,6,FALSE))</f>
        <v/>
      </c>
      <c r="D443" s="38" t="str">
        <f>IF(A443="","",MAX(0,VLOOKUP(A443,TRIP_ACTUALS!$A:$O,8,FALSE)-SETUP_RATES!$K$2)*SETUP_RATES!$K$3)</f>
        <v/>
      </c>
      <c r="E443" s="38" t="str">
        <f>IF(A443="","",VLOOKUP(A443,TRIP_ACTUALS!$A:$O,9,FALSE)*VLOOKUP(VLOOKUP(A443,BOOKINGS!$A:$Q,7,FALSE),SETUP_RATES!$A:$H,5,FALSE))</f>
        <v/>
      </c>
      <c r="F443" s="38" t="str">
        <f>IF(A443="","",IFERROR(VLOOKUP(A443,TRIP_ACTUALS!$A:$O,5,FALSE),0))</f>
        <v/>
      </c>
      <c r="G443" s="38" t="str">
        <f>IF(A443="","",IFERROR(VLOOKUP(A443,TRIP_ACTUALS!$A:$O,6,FALSE),0)+IFERROR(VLOOKUP(A443,TRIP_ACTUALS!$A:$O,7,FALSE),0))</f>
        <v/>
      </c>
      <c r="H443" s="38" t="str">
        <f>IF(A443="","",IFERROR(VLOOKUP(VLOOKUP(A443,BOOKINGS!$A:$Q,7,FALSE),SETUP_RATES!$A:$H,8,FALSE),0))</f>
        <v/>
      </c>
      <c r="I443" s="38" t="str">
        <f t="shared" si="1"/>
        <v/>
      </c>
      <c r="J443" s="38" t="str">
        <f>IF(A443="","",IFERROR(VLOOKUP(A443,BOOKINGS!$A:$Q,13,FALSE),0))</f>
        <v/>
      </c>
      <c r="K443" s="38" t="str">
        <f t="shared" si="2"/>
        <v/>
      </c>
      <c r="L443" s="38" t="str">
        <f t="shared" si="3"/>
        <v/>
      </c>
    </row>
    <row r="444" ht="15.75" customHeight="1">
      <c r="A444" s="33" t="str">
        <f>IF(BOOKINGS!A444="","",BOOKINGS!A444)</f>
        <v/>
      </c>
      <c r="B444" s="38" t="str">
        <f>IF(A444="","",MAX(VLOOKUP(A444,BOOKINGS!$A:$Q,6,FALSE)*VLOOKUP(VLOOKUP(A444,BOOKINGS!$A:$Q,7,FALSE),SETUP_RATES!$A:$H,3,FALSE),VLOOKUP(VLOOKUP(A444,BOOKINGS!$A:$Q,7,FALSE),SETUP_RATES!$A:$H,2,FALSE)))</f>
        <v/>
      </c>
      <c r="C444" s="38" t="str">
        <f>IF(A444="","",VLOOKUP(A444,BOOKINGS!$A:$Q,10,FALSE)*VLOOKUP(VLOOKUP(A444,BOOKINGS!$A:$Q,7,FALSE),SETUP_RATES!$A:$H,6,FALSE))</f>
        <v/>
      </c>
      <c r="D444" s="38" t="str">
        <f>IF(A444="","",MAX(0,VLOOKUP(A444,TRIP_ACTUALS!$A:$O,8,FALSE)-SETUP_RATES!$K$2)*SETUP_RATES!$K$3)</f>
        <v/>
      </c>
      <c r="E444" s="38" t="str">
        <f>IF(A444="","",VLOOKUP(A444,TRIP_ACTUALS!$A:$O,9,FALSE)*VLOOKUP(VLOOKUP(A444,BOOKINGS!$A:$Q,7,FALSE),SETUP_RATES!$A:$H,5,FALSE))</f>
        <v/>
      </c>
      <c r="F444" s="38" t="str">
        <f>IF(A444="","",IFERROR(VLOOKUP(A444,TRIP_ACTUALS!$A:$O,5,FALSE),0))</f>
        <v/>
      </c>
      <c r="G444" s="38" t="str">
        <f>IF(A444="","",IFERROR(VLOOKUP(A444,TRIP_ACTUALS!$A:$O,6,FALSE),0)+IFERROR(VLOOKUP(A444,TRIP_ACTUALS!$A:$O,7,FALSE),0))</f>
        <v/>
      </c>
      <c r="H444" s="38" t="str">
        <f>IF(A444="","",IFERROR(VLOOKUP(VLOOKUP(A444,BOOKINGS!$A:$Q,7,FALSE),SETUP_RATES!$A:$H,8,FALSE),0))</f>
        <v/>
      </c>
      <c r="I444" s="38" t="str">
        <f t="shared" si="1"/>
        <v/>
      </c>
      <c r="J444" s="38" t="str">
        <f>IF(A444="","",IFERROR(VLOOKUP(A444,BOOKINGS!$A:$Q,13,FALSE),0))</f>
        <v/>
      </c>
      <c r="K444" s="38" t="str">
        <f t="shared" si="2"/>
        <v/>
      </c>
      <c r="L444" s="38" t="str">
        <f t="shared" si="3"/>
        <v/>
      </c>
    </row>
    <row r="445" ht="15.75" customHeight="1">
      <c r="A445" s="33" t="str">
        <f>IF(BOOKINGS!A445="","",BOOKINGS!A445)</f>
        <v/>
      </c>
      <c r="B445" s="38" t="str">
        <f>IF(A445="","",MAX(VLOOKUP(A445,BOOKINGS!$A:$Q,6,FALSE)*VLOOKUP(VLOOKUP(A445,BOOKINGS!$A:$Q,7,FALSE),SETUP_RATES!$A:$H,3,FALSE),VLOOKUP(VLOOKUP(A445,BOOKINGS!$A:$Q,7,FALSE),SETUP_RATES!$A:$H,2,FALSE)))</f>
        <v/>
      </c>
      <c r="C445" s="38" t="str">
        <f>IF(A445="","",VLOOKUP(A445,BOOKINGS!$A:$Q,10,FALSE)*VLOOKUP(VLOOKUP(A445,BOOKINGS!$A:$Q,7,FALSE),SETUP_RATES!$A:$H,6,FALSE))</f>
        <v/>
      </c>
      <c r="D445" s="38" t="str">
        <f>IF(A445="","",MAX(0,VLOOKUP(A445,TRIP_ACTUALS!$A:$O,8,FALSE)-SETUP_RATES!$K$2)*SETUP_RATES!$K$3)</f>
        <v/>
      </c>
      <c r="E445" s="38" t="str">
        <f>IF(A445="","",VLOOKUP(A445,TRIP_ACTUALS!$A:$O,9,FALSE)*VLOOKUP(VLOOKUP(A445,BOOKINGS!$A:$Q,7,FALSE),SETUP_RATES!$A:$H,5,FALSE))</f>
        <v/>
      </c>
      <c r="F445" s="38" t="str">
        <f>IF(A445="","",IFERROR(VLOOKUP(A445,TRIP_ACTUALS!$A:$O,5,FALSE),0))</f>
        <v/>
      </c>
      <c r="G445" s="38" t="str">
        <f>IF(A445="","",IFERROR(VLOOKUP(A445,TRIP_ACTUALS!$A:$O,6,FALSE),0)+IFERROR(VLOOKUP(A445,TRIP_ACTUALS!$A:$O,7,FALSE),0))</f>
        <v/>
      </c>
      <c r="H445" s="38" t="str">
        <f>IF(A445="","",IFERROR(VLOOKUP(VLOOKUP(A445,BOOKINGS!$A:$Q,7,FALSE),SETUP_RATES!$A:$H,8,FALSE),0))</f>
        <v/>
      </c>
      <c r="I445" s="38" t="str">
        <f t="shared" si="1"/>
        <v/>
      </c>
      <c r="J445" s="38" t="str">
        <f>IF(A445="","",IFERROR(VLOOKUP(A445,BOOKINGS!$A:$Q,13,FALSE),0))</f>
        <v/>
      </c>
      <c r="K445" s="38" t="str">
        <f t="shared" si="2"/>
        <v/>
      </c>
      <c r="L445" s="38" t="str">
        <f t="shared" si="3"/>
        <v/>
      </c>
    </row>
    <row r="446" ht="15.75" customHeight="1">
      <c r="A446" s="33" t="str">
        <f>IF(BOOKINGS!A446="","",BOOKINGS!A446)</f>
        <v/>
      </c>
      <c r="B446" s="38" t="str">
        <f>IF(A446="","",MAX(VLOOKUP(A446,BOOKINGS!$A:$Q,6,FALSE)*VLOOKUP(VLOOKUP(A446,BOOKINGS!$A:$Q,7,FALSE),SETUP_RATES!$A:$H,3,FALSE),VLOOKUP(VLOOKUP(A446,BOOKINGS!$A:$Q,7,FALSE),SETUP_RATES!$A:$H,2,FALSE)))</f>
        <v/>
      </c>
      <c r="C446" s="38" t="str">
        <f>IF(A446="","",VLOOKUP(A446,BOOKINGS!$A:$Q,10,FALSE)*VLOOKUP(VLOOKUP(A446,BOOKINGS!$A:$Q,7,FALSE),SETUP_RATES!$A:$H,6,FALSE))</f>
        <v/>
      </c>
      <c r="D446" s="38" t="str">
        <f>IF(A446="","",MAX(0,VLOOKUP(A446,TRIP_ACTUALS!$A:$O,8,FALSE)-SETUP_RATES!$K$2)*SETUP_RATES!$K$3)</f>
        <v/>
      </c>
      <c r="E446" s="38" t="str">
        <f>IF(A446="","",VLOOKUP(A446,TRIP_ACTUALS!$A:$O,9,FALSE)*VLOOKUP(VLOOKUP(A446,BOOKINGS!$A:$Q,7,FALSE),SETUP_RATES!$A:$H,5,FALSE))</f>
        <v/>
      </c>
      <c r="F446" s="38" t="str">
        <f>IF(A446="","",IFERROR(VLOOKUP(A446,TRIP_ACTUALS!$A:$O,5,FALSE),0))</f>
        <v/>
      </c>
      <c r="G446" s="38" t="str">
        <f>IF(A446="","",IFERROR(VLOOKUP(A446,TRIP_ACTUALS!$A:$O,6,FALSE),0)+IFERROR(VLOOKUP(A446,TRIP_ACTUALS!$A:$O,7,FALSE),0))</f>
        <v/>
      </c>
      <c r="H446" s="38" t="str">
        <f>IF(A446="","",IFERROR(VLOOKUP(VLOOKUP(A446,BOOKINGS!$A:$Q,7,FALSE),SETUP_RATES!$A:$H,8,FALSE),0))</f>
        <v/>
      </c>
      <c r="I446" s="38" t="str">
        <f t="shared" si="1"/>
        <v/>
      </c>
      <c r="J446" s="38" t="str">
        <f>IF(A446="","",IFERROR(VLOOKUP(A446,BOOKINGS!$A:$Q,13,FALSE),0))</f>
        <v/>
      </c>
      <c r="K446" s="38" t="str">
        <f t="shared" si="2"/>
        <v/>
      </c>
      <c r="L446" s="38" t="str">
        <f t="shared" si="3"/>
        <v/>
      </c>
    </row>
    <row r="447" ht="15.75" customHeight="1">
      <c r="A447" s="33" t="str">
        <f>IF(BOOKINGS!A447="","",BOOKINGS!A447)</f>
        <v/>
      </c>
      <c r="B447" s="38" t="str">
        <f>IF(A447="","",MAX(VLOOKUP(A447,BOOKINGS!$A:$Q,6,FALSE)*VLOOKUP(VLOOKUP(A447,BOOKINGS!$A:$Q,7,FALSE),SETUP_RATES!$A:$H,3,FALSE),VLOOKUP(VLOOKUP(A447,BOOKINGS!$A:$Q,7,FALSE),SETUP_RATES!$A:$H,2,FALSE)))</f>
        <v/>
      </c>
      <c r="C447" s="38" t="str">
        <f>IF(A447="","",VLOOKUP(A447,BOOKINGS!$A:$Q,10,FALSE)*VLOOKUP(VLOOKUP(A447,BOOKINGS!$A:$Q,7,FALSE),SETUP_RATES!$A:$H,6,FALSE))</f>
        <v/>
      </c>
      <c r="D447" s="38" t="str">
        <f>IF(A447="","",MAX(0,VLOOKUP(A447,TRIP_ACTUALS!$A:$O,8,FALSE)-SETUP_RATES!$K$2)*SETUP_RATES!$K$3)</f>
        <v/>
      </c>
      <c r="E447" s="38" t="str">
        <f>IF(A447="","",VLOOKUP(A447,TRIP_ACTUALS!$A:$O,9,FALSE)*VLOOKUP(VLOOKUP(A447,BOOKINGS!$A:$Q,7,FALSE),SETUP_RATES!$A:$H,5,FALSE))</f>
        <v/>
      </c>
      <c r="F447" s="38" t="str">
        <f>IF(A447="","",IFERROR(VLOOKUP(A447,TRIP_ACTUALS!$A:$O,5,FALSE),0))</f>
        <v/>
      </c>
      <c r="G447" s="38" t="str">
        <f>IF(A447="","",IFERROR(VLOOKUP(A447,TRIP_ACTUALS!$A:$O,6,FALSE),0)+IFERROR(VLOOKUP(A447,TRIP_ACTUALS!$A:$O,7,FALSE),0))</f>
        <v/>
      </c>
      <c r="H447" s="38" t="str">
        <f>IF(A447="","",IFERROR(VLOOKUP(VLOOKUP(A447,BOOKINGS!$A:$Q,7,FALSE),SETUP_RATES!$A:$H,8,FALSE),0))</f>
        <v/>
      </c>
      <c r="I447" s="38" t="str">
        <f t="shared" si="1"/>
        <v/>
      </c>
      <c r="J447" s="38" t="str">
        <f>IF(A447="","",IFERROR(VLOOKUP(A447,BOOKINGS!$A:$Q,13,FALSE),0))</f>
        <v/>
      </c>
      <c r="K447" s="38" t="str">
        <f t="shared" si="2"/>
        <v/>
      </c>
      <c r="L447" s="38" t="str">
        <f t="shared" si="3"/>
        <v/>
      </c>
    </row>
    <row r="448" ht="15.75" customHeight="1">
      <c r="A448" s="33" t="str">
        <f>IF(BOOKINGS!A448="","",BOOKINGS!A448)</f>
        <v/>
      </c>
      <c r="B448" s="38" t="str">
        <f>IF(A448="","",MAX(VLOOKUP(A448,BOOKINGS!$A:$Q,6,FALSE)*VLOOKUP(VLOOKUP(A448,BOOKINGS!$A:$Q,7,FALSE),SETUP_RATES!$A:$H,3,FALSE),VLOOKUP(VLOOKUP(A448,BOOKINGS!$A:$Q,7,FALSE),SETUP_RATES!$A:$H,2,FALSE)))</f>
        <v/>
      </c>
      <c r="C448" s="38" t="str">
        <f>IF(A448="","",VLOOKUP(A448,BOOKINGS!$A:$Q,10,FALSE)*VLOOKUP(VLOOKUP(A448,BOOKINGS!$A:$Q,7,FALSE),SETUP_RATES!$A:$H,6,FALSE))</f>
        <v/>
      </c>
      <c r="D448" s="38" t="str">
        <f>IF(A448="","",MAX(0,VLOOKUP(A448,TRIP_ACTUALS!$A:$O,8,FALSE)-SETUP_RATES!$K$2)*SETUP_RATES!$K$3)</f>
        <v/>
      </c>
      <c r="E448" s="38" t="str">
        <f>IF(A448="","",VLOOKUP(A448,TRIP_ACTUALS!$A:$O,9,FALSE)*VLOOKUP(VLOOKUP(A448,BOOKINGS!$A:$Q,7,FALSE),SETUP_RATES!$A:$H,5,FALSE))</f>
        <v/>
      </c>
      <c r="F448" s="38" t="str">
        <f>IF(A448="","",IFERROR(VLOOKUP(A448,TRIP_ACTUALS!$A:$O,5,FALSE),0))</f>
        <v/>
      </c>
      <c r="G448" s="38" t="str">
        <f>IF(A448="","",IFERROR(VLOOKUP(A448,TRIP_ACTUALS!$A:$O,6,FALSE),0)+IFERROR(VLOOKUP(A448,TRIP_ACTUALS!$A:$O,7,FALSE),0))</f>
        <v/>
      </c>
      <c r="H448" s="38" t="str">
        <f>IF(A448="","",IFERROR(VLOOKUP(VLOOKUP(A448,BOOKINGS!$A:$Q,7,FALSE),SETUP_RATES!$A:$H,8,FALSE),0))</f>
        <v/>
      </c>
      <c r="I448" s="38" t="str">
        <f t="shared" si="1"/>
        <v/>
      </c>
      <c r="J448" s="38" t="str">
        <f>IF(A448="","",IFERROR(VLOOKUP(A448,BOOKINGS!$A:$Q,13,FALSE),0))</f>
        <v/>
      </c>
      <c r="K448" s="38" t="str">
        <f t="shared" si="2"/>
        <v/>
      </c>
      <c r="L448" s="38" t="str">
        <f t="shared" si="3"/>
        <v/>
      </c>
    </row>
    <row r="449" ht="15.75" customHeight="1">
      <c r="A449" s="33" t="str">
        <f>IF(BOOKINGS!A449="","",BOOKINGS!A449)</f>
        <v/>
      </c>
      <c r="B449" s="38" t="str">
        <f>IF(A449="","",MAX(VLOOKUP(A449,BOOKINGS!$A:$Q,6,FALSE)*VLOOKUP(VLOOKUP(A449,BOOKINGS!$A:$Q,7,FALSE),SETUP_RATES!$A:$H,3,FALSE),VLOOKUP(VLOOKUP(A449,BOOKINGS!$A:$Q,7,FALSE),SETUP_RATES!$A:$H,2,FALSE)))</f>
        <v/>
      </c>
      <c r="C449" s="38" t="str">
        <f>IF(A449="","",VLOOKUP(A449,BOOKINGS!$A:$Q,10,FALSE)*VLOOKUP(VLOOKUP(A449,BOOKINGS!$A:$Q,7,FALSE),SETUP_RATES!$A:$H,6,FALSE))</f>
        <v/>
      </c>
      <c r="D449" s="38" t="str">
        <f>IF(A449="","",MAX(0,VLOOKUP(A449,TRIP_ACTUALS!$A:$O,8,FALSE)-SETUP_RATES!$K$2)*SETUP_RATES!$K$3)</f>
        <v/>
      </c>
      <c r="E449" s="38" t="str">
        <f>IF(A449="","",VLOOKUP(A449,TRIP_ACTUALS!$A:$O,9,FALSE)*VLOOKUP(VLOOKUP(A449,BOOKINGS!$A:$Q,7,FALSE),SETUP_RATES!$A:$H,5,FALSE))</f>
        <v/>
      </c>
      <c r="F449" s="38" t="str">
        <f>IF(A449="","",IFERROR(VLOOKUP(A449,TRIP_ACTUALS!$A:$O,5,FALSE),0))</f>
        <v/>
      </c>
      <c r="G449" s="38" t="str">
        <f>IF(A449="","",IFERROR(VLOOKUP(A449,TRIP_ACTUALS!$A:$O,6,FALSE),0)+IFERROR(VLOOKUP(A449,TRIP_ACTUALS!$A:$O,7,FALSE),0))</f>
        <v/>
      </c>
      <c r="H449" s="38" t="str">
        <f>IF(A449="","",IFERROR(VLOOKUP(VLOOKUP(A449,BOOKINGS!$A:$Q,7,FALSE),SETUP_RATES!$A:$H,8,FALSE),0))</f>
        <v/>
      </c>
      <c r="I449" s="38" t="str">
        <f t="shared" si="1"/>
        <v/>
      </c>
      <c r="J449" s="38" t="str">
        <f>IF(A449="","",IFERROR(VLOOKUP(A449,BOOKINGS!$A:$Q,13,FALSE),0))</f>
        <v/>
      </c>
      <c r="K449" s="38" t="str">
        <f t="shared" si="2"/>
        <v/>
      </c>
      <c r="L449" s="38" t="str">
        <f t="shared" si="3"/>
        <v/>
      </c>
    </row>
    <row r="450" ht="15.75" customHeight="1">
      <c r="A450" s="33" t="str">
        <f>IF(BOOKINGS!A450="","",BOOKINGS!A450)</f>
        <v/>
      </c>
      <c r="B450" s="38" t="str">
        <f>IF(A450="","",MAX(VLOOKUP(A450,BOOKINGS!$A:$Q,6,FALSE)*VLOOKUP(VLOOKUP(A450,BOOKINGS!$A:$Q,7,FALSE),SETUP_RATES!$A:$H,3,FALSE),VLOOKUP(VLOOKUP(A450,BOOKINGS!$A:$Q,7,FALSE),SETUP_RATES!$A:$H,2,FALSE)))</f>
        <v/>
      </c>
      <c r="C450" s="38" t="str">
        <f>IF(A450="","",VLOOKUP(A450,BOOKINGS!$A:$Q,10,FALSE)*VLOOKUP(VLOOKUP(A450,BOOKINGS!$A:$Q,7,FALSE),SETUP_RATES!$A:$H,6,FALSE))</f>
        <v/>
      </c>
      <c r="D450" s="38" t="str">
        <f>IF(A450="","",MAX(0,VLOOKUP(A450,TRIP_ACTUALS!$A:$O,8,FALSE)-SETUP_RATES!$K$2)*SETUP_RATES!$K$3)</f>
        <v/>
      </c>
      <c r="E450" s="38" t="str">
        <f>IF(A450="","",VLOOKUP(A450,TRIP_ACTUALS!$A:$O,9,FALSE)*VLOOKUP(VLOOKUP(A450,BOOKINGS!$A:$Q,7,FALSE),SETUP_RATES!$A:$H,5,FALSE))</f>
        <v/>
      </c>
      <c r="F450" s="38" t="str">
        <f>IF(A450="","",IFERROR(VLOOKUP(A450,TRIP_ACTUALS!$A:$O,5,FALSE),0))</f>
        <v/>
      </c>
      <c r="G450" s="38" t="str">
        <f>IF(A450="","",IFERROR(VLOOKUP(A450,TRIP_ACTUALS!$A:$O,6,FALSE),0)+IFERROR(VLOOKUP(A450,TRIP_ACTUALS!$A:$O,7,FALSE),0))</f>
        <v/>
      </c>
      <c r="H450" s="38" t="str">
        <f>IF(A450="","",IFERROR(VLOOKUP(VLOOKUP(A450,BOOKINGS!$A:$Q,7,FALSE),SETUP_RATES!$A:$H,8,FALSE),0))</f>
        <v/>
      </c>
      <c r="I450" s="38" t="str">
        <f t="shared" si="1"/>
        <v/>
      </c>
      <c r="J450" s="38" t="str">
        <f>IF(A450="","",IFERROR(VLOOKUP(A450,BOOKINGS!$A:$Q,13,FALSE),0))</f>
        <v/>
      </c>
      <c r="K450" s="38" t="str">
        <f t="shared" si="2"/>
        <v/>
      </c>
      <c r="L450" s="38" t="str">
        <f t="shared" si="3"/>
        <v/>
      </c>
    </row>
    <row r="451" ht="15.75" customHeight="1">
      <c r="A451" s="33" t="str">
        <f>IF(BOOKINGS!A451="","",BOOKINGS!A451)</f>
        <v/>
      </c>
      <c r="B451" s="38" t="str">
        <f>IF(A451="","",MAX(VLOOKUP(A451,BOOKINGS!$A:$Q,6,FALSE)*VLOOKUP(VLOOKUP(A451,BOOKINGS!$A:$Q,7,FALSE),SETUP_RATES!$A:$H,3,FALSE),VLOOKUP(VLOOKUP(A451,BOOKINGS!$A:$Q,7,FALSE),SETUP_RATES!$A:$H,2,FALSE)))</f>
        <v/>
      </c>
      <c r="C451" s="38" t="str">
        <f>IF(A451="","",VLOOKUP(A451,BOOKINGS!$A:$Q,10,FALSE)*VLOOKUP(VLOOKUP(A451,BOOKINGS!$A:$Q,7,FALSE),SETUP_RATES!$A:$H,6,FALSE))</f>
        <v/>
      </c>
      <c r="D451" s="38" t="str">
        <f>IF(A451="","",MAX(0,VLOOKUP(A451,TRIP_ACTUALS!$A:$O,8,FALSE)-SETUP_RATES!$K$2)*SETUP_RATES!$K$3)</f>
        <v/>
      </c>
      <c r="E451" s="38" t="str">
        <f>IF(A451="","",VLOOKUP(A451,TRIP_ACTUALS!$A:$O,9,FALSE)*VLOOKUP(VLOOKUP(A451,BOOKINGS!$A:$Q,7,FALSE),SETUP_RATES!$A:$H,5,FALSE))</f>
        <v/>
      </c>
      <c r="F451" s="38" t="str">
        <f>IF(A451="","",IFERROR(VLOOKUP(A451,TRIP_ACTUALS!$A:$O,5,FALSE),0))</f>
        <v/>
      </c>
      <c r="G451" s="38" t="str">
        <f>IF(A451="","",IFERROR(VLOOKUP(A451,TRIP_ACTUALS!$A:$O,6,FALSE),0)+IFERROR(VLOOKUP(A451,TRIP_ACTUALS!$A:$O,7,FALSE),0))</f>
        <v/>
      </c>
      <c r="H451" s="38" t="str">
        <f>IF(A451="","",IFERROR(VLOOKUP(VLOOKUP(A451,BOOKINGS!$A:$Q,7,FALSE),SETUP_RATES!$A:$H,8,FALSE),0))</f>
        <v/>
      </c>
      <c r="I451" s="38" t="str">
        <f t="shared" si="1"/>
        <v/>
      </c>
      <c r="J451" s="38" t="str">
        <f>IF(A451="","",IFERROR(VLOOKUP(A451,BOOKINGS!$A:$Q,13,FALSE),0))</f>
        <v/>
      </c>
      <c r="K451" s="38" t="str">
        <f t="shared" si="2"/>
        <v/>
      </c>
      <c r="L451" s="38" t="str">
        <f t="shared" si="3"/>
        <v/>
      </c>
    </row>
    <row r="452" ht="15.75" customHeight="1">
      <c r="A452" s="33" t="str">
        <f>IF(BOOKINGS!A452="","",BOOKINGS!A452)</f>
        <v/>
      </c>
      <c r="B452" s="38" t="str">
        <f>IF(A452="","",MAX(VLOOKUP(A452,BOOKINGS!$A:$Q,6,FALSE)*VLOOKUP(VLOOKUP(A452,BOOKINGS!$A:$Q,7,FALSE),SETUP_RATES!$A:$H,3,FALSE),VLOOKUP(VLOOKUP(A452,BOOKINGS!$A:$Q,7,FALSE),SETUP_RATES!$A:$H,2,FALSE)))</f>
        <v/>
      </c>
      <c r="C452" s="38" t="str">
        <f>IF(A452="","",VLOOKUP(A452,BOOKINGS!$A:$Q,10,FALSE)*VLOOKUP(VLOOKUP(A452,BOOKINGS!$A:$Q,7,FALSE),SETUP_RATES!$A:$H,6,FALSE))</f>
        <v/>
      </c>
      <c r="D452" s="38" t="str">
        <f>IF(A452="","",MAX(0,VLOOKUP(A452,TRIP_ACTUALS!$A:$O,8,FALSE)-SETUP_RATES!$K$2)*SETUP_RATES!$K$3)</f>
        <v/>
      </c>
      <c r="E452" s="38" t="str">
        <f>IF(A452="","",VLOOKUP(A452,TRIP_ACTUALS!$A:$O,9,FALSE)*VLOOKUP(VLOOKUP(A452,BOOKINGS!$A:$Q,7,FALSE),SETUP_RATES!$A:$H,5,FALSE))</f>
        <v/>
      </c>
      <c r="F452" s="38" t="str">
        <f>IF(A452="","",IFERROR(VLOOKUP(A452,TRIP_ACTUALS!$A:$O,5,FALSE),0))</f>
        <v/>
      </c>
      <c r="G452" s="38" t="str">
        <f>IF(A452="","",IFERROR(VLOOKUP(A452,TRIP_ACTUALS!$A:$O,6,FALSE),0)+IFERROR(VLOOKUP(A452,TRIP_ACTUALS!$A:$O,7,FALSE),0))</f>
        <v/>
      </c>
      <c r="H452" s="38" t="str">
        <f>IF(A452="","",IFERROR(VLOOKUP(VLOOKUP(A452,BOOKINGS!$A:$Q,7,FALSE),SETUP_RATES!$A:$H,8,FALSE),0))</f>
        <v/>
      </c>
      <c r="I452" s="38" t="str">
        <f t="shared" si="1"/>
        <v/>
      </c>
      <c r="J452" s="38" t="str">
        <f>IF(A452="","",IFERROR(VLOOKUP(A452,BOOKINGS!$A:$Q,13,FALSE),0))</f>
        <v/>
      </c>
      <c r="K452" s="38" t="str">
        <f t="shared" si="2"/>
        <v/>
      </c>
      <c r="L452" s="38" t="str">
        <f t="shared" si="3"/>
        <v/>
      </c>
    </row>
    <row r="453" ht="15.75" customHeight="1">
      <c r="A453" s="33" t="str">
        <f>IF(BOOKINGS!A453="","",BOOKINGS!A453)</f>
        <v/>
      </c>
      <c r="B453" s="38" t="str">
        <f>IF(A453="","",MAX(VLOOKUP(A453,BOOKINGS!$A:$Q,6,FALSE)*VLOOKUP(VLOOKUP(A453,BOOKINGS!$A:$Q,7,FALSE),SETUP_RATES!$A:$H,3,FALSE),VLOOKUP(VLOOKUP(A453,BOOKINGS!$A:$Q,7,FALSE),SETUP_RATES!$A:$H,2,FALSE)))</f>
        <v/>
      </c>
      <c r="C453" s="38" t="str">
        <f>IF(A453="","",VLOOKUP(A453,BOOKINGS!$A:$Q,10,FALSE)*VLOOKUP(VLOOKUP(A453,BOOKINGS!$A:$Q,7,FALSE),SETUP_RATES!$A:$H,6,FALSE))</f>
        <v/>
      </c>
      <c r="D453" s="38" t="str">
        <f>IF(A453="","",MAX(0,VLOOKUP(A453,TRIP_ACTUALS!$A:$O,8,FALSE)-SETUP_RATES!$K$2)*SETUP_RATES!$K$3)</f>
        <v/>
      </c>
      <c r="E453" s="38" t="str">
        <f>IF(A453="","",VLOOKUP(A453,TRIP_ACTUALS!$A:$O,9,FALSE)*VLOOKUP(VLOOKUP(A453,BOOKINGS!$A:$Q,7,FALSE),SETUP_RATES!$A:$H,5,FALSE))</f>
        <v/>
      </c>
      <c r="F453" s="38" t="str">
        <f>IF(A453="","",IFERROR(VLOOKUP(A453,TRIP_ACTUALS!$A:$O,5,FALSE),0))</f>
        <v/>
      </c>
      <c r="G453" s="38" t="str">
        <f>IF(A453="","",IFERROR(VLOOKUP(A453,TRIP_ACTUALS!$A:$O,6,FALSE),0)+IFERROR(VLOOKUP(A453,TRIP_ACTUALS!$A:$O,7,FALSE),0))</f>
        <v/>
      </c>
      <c r="H453" s="38" t="str">
        <f>IF(A453="","",IFERROR(VLOOKUP(VLOOKUP(A453,BOOKINGS!$A:$Q,7,FALSE),SETUP_RATES!$A:$H,8,FALSE),0))</f>
        <v/>
      </c>
      <c r="I453" s="38" t="str">
        <f t="shared" si="1"/>
        <v/>
      </c>
      <c r="J453" s="38" t="str">
        <f>IF(A453="","",IFERROR(VLOOKUP(A453,BOOKINGS!$A:$Q,13,FALSE),0))</f>
        <v/>
      </c>
      <c r="K453" s="38" t="str">
        <f t="shared" si="2"/>
        <v/>
      </c>
      <c r="L453" s="38" t="str">
        <f t="shared" si="3"/>
        <v/>
      </c>
    </row>
    <row r="454" ht="15.75" customHeight="1">
      <c r="A454" s="33" t="str">
        <f>IF(BOOKINGS!A454="","",BOOKINGS!A454)</f>
        <v/>
      </c>
      <c r="B454" s="38" t="str">
        <f>IF(A454="","",MAX(VLOOKUP(A454,BOOKINGS!$A:$Q,6,FALSE)*VLOOKUP(VLOOKUP(A454,BOOKINGS!$A:$Q,7,FALSE),SETUP_RATES!$A:$H,3,FALSE),VLOOKUP(VLOOKUP(A454,BOOKINGS!$A:$Q,7,FALSE),SETUP_RATES!$A:$H,2,FALSE)))</f>
        <v/>
      </c>
      <c r="C454" s="38" t="str">
        <f>IF(A454="","",VLOOKUP(A454,BOOKINGS!$A:$Q,10,FALSE)*VLOOKUP(VLOOKUP(A454,BOOKINGS!$A:$Q,7,FALSE),SETUP_RATES!$A:$H,6,FALSE))</f>
        <v/>
      </c>
      <c r="D454" s="38" t="str">
        <f>IF(A454="","",MAX(0,VLOOKUP(A454,TRIP_ACTUALS!$A:$O,8,FALSE)-SETUP_RATES!$K$2)*SETUP_RATES!$K$3)</f>
        <v/>
      </c>
      <c r="E454" s="38" t="str">
        <f>IF(A454="","",VLOOKUP(A454,TRIP_ACTUALS!$A:$O,9,FALSE)*VLOOKUP(VLOOKUP(A454,BOOKINGS!$A:$Q,7,FALSE),SETUP_RATES!$A:$H,5,FALSE))</f>
        <v/>
      </c>
      <c r="F454" s="38" t="str">
        <f>IF(A454="","",IFERROR(VLOOKUP(A454,TRIP_ACTUALS!$A:$O,5,FALSE),0))</f>
        <v/>
      </c>
      <c r="G454" s="38" t="str">
        <f>IF(A454="","",IFERROR(VLOOKUP(A454,TRIP_ACTUALS!$A:$O,6,FALSE),0)+IFERROR(VLOOKUP(A454,TRIP_ACTUALS!$A:$O,7,FALSE),0))</f>
        <v/>
      </c>
      <c r="H454" s="38" t="str">
        <f>IF(A454="","",IFERROR(VLOOKUP(VLOOKUP(A454,BOOKINGS!$A:$Q,7,FALSE),SETUP_RATES!$A:$H,8,FALSE),0))</f>
        <v/>
      </c>
      <c r="I454" s="38" t="str">
        <f t="shared" si="1"/>
        <v/>
      </c>
      <c r="J454" s="38" t="str">
        <f>IF(A454="","",IFERROR(VLOOKUP(A454,BOOKINGS!$A:$Q,13,FALSE),0))</f>
        <v/>
      </c>
      <c r="K454" s="38" t="str">
        <f t="shared" si="2"/>
        <v/>
      </c>
      <c r="L454" s="38" t="str">
        <f t="shared" si="3"/>
        <v/>
      </c>
    </row>
    <row r="455" ht="15.75" customHeight="1">
      <c r="A455" s="33" t="str">
        <f>IF(BOOKINGS!A455="","",BOOKINGS!A455)</f>
        <v/>
      </c>
      <c r="B455" s="38" t="str">
        <f>IF(A455="","",MAX(VLOOKUP(A455,BOOKINGS!$A:$Q,6,FALSE)*VLOOKUP(VLOOKUP(A455,BOOKINGS!$A:$Q,7,FALSE),SETUP_RATES!$A:$H,3,FALSE),VLOOKUP(VLOOKUP(A455,BOOKINGS!$A:$Q,7,FALSE),SETUP_RATES!$A:$H,2,FALSE)))</f>
        <v/>
      </c>
      <c r="C455" s="38" t="str">
        <f>IF(A455="","",VLOOKUP(A455,BOOKINGS!$A:$Q,10,FALSE)*VLOOKUP(VLOOKUP(A455,BOOKINGS!$A:$Q,7,FALSE),SETUP_RATES!$A:$H,6,FALSE))</f>
        <v/>
      </c>
      <c r="D455" s="38" t="str">
        <f>IF(A455="","",MAX(0,VLOOKUP(A455,TRIP_ACTUALS!$A:$O,8,FALSE)-SETUP_RATES!$K$2)*SETUP_RATES!$K$3)</f>
        <v/>
      </c>
      <c r="E455" s="38" t="str">
        <f>IF(A455="","",VLOOKUP(A455,TRIP_ACTUALS!$A:$O,9,FALSE)*VLOOKUP(VLOOKUP(A455,BOOKINGS!$A:$Q,7,FALSE),SETUP_RATES!$A:$H,5,FALSE))</f>
        <v/>
      </c>
      <c r="F455" s="38" t="str">
        <f>IF(A455="","",IFERROR(VLOOKUP(A455,TRIP_ACTUALS!$A:$O,5,FALSE),0))</f>
        <v/>
      </c>
      <c r="G455" s="38" t="str">
        <f>IF(A455="","",IFERROR(VLOOKUP(A455,TRIP_ACTUALS!$A:$O,6,FALSE),0)+IFERROR(VLOOKUP(A455,TRIP_ACTUALS!$A:$O,7,FALSE),0))</f>
        <v/>
      </c>
      <c r="H455" s="38" t="str">
        <f>IF(A455="","",IFERROR(VLOOKUP(VLOOKUP(A455,BOOKINGS!$A:$Q,7,FALSE),SETUP_RATES!$A:$H,8,FALSE),0))</f>
        <v/>
      </c>
      <c r="I455" s="38" t="str">
        <f t="shared" si="1"/>
        <v/>
      </c>
      <c r="J455" s="38" t="str">
        <f>IF(A455="","",IFERROR(VLOOKUP(A455,BOOKINGS!$A:$Q,13,FALSE),0))</f>
        <v/>
      </c>
      <c r="K455" s="38" t="str">
        <f t="shared" si="2"/>
        <v/>
      </c>
      <c r="L455" s="38" t="str">
        <f t="shared" si="3"/>
        <v/>
      </c>
    </row>
    <row r="456" ht="15.75" customHeight="1">
      <c r="A456" s="33" t="str">
        <f>IF(BOOKINGS!A456="","",BOOKINGS!A456)</f>
        <v/>
      </c>
      <c r="B456" s="38" t="str">
        <f>IF(A456="","",MAX(VLOOKUP(A456,BOOKINGS!$A:$Q,6,FALSE)*VLOOKUP(VLOOKUP(A456,BOOKINGS!$A:$Q,7,FALSE),SETUP_RATES!$A:$H,3,FALSE),VLOOKUP(VLOOKUP(A456,BOOKINGS!$A:$Q,7,FALSE),SETUP_RATES!$A:$H,2,FALSE)))</f>
        <v/>
      </c>
      <c r="C456" s="38" t="str">
        <f>IF(A456="","",VLOOKUP(A456,BOOKINGS!$A:$Q,10,FALSE)*VLOOKUP(VLOOKUP(A456,BOOKINGS!$A:$Q,7,FALSE),SETUP_RATES!$A:$H,6,FALSE))</f>
        <v/>
      </c>
      <c r="D456" s="38" t="str">
        <f>IF(A456="","",MAX(0,VLOOKUP(A456,TRIP_ACTUALS!$A:$O,8,FALSE)-SETUP_RATES!$K$2)*SETUP_RATES!$K$3)</f>
        <v/>
      </c>
      <c r="E456" s="38" t="str">
        <f>IF(A456="","",VLOOKUP(A456,TRIP_ACTUALS!$A:$O,9,FALSE)*VLOOKUP(VLOOKUP(A456,BOOKINGS!$A:$Q,7,FALSE),SETUP_RATES!$A:$H,5,FALSE))</f>
        <v/>
      </c>
      <c r="F456" s="38" t="str">
        <f>IF(A456="","",IFERROR(VLOOKUP(A456,TRIP_ACTUALS!$A:$O,5,FALSE),0))</f>
        <v/>
      </c>
      <c r="G456" s="38" t="str">
        <f>IF(A456="","",IFERROR(VLOOKUP(A456,TRIP_ACTUALS!$A:$O,6,FALSE),0)+IFERROR(VLOOKUP(A456,TRIP_ACTUALS!$A:$O,7,FALSE),0))</f>
        <v/>
      </c>
      <c r="H456" s="38" t="str">
        <f>IF(A456="","",IFERROR(VLOOKUP(VLOOKUP(A456,BOOKINGS!$A:$Q,7,FALSE),SETUP_RATES!$A:$H,8,FALSE),0))</f>
        <v/>
      </c>
      <c r="I456" s="38" t="str">
        <f t="shared" si="1"/>
        <v/>
      </c>
      <c r="J456" s="38" t="str">
        <f>IF(A456="","",IFERROR(VLOOKUP(A456,BOOKINGS!$A:$Q,13,FALSE),0))</f>
        <v/>
      </c>
      <c r="K456" s="38" t="str">
        <f t="shared" si="2"/>
        <v/>
      </c>
      <c r="L456" s="38" t="str">
        <f t="shared" si="3"/>
        <v/>
      </c>
    </row>
    <row r="457" ht="15.75" customHeight="1">
      <c r="A457" s="33" t="str">
        <f>IF(BOOKINGS!A457="","",BOOKINGS!A457)</f>
        <v/>
      </c>
      <c r="B457" s="38" t="str">
        <f>IF(A457="","",MAX(VLOOKUP(A457,BOOKINGS!$A:$Q,6,FALSE)*VLOOKUP(VLOOKUP(A457,BOOKINGS!$A:$Q,7,FALSE),SETUP_RATES!$A:$H,3,FALSE),VLOOKUP(VLOOKUP(A457,BOOKINGS!$A:$Q,7,FALSE),SETUP_RATES!$A:$H,2,FALSE)))</f>
        <v/>
      </c>
      <c r="C457" s="38" t="str">
        <f>IF(A457="","",VLOOKUP(A457,BOOKINGS!$A:$Q,10,FALSE)*VLOOKUP(VLOOKUP(A457,BOOKINGS!$A:$Q,7,FALSE),SETUP_RATES!$A:$H,6,FALSE))</f>
        <v/>
      </c>
      <c r="D457" s="38" t="str">
        <f>IF(A457="","",MAX(0,VLOOKUP(A457,TRIP_ACTUALS!$A:$O,8,FALSE)-SETUP_RATES!$K$2)*SETUP_RATES!$K$3)</f>
        <v/>
      </c>
      <c r="E457" s="38" t="str">
        <f>IF(A457="","",VLOOKUP(A457,TRIP_ACTUALS!$A:$O,9,FALSE)*VLOOKUP(VLOOKUP(A457,BOOKINGS!$A:$Q,7,FALSE),SETUP_RATES!$A:$H,5,FALSE))</f>
        <v/>
      </c>
      <c r="F457" s="38" t="str">
        <f>IF(A457="","",IFERROR(VLOOKUP(A457,TRIP_ACTUALS!$A:$O,5,FALSE),0))</f>
        <v/>
      </c>
      <c r="G457" s="38" t="str">
        <f>IF(A457="","",IFERROR(VLOOKUP(A457,TRIP_ACTUALS!$A:$O,6,FALSE),0)+IFERROR(VLOOKUP(A457,TRIP_ACTUALS!$A:$O,7,FALSE),0))</f>
        <v/>
      </c>
      <c r="H457" s="38" t="str">
        <f>IF(A457="","",IFERROR(VLOOKUP(VLOOKUP(A457,BOOKINGS!$A:$Q,7,FALSE),SETUP_RATES!$A:$H,8,FALSE),0))</f>
        <v/>
      </c>
      <c r="I457" s="38" t="str">
        <f t="shared" si="1"/>
        <v/>
      </c>
      <c r="J457" s="38" t="str">
        <f>IF(A457="","",IFERROR(VLOOKUP(A457,BOOKINGS!$A:$Q,13,FALSE),0))</f>
        <v/>
      </c>
      <c r="K457" s="38" t="str">
        <f t="shared" si="2"/>
        <v/>
      </c>
      <c r="L457" s="38" t="str">
        <f t="shared" si="3"/>
        <v/>
      </c>
    </row>
    <row r="458" ht="15.75" customHeight="1">
      <c r="A458" s="33" t="str">
        <f>IF(BOOKINGS!A458="","",BOOKINGS!A458)</f>
        <v/>
      </c>
      <c r="B458" s="38" t="str">
        <f>IF(A458="","",MAX(VLOOKUP(A458,BOOKINGS!$A:$Q,6,FALSE)*VLOOKUP(VLOOKUP(A458,BOOKINGS!$A:$Q,7,FALSE),SETUP_RATES!$A:$H,3,FALSE),VLOOKUP(VLOOKUP(A458,BOOKINGS!$A:$Q,7,FALSE),SETUP_RATES!$A:$H,2,FALSE)))</f>
        <v/>
      </c>
      <c r="C458" s="38" t="str">
        <f>IF(A458="","",VLOOKUP(A458,BOOKINGS!$A:$Q,10,FALSE)*VLOOKUP(VLOOKUP(A458,BOOKINGS!$A:$Q,7,FALSE),SETUP_RATES!$A:$H,6,FALSE))</f>
        <v/>
      </c>
      <c r="D458" s="38" t="str">
        <f>IF(A458="","",MAX(0,VLOOKUP(A458,TRIP_ACTUALS!$A:$O,8,FALSE)-SETUP_RATES!$K$2)*SETUP_RATES!$K$3)</f>
        <v/>
      </c>
      <c r="E458" s="38" t="str">
        <f>IF(A458="","",VLOOKUP(A458,TRIP_ACTUALS!$A:$O,9,FALSE)*VLOOKUP(VLOOKUP(A458,BOOKINGS!$A:$Q,7,FALSE),SETUP_RATES!$A:$H,5,FALSE))</f>
        <v/>
      </c>
      <c r="F458" s="38" t="str">
        <f>IF(A458="","",IFERROR(VLOOKUP(A458,TRIP_ACTUALS!$A:$O,5,FALSE),0))</f>
        <v/>
      </c>
      <c r="G458" s="38" t="str">
        <f>IF(A458="","",IFERROR(VLOOKUP(A458,TRIP_ACTUALS!$A:$O,6,FALSE),0)+IFERROR(VLOOKUP(A458,TRIP_ACTUALS!$A:$O,7,FALSE),0))</f>
        <v/>
      </c>
      <c r="H458" s="38" t="str">
        <f>IF(A458="","",IFERROR(VLOOKUP(VLOOKUP(A458,BOOKINGS!$A:$Q,7,FALSE),SETUP_RATES!$A:$H,8,FALSE),0))</f>
        <v/>
      </c>
      <c r="I458" s="38" t="str">
        <f t="shared" si="1"/>
        <v/>
      </c>
      <c r="J458" s="38" t="str">
        <f>IF(A458="","",IFERROR(VLOOKUP(A458,BOOKINGS!$A:$Q,13,FALSE),0))</f>
        <v/>
      </c>
      <c r="K458" s="38" t="str">
        <f t="shared" si="2"/>
        <v/>
      </c>
      <c r="L458" s="38" t="str">
        <f t="shared" si="3"/>
        <v/>
      </c>
    </row>
    <row r="459" ht="15.75" customHeight="1">
      <c r="A459" s="33" t="str">
        <f>IF(BOOKINGS!A459="","",BOOKINGS!A459)</f>
        <v/>
      </c>
      <c r="B459" s="38" t="str">
        <f>IF(A459="","",MAX(VLOOKUP(A459,BOOKINGS!$A:$Q,6,FALSE)*VLOOKUP(VLOOKUP(A459,BOOKINGS!$A:$Q,7,FALSE),SETUP_RATES!$A:$H,3,FALSE),VLOOKUP(VLOOKUP(A459,BOOKINGS!$A:$Q,7,FALSE),SETUP_RATES!$A:$H,2,FALSE)))</f>
        <v/>
      </c>
      <c r="C459" s="38" t="str">
        <f>IF(A459="","",VLOOKUP(A459,BOOKINGS!$A:$Q,10,FALSE)*VLOOKUP(VLOOKUP(A459,BOOKINGS!$A:$Q,7,FALSE),SETUP_RATES!$A:$H,6,FALSE))</f>
        <v/>
      </c>
      <c r="D459" s="38" t="str">
        <f>IF(A459="","",MAX(0,VLOOKUP(A459,TRIP_ACTUALS!$A:$O,8,FALSE)-SETUP_RATES!$K$2)*SETUP_RATES!$K$3)</f>
        <v/>
      </c>
      <c r="E459" s="38" t="str">
        <f>IF(A459="","",VLOOKUP(A459,TRIP_ACTUALS!$A:$O,9,FALSE)*VLOOKUP(VLOOKUP(A459,BOOKINGS!$A:$Q,7,FALSE),SETUP_RATES!$A:$H,5,FALSE))</f>
        <v/>
      </c>
      <c r="F459" s="38" t="str">
        <f>IF(A459="","",IFERROR(VLOOKUP(A459,TRIP_ACTUALS!$A:$O,5,FALSE),0))</f>
        <v/>
      </c>
      <c r="G459" s="38" t="str">
        <f>IF(A459="","",IFERROR(VLOOKUP(A459,TRIP_ACTUALS!$A:$O,6,FALSE),0)+IFERROR(VLOOKUP(A459,TRIP_ACTUALS!$A:$O,7,FALSE),0))</f>
        <v/>
      </c>
      <c r="H459" s="38" t="str">
        <f>IF(A459="","",IFERROR(VLOOKUP(VLOOKUP(A459,BOOKINGS!$A:$Q,7,FALSE),SETUP_RATES!$A:$H,8,FALSE),0))</f>
        <v/>
      </c>
      <c r="I459" s="38" t="str">
        <f t="shared" si="1"/>
        <v/>
      </c>
      <c r="J459" s="38" t="str">
        <f>IF(A459="","",IFERROR(VLOOKUP(A459,BOOKINGS!$A:$Q,13,FALSE),0))</f>
        <v/>
      </c>
      <c r="K459" s="38" t="str">
        <f t="shared" si="2"/>
        <v/>
      </c>
      <c r="L459" s="38" t="str">
        <f t="shared" si="3"/>
        <v/>
      </c>
    </row>
    <row r="460" ht="15.75" customHeight="1">
      <c r="A460" s="33" t="str">
        <f>IF(BOOKINGS!A460="","",BOOKINGS!A460)</f>
        <v/>
      </c>
      <c r="B460" s="38" t="str">
        <f>IF(A460="","",MAX(VLOOKUP(A460,BOOKINGS!$A:$Q,6,FALSE)*VLOOKUP(VLOOKUP(A460,BOOKINGS!$A:$Q,7,FALSE),SETUP_RATES!$A:$H,3,FALSE),VLOOKUP(VLOOKUP(A460,BOOKINGS!$A:$Q,7,FALSE),SETUP_RATES!$A:$H,2,FALSE)))</f>
        <v/>
      </c>
      <c r="C460" s="38" t="str">
        <f>IF(A460="","",VLOOKUP(A460,BOOKINGS!$A:$Q,10,FALSE)*VLOOKUP(VLOOKUP(A460,BOOKINGS!$A:$Q,7,FALSE),SETUP_RATES!$A:$H,6,FALSE))</f>
        <v/>
      </c>
      <c r="D460" s="38" t="str">
        <f>IF(A460="","",MAX(0,VLOOKUP(A460,TRIP_ACTUALS!$A:$O,8,FALSE)-SETUP_RATES!$K$2)*SETUP_RATES!$K$3)</f>
        <v/>
      </c>
      <c r="E460" s="38" t="str">
        <f>IF(A460="","",VLOOKUP(A460,TRIP_ACTUALS!$A:$O,9,FALSE)*VLOOKUP(VLOOKUP(A460,BOOKINGS!$A:$Q,7,FALSE),SETUP_RATES!$A:$H,5,FALSE))</f>
        <v/>
      </c>
      <c r="F460" s="38" t="str">
        <f>IF(A460="","",IFERROR(VLOOKUP(A460,TRIP_ACTUALS!$A:$O,5,FALSE),0))</f>
        <v/>
      </c>
      <c r="G460" s="38" t="str">
        <f>IF(A460="","",IFERROR(VLOOKUP(A460,TRIP_ACTUALS!$A:$O,6,FALSE),0)+IFERROR(VLOOKUP(A460,TRIP_ACTUALS!$A:$O,7,FALSE),0))</f>
        <v/>
      </c>
      <c r="H460" s="38" t="str">
        <f>IF(A460="","",IFERROR(VLOOKUP(VLOOKUP(A460,BOOKINGS!$A:$Q,7,FALSE),SETUP_RATES!$A:$H,8,FALSE),0))</f>
        <v/>
      </c>
      <c r="I460" s="38" t="str">
        <f t="shared" si="1"/>
        <v/>
      </c>
      <c r="J460" s="38" t="str">
        <f>IF(A460="","",IFERROR(VLOOKUP(A460,BOOKINGS!$A:$Q,13,FALSE),0))</f>
        <v/>
      </c>
      <c r="K460" s="38" t="str">
        <f t="shared" si="2"/>
        <v/>
      </c>
      <c r="L460" s="38" t="str">
        <f t="shared" si="3"/>
        <v/>
      </c>
    </row>
    <row r="461" ht="15.75" customHeight="1">
      <c r="A461" s="33" t="str">
        <f>IF(BOOKINGS!A461="","",BOOKINGS!A461)</f>
        <v/>
      </c>
      <c r="B461" s="38" t="str">
        <f>IF(A461="","",MAX(VLOOKUP(A461,BOOKINGS!$A:$Q,6,FALSE)*VLOOKUP(VLOOKUP(A461,BOOKINGS!$A:$Q,7,FALSE),SETUP_RATES!$A:$H,3,FALSE),VLOOKUP(VLOOKUP(A461,BOOKINGS!$A:$Q,7,FALSE),SETUP_RATES!$A:$H,2,FALSE)))</f>
        <v/>
      </c>
      <c r="C461" s="38" t="str">
        <f>IF(A461="","",VLOOKUP(A461,BOOKINGS!$A:$Q,10,FALSE)*VLOOKUP(VLOOKUP(A461,BOOKINGS!$A:$Q,7,FALSE),SETUP_RATES!$A:$H,6,FALSE))</f>
        <v/>
      </c>
      <c r="D461" s="38" t="str">
        <f>IF(A461="","",MAX(0,VLOOKUP(A461,TRIP_ACTUALS!$A:$O,8,FALSE)-SETUP_RATES!$K$2)*SETUP_RATES!$K$3)</f>
        <v/>
      </c>
      <c r="E461" s="38" t="str">
        <f>IF(A461="","",VLOOKUP(A461,TRIP_ACTUALS!$A:$O,9,FALSE)*VLOOKUP(VLOOKUP(A461,BOOKINGS!$A:$Q,7,FALSE),SETUP_RATES!$A:$H,5,FALSE))</f>
        <v/>
      </c>
      <c r="F461" s="38" t="str">
        <f>IF(A461="","",IFERROR(VLOOKUP(A461,TRIP_ACTUALS!$A:$O,5,FALSE),0))</f>
        <v/>
      </c>
      <c r="G461" s="38" t="str">
        <f>IF(A461="","",IFERROR(VLOOKUP(A461,TRIP_ACTUALS!$A:$O,6,FALSE),0)+IFERROR(VLOOKUP(A461,TRIP_ACTUALS!$A:$O,7,FALSE),0))</f>
        <v/>
      </c>
      <c r="H461" s="38" t="str">
        <f>IF(A461="","",IFERROR(VLOOKUP(VLOOKUP(A461,BOOKINGS!$A:$Q,7,FALSE),SETUP_RATES!$A:$H,8,FALSE),0))</f>
        <v/>
      </c>
      <c r="I461" s="38" t="str">
        <f t="shared" si="1"/>
        <v/>
      </c>
      <c r="J461" s="38" t="str">
        <f>IF(A461="","",IFERROR(VLOOKUP(A461,BOOKINGS!$A:$Q,13,FALSE),0))</f>
        <v/>
      </c>
      <c r="K461" s="38" t="str">
        <f t="shared" si="2"/>
        <v/>
      </c>
      <c r="L461" s="38" t="str">
        <f t="shared" si="3"/>
        <v/>
      </c>
    </row>
    <row r="462" ht="15.75" customHeight="1">
      <c r="A462" s="33" t="str">
        <f>IF(BOOKINGS!A462="","",BOOKINGS!A462)</f>
        <v/>
      </c>
      <c r="B462" s="38" t="str">
        <f>IF(A462="","",MAX(VLOOKUP(A462,BOOKINGS!$A:$Q,6,FALSE)*VLOOKUP(VLOOKUP(A462,BOOKINGS!$A:$Q,7,FALSE),SETUP_RATES!$A:$H,3,FALSE),VLOOKUP(VLOOKUP(A462,BOOKINGS!$A:$Q,7,FALSE),SETUP_RATES!$A:$H,2,FALSE)))</f>
        <v/>
      </c>
      <c r="C462" s="38" t="str">
        <f>IF(A462="","",VLOOKUP(A462,BOOKINGS!$A:$Q,10,FALSE)*VLOOKUP(VLOOKUP(A462,BOOKINGS!$A:$Q,7,FALSE),SETUP_RATES!$A:$H,6,FALSE))</f>
        <v/>
      </c>
      <c r="D462" s="38" t="str">
        <f>IF(A462="","",MAX(0,VLOOKUP(A462,TRIP_ACTUALS!$A:$O,8,FALSE)-SETUP_RATES!$K$2)*SETUP_RATES!$K$3)</f>
        <v/>
      </c>
      <c r="E462" s="38" t="str">
        <f>IF(A462="","",VLOOKUP(A462,TRIP_ACTUALS!$A:$O,9,FALSE)*VLOOKUP(VLOOKUP(A462,BOOKINGS!$A:$Q,7,FALSE),SETUP_RATES!$A:$H,5,FALSE))</f>
        <v/>
      </c>
      <c r="F462" s="38" t="str">
        <f>IF(A462="","",IFERROR(VLOOKUP(A462,TRIP_ACTUALS!$A:$O,5,FALSE),0))</f>
        <v/>
      </c>
      <c r="G462" s="38" t="str">
        <f>IF(A462="","",IFERROR(VLOOKUP(A462,TRIP_ACTUALS!$A:$O,6,FALSE),0)+IFERROR(VLOOKUP(A462,TRIP_ACTUALS!$A:$O,7,FALSE),0))</f>
        <v/>
      </c>
      <c r="H462" s="38" t="str">
        <f>IF(A462="","",IFERROR(VLOOKUP(VLOOKUP(A462,BOOKINGS!$A:$Q,7,FALSE),SETUP_RATES!$A:$H,8,FALSE),0))</f>
        <v/>
      </c>
      <c r="I462" s="38" t="str">
        <f t="shared" si="1"/>
        <v/>
      </c>
      <c r="J462" s="38" t="str">
        <f>IF(A462="","",IFERROR(VLOOKUP(A462,BOOKINGS!$A:$Q,13,FALSE),0))</f>
        <v/>
      </c>
      <c r="K462" s="38" t="str">
        <f t="shared" si="2"/>
        <v/>
      </c>
      <c r="L462" s="38" t="str">
        <f t="shared" si="3"/>
        <v/>
      </c>
    </row>
    <row r="463" ht="15.75" customHeight="1">
      <c r="A463" s="33" t="str">
        <f>IF(BOOKINGS!A463="","",BOOKINGS!A463)</f>
        <v/>
      </c>
      <c r="B463" s="38" t="str">
        <f>IF(A463="","",MAX(VLOOKUP(A463,BOOKINGS!$A:$Q,6,FALSE)*VLOOKUP(VLOOKUP(A463,BOOKINGS!$A:$Q,7,FALSE),SETUP_RATES!$A:$H,3,FALSE),VLOOKUP(VLOOKUP(A463,BOOKINGS!$A:$Q,7,FALSE),SETUP_RATES!$A:$H,2,FALSE)))</f>
        <v/>
      </c>
      <c r="C463" s="38" t="str">
        <f>IF(A463="","",VLOOKUP(A463,BOOKINGS!$A:$Q,10,FALSE)*VLOOKUP(VLOOKUP(A463,BOOKINGS!$A:$Q,7,FALSE),SETUP_RATES!$A:$H,6,FALSE))</f>
        <v/>
      </c>
      <c r="D463" s="38" t="str">
        <f>IF(A463="","",MAX(0,VLOOKUP(A463,TRIP_ACTUALS!$A:$O,8,FALSE)-SETUP_RATES!$K$2)*SETUP_RATES!$K$3)</f>
        <v/>
      </c>
      <c r="E463" s="38" t="str">
        <f>IF(A463="","",VLOOKUP(A463,TRIP_ACTUALS!$A:$O,9,FALSE)*VLOOKUP(VLOOKUP(A463,BOOKINGS!$A:$Q,7,FALSE),SETUP_RATES!$A:$H,5,FALSE))</f>
        <v/>
      </c>
      <c r="F463" s="38" t="str">
        <f>IF(A463="","",IFERROR(VLOOKUP(A463,TRIP_ACTUALS!$A:$O,5,FALSE),0))</f>
        <v/>
      </c>
      <c r="G463" s="38" t="str">
        <f>IF(A463="","",IFERROR(VLOOKUP(A463,TRIP_ACTUALS!$A:$O,6,FALSE),0)+IFERROR(VLOOKUP(A463,TRIP_ACTUALS!$A:$O,7,FALSE),0))</f>
        <v/>
      </c>
      <c r="H463" s="38" t="str">
        <f>IF(A463="","",IFERROR(VLOOKUP(VLOOKUP(A463,BOOKINGS!$A:$Q,7,FALSE),SETUP_RATES!$A:$H,8,FALSE),0))</f>
        <v/>
      </c>
      <c r="I463" s="38" t="str">
        <f t="shared" si="1"/>
        <v/>
      </c>
      <c r="J463" s="38" t="str">
        <f>IF(A463="","",IFERROR(VLOOKUP(A463,BOOKINGS!$A:$Q,13,FALSE),0))</f>
        <v/>
      </c>
      <c r="K463" s="38" t="str">
        <f t="shared" si="2"/>
        <v/>
      </c>
      <c r="L463" s="38" t="str">
        <f t="shared" si="3"/>
        <v/>
      </c>
    </row>
    <row r="464" ht="15.75" customHeight="1">
      <c r="A464" s="33" t="str">
        <f>IF(BOOKINGS!A464="","",BOOKINGS!A464)</f>
        <v/>
      </c>
      <c r="B464" s="38" t="str">
        <f>IF(A464="","",MAX(VLOOKUP(A464,BOOKINGS!$A:$Q,6,FALSE)*VLOOKUP(VLOOKUP(A464,BOOKINGS!$A:$Q,7,FALSE),SETUP_RATES!$A:$H,3,FALSE),VLOOKUP(VLOOKUP(A464,BOOKINGS!$A:$Q,7,FALSE),SETUP_RATES!$A:$H,2,FALSE)))</f>
        <v/>
      </c>
      <c r="C464" s="38" t="str">
        <f>IF(A464="","",VLOOKUP(A464,BOOKINGS!$A:$Q,10,FALSE)*VLOOKUP(VLOOKUP(A464,BOOKINGS!$A:$Q,7,FALSE),SETUP_RATES!$A:$H,6,FALSE))</f>
        <v/>
      </c>
      <c r="D464" s="38" t="str">
        <f>IF(A464="","",MAX(0,VLOOKUP(A464,TRIP_ACTUALS!$A:$O,8,FALSE)-SETUP_RATES!$K$2)*SETUP_RATES!$K$3)</f>
        <v/>
      </c>
      <c r="E464" s="38" t="str">
        <f>IF(A464="","",VLOOKUP(A464,TRIP_ACTUALS!$A:$O,9,FALSE)*VLOOKUP(VLOOKUP(A464,BOOKINGS!$A:$Q,7,FALSE),SETUP_RATES!$A:$H,5,FALSE))</f>
        <v/>
      </c>
      <c r="F464" s="38" t="str">
        <f>IF(A464="","",IFERROR(VLOOKUP(A464,TRIP_ACTUALS!$A:$O,5,FALSE),0))</f>
        <v/>
      </c>
      <c r="G464" s="38" t="str">
        <f>IF(A464="","",IFERROR(VLOOKUP(A464,TRIP_ACTUALS!$A:$O,6,FALSE),0)+IFERROR(VLOOKUP(A464,TRIP_ACTUALS!$A:$O,7,FALSE),0))</f>
        <v/>
      </c>
      <c r="H464" s="38" t="str">
        <f>IF(A464="","",IFERROR(VLOOKUP(VLOOKUP(A464,BOOKINGS!$A:$Q,7,FALSE),SETUP_RATES!$A:$H,8,FALSE),0))</f>
        <v/>
      </c>
      <c r="I464" s="38" t="str">
        <f t="shared" si="1"/>
        <v/>
      </c>
      <c r="J464" s="38" t="str">
        <f>IF(A464="","",IFERROR(VLOOKUP(A464,BOOKINGS!$A:$Q,13,FALSE),0))</f>
        <v/>
      </c>
      <c r="K464" s="38" t="str">
        <f t="shared" si="2"/>
        <v/>
      </c>
      <c r="L464" s="38" t="str">
        <f t="shared" si="3"/>
        <v/>
      </c>
    </row>
    <row r="465" ht="15.75" customHeight="1">
      <c r="A465" s="33" t="str">
        <f>IF(BOOKINGS!A465="","",BOOKINGS!A465)</f>
        <v/>
      </c>
      <c r="B465" s="38" t="str">
        <f>IF(A465="","",MAX(VLOOKUP(A465,BOOKINGS!$A:$Q,6,FALSE)*VLOOKUP(VLOOKUP(A465,BOOKINGS!$A:$Q,7,FALSE),SETUP_RATES!$A:$H,3,FALSE),VLOOKUP(VLOOKUP(A465,BOOKINGS!$A:$Q,7,FALSE),SETUP_RATES!$A:$H,2,FALSE)))</f>
        <v/>
      </c>
      <c r="C465" s="38" t="str">
        <f>IF(A465="","",VLOOKUP(A465,BOOKINGS!$A:$Q,10,FALSE)*VLOOKUP(VLOOKUP(A465,BOOKINGS!$A:$Q,7,FALSE),SETUP_RATES!$A:$H,6,FALSE))</f>
        <v/>
      </c>
      <c r="D465" s="38" t="str">
        <f>IF(A465="","",MAX(0,VLOOKUP(A465,TRIP_ACTUALS!$A:$O,8,FALSE)-SETUP_RATES!$K$2)*SETUP_RATES!$K$3)</f>
        <v/>
      </c>
      <c r="E465" s="38" t="str">
        <f>IF(A465="","",VLOOKUP(A465,TRIP_ACTUALS!$A:$O,9,FALSE)*VLOOKUP(VLOOKUP(A465,BOOKINGS!$A:$Q,7,FALSE),SETUP_RATES!$A:$H,5,FALSE))</f>
        <v/>
      </c>
      <c r="F465" s="38" t="str">
        <f>IF(A465="","",IFERROR(VLOOKUP(A465,TRIP_ACTUALS!$A:$O,5,FALSE),0))</f>
        <v/>
      </c>
      <c r="G465" s="38" t="str">
        <f>IF(A465="","",IFERROR(VLOOKUP(A465,TRIP_ACTUALS!$A:$O,6,FALSE),0)+IFERROR(VLOOKUP(A465,TRIP_ACTUALS!$A:$O,7,FALSE),0))</f>
        <v/>
      </c>
      <c r="H465" s="38" t="str">
        <f>IF(A465="","",IFERROR(VLOOKUP(VLOOKUP(A465,BOOKINGS!$A:$Q,7,FALSE),SETUP_RATES!$A:$H,8,FALSE),0))</f>
        <v/>
      </c>
      <c r="I465" s="38" t="str">
        <f t="shared" si="1"/>
        <v/>
      </c>
      <c r="J465" s="38" t="str">
        <f>IF(A465="","",IFERROR(VLOOKUP(A465,BOOKINGS!$A:$Q,13,FALSE),0))</f>
        <v/>
      </c>
      <c r="K465" s="38" t="str">
        <f t="shared" si="2"/>
        <v/>
      </c>
      <c r="L465" s="38" t="str">
        <f t="shared" si="3"/>
        <v/>
      </c>
    </row>
    <row r="466" ht="15.75" customHeight="1">
      <c r="A466" s="33" t="str">
        <f>IF(BOOKINGS!A466="","",BOOKINGS!A466)</f>
        <v/>
      </c>
      <c r="B466" s="38" t="str">
        <f>IF(A466="","",MAX(VLOOKUP(A466,BOOKINGS!$A:$Q,6,FALSE)*VLOOKUP(VLOOKUP(A466,BOOKINGS!$A:$Q,7,FALSE),SETUP_RATES!$A:$H,3,FALSE),VLOOKUP(VLOOKUP(A466,BOOKINGS!$A:$Q,7,FALSE),SETUP_RATES!$A:$H,2,FALSE)))</f>
        <v/>
      </c>
      <c r="C466" s="38" t="str">
        <f>IF(A466="","",VLOOKUP(A466,BOOKINGS!$A:$Q,10,FALSE)*VLOOKUP(VLOOKUP(A466,BOOKINGS!$A:$Q,7,FALSE),SETUP_RATES!$A:$H,6,FALSE))</f>
        <v/>
      </c>
      <c r="D466" s="38" t="str">
        <f>IF(A466="","",MAX(0,VLOOKUP(A466,TRIP_ACTUALS!$A:$O,8,FALSE)-SETUP_RATES!$K$2)*SETUP_RATES!$K$3)</f>
        <v/>
      </c>
      <c r="E466" s="38" t="str">
        <f>IF(A466="","",VLOOKUP(A466,TRIP_ACTUALS!$A:$O,9,FALSE)*VLOOKUP(VLOOKUP(A466,BOOKINGS!$A:$Q,7,FALSE),SETUP_RATES!$A:$H,5,FALSE))</f>
        <v/>
      </c>
      <c r="F466" s="38" t="str">
        <f>IF(A466="","",IFERROR(VLOOKUP(A466,TRIP_ACTUALS!$A:$O,5,FALSE),0))</f>
        <v/>
      </c>
      <c r="G466" s="38" t="str">
        <f>IF(A466="","",IFERROR(VLOOKUP(A466,TRIP_ACTUALS!$A:$O,6,FALSE),0)+IFERROR(VLOOKUP(A466,TRIP_ACTUALS!$A:$O,7,FALSE),0))</f>
        <v/>
      </c>
      <c r="H466" s="38" t="str">
        <f>IF(A466="","",IFERROR(VLOOKUP(VLOOKUP(A466,BOOKINGS!$A:$Q,7,FALSE),SETUP_RATES!$A:$H,8,FALSE),0))</f>
        <v/>
      </c>
      <c r="I466" s="38" t="str">
        <f t="shared" si="1"/>
        <v/>
      </c>
      <c r="J466" s="38" t="str">
        <f>IF(A466="","",IFERROR(VLOOKUP(A466,BOOKINGS!$A:$Q,13,FALSE),0))</f>
        <v/>
      </c>
      <c r="K466" s="38" t="str">
        <f t="shared" si="2"/>
        <v/>
      </c>
      <c r="L466" s="38" t="str">
        <f t="shared" si="3"/>
        <v/>
      </c>
    </row>
    <row r="467" ht="15.75" customHeight="1">
      <c r="A467" s="33" t="str">
        <f>IF(BOOKINGS!A467="","",BOOKINGS!A467)</f>
        <v/>
      </c>
      <c r="B467" s="38" t="str">
        <f>IF(A467="","",MAX(VLOOKUP(A467,BOOKINGS!$A:$Q,6,FALSE)*VLOOKUP(VLOOKUP(A467,BOOKINGS!$A:$Q,7,FALSE),SETUP_RATES!$A:$H,3,FALSE),VLOOKUP(VLOOKUP(A467,BOOKINGS!$A:$Q,7,FALSE),SETUP_RATES!$A:$H,2,FALSE)))</f>
        <v/>
      </c>
      <c r="C467" s="38" t="str">
        <f>IF(A467="","",VLOOKUP(A467,BOOKINGS!$A:$Q,10,FALSE)*VLOOKUP(VLOOKUP(A467,BOOKINGS!$A:$Q,7,FALSE),SETUP_RATES!$A:$H,6,FALSE))</f>
        <v/>
      </c>
      <c r="D467" s="38" t="str">
        <f>IF(A467="","",MAX(0,VLOOKUP(A467,TRIP_ACTUALS!$A:$O,8,FALSE)-SETUP_RATES!$K$2)*SETUP_RATES!$K$3)</f>
        <v/>
      </c>
      <c r="E467" s="38" t="str">
        <f>IF(A467="","",VLOOKUP(A467,TRIP_ACTUALS!$A:$O,9,FALSE)*VLOOKUP(VLOOKUP(A467,BOOKINGS!$A:$Q,7,FALSE),SETUP_RATES!$A:$H,5,FALSE))</f>
        <v/>
      </c>
      <c r="F467" s="38" t="str">
        <f>IF(A467="","",IFERROR(VLOOKUP(A467,TRIP_ACTUALS!$A:$O,5,FALSE),0))</f>
        <v/>
      </c>
      <c r="G467" s="38" t="str">
        <f>IF(A467="","",IFERROR(VLOOKUP(A467,TRIP_ACTUALS!$A:$O,6,FALSE),0)+IFERROR(VLOOKUP(A467,TRIP_ACTUALS!$A:$O,7,FALSE),0))</f>
        <v/>
      </c>
      <c r="H467" s="38" t="str">
        <f>IF(A467="","",IFERROR(VLOOKUP(VLOOKUP(A467,BOOKINGS!$A:$Q,7,FALSE),SETUP_RATES!$A:$H,8,FALSE),0))</f>
        <v/>
      </c>
      <c r="I467" s="38" t="str">
        <f t="shared" si="1"/>
        <v/>
      </c>
      <c r="J467" s="38" t="str">
        <f>IF(A467="","",IFERROR(VLOOKUP(A467,BOOKINGS!$A:$Q,13,FALSE),0))</f>
        <v/>
      </c>
      <c r="K467" s="38" t="str">
        <f t="shared" si="2"/>
        <v/>
      </c>
      <c r="L467" s="38" t="str">
        <f t="shared" si="3"/>
        <v/>
      </c>
    </row>
    <row r="468" ht="15.75" customHeight="1">
      <c r="A468" s="33" t="str">
        <f>IF(BOOKINGS!A468="","",BOOKINGS!A468)</f>
        <v/>
      </c>
      <c r="B468" s="38" t="str">
        <f>IF(A468="","",MAX(VLOOKUP(A468,BOOKINGS!$A:$Q,6,FALSE)*VLOOKUP(VLOOKUP(A468,BOOKINGS!$A:$Q,7,FALSE),SETUP_RATES!$A:$H,3,FALSE),VLOOKUP(VLOOKUP(A468,BOOKINGS!$A:$Q,7,FALSE),SETUP_RATES!$A:$H,2,FALSE)))</f>
        <v/>
      </c>
      <c r="C468" s="38" t="str">
        <f>IF(A468="","",VLOOKUP(A468,BOOKINGS!$A:$Q,10,FALSE)*VLOOKUP(VLOOKUP(A468,BOOKINGS!$A:$Q,7,FALSE),SETUP_RATES!$A:$H,6,FALSE))</f>
        <v/>
      </c>
      <c r="D468" s="38" t="str">
        <f>IF(A468="","",MAX(0,VLOOKUP(A468,TRIP_ACTUALS!$A:$O,8,FALSE)-SETUP_RATES!$K$2)*SETUP_RATES!$K$3)</f>
        <v/>
      </c>
      <c r="E468" s="38" t="str">
        <f>IF(A468="","",VLOOKUP(A468,TRIP_ACTUALS!$A:$O,9,FALSE)*VLOOKUP(VLOOKUP(A468,BOOKINGS!$A:$Q,7,FALSE),SETUP_RATES!$A:$H,5,FALSE))</f>
        <v/>
      </c>
      <c r="F468" s="38" t="str">
        <f>IF(A468="","",IFERROR(VLOOKUP(A468,TRIP_ACTUALS!$A:$O,5,FALSE),0))</f>
        <v/>
      </c>
      <c r="G468" s="38" t="str">
        <f>IF(A468="","",IFERROR(VLOOKUP(A468,TRIP_ACTUALS!$A:$O,6,FALSE),0)+IFERROR(VLOOKUP(A468,TRIP_ACTUALS!$A:$O,7,FALSE),0))</f>
        <v/>
      </c>
      <c r="H468" s="38" t="str">
        <f>IF(A468="","",IFERROR(VLOOKUP(VLOOKUP(A468,BOOKINGS!$A:$Q,7,FALSE),SETUP_RATES!$A:$H,8,FALSE),0))</f>
        <v/>
      </c>
      <c r="I468" s="38" t="str">
        <f t="shared" si="1"/>
        <v/>
      </c>
      <c r="J468" s="38" t="str">
        <f>IF(A468="","",IFERROR(VLOOKUP(A468,BOOKINGS!$A:$Q,13,FALSE),0))</f>
        <v/>
      </c>
      <c r="K468" s="38" t="str">
        <f t="shared" si="2"/>
        <v/>
      </c>
      <c r="L468" s="38" t="str">
        <f t="shared" si="3"/>
        <v/>
      </c>
    </row>
    <row r="469" ht="15.75" customHeight="1">
      <c r="A469" s="33" t="str">
        <f>IF(BOOKINGS!A469="","",BOOKINGS!A469)</f>
        <v/>
      </c>
      <c r="B469" s="38" t="str">
        <f>IF(A469="","",MAX(VLOOKUP(A469,BOOKINGS!$A:$Q,6,FALSE)*VLOOKUP(VLOOKUP(A469,BOOKINGS!$A:$Q,7,FALSE),SETUP_RATES!$A:$H,3,FALSE),VLOOKUP(VLOOKUP(A469,BOOKINGS!$A:$Q,7,FALSE),SETUP_RATES!$A:$H,2,FALSE)))</f>
        <v/>
      </c>
      <c r="C469" s="38" t="str">
        <f>IF(A469="","",VLOOKUP(A469,BOOKINGS!$A:$Q,10,FALSE)*VLOOKUP(VLOOKUP(A469,BOOKINGS!$A:$Q,7,FALSE),SETUP_RATES!$A:$H,6,FALSE))</f>
        <v/>
      </c>
      <c r="D469" s="38" t="str">
        <f>IF(A469="","",MAX(0,VLOOKUP(A469,TRIP_ACTUALS!$A:$O,8,FALSE)-SETUP_RATES!$K$2)*SETUP_RATES!$K$3)</f>
        <v/>
      </c>
      <c r="E469" s="38" t="str">
        <f>IF(A469="","",VLOOKUP(A469,TRIP_ACTUALS!$A:$O,9,FALSE)*VLOOKUP(VLOOKUP(A469,BOOKINGS!$A:$Q,7,FALSE),SETUP_RATES!$A:$H,5,FALSE))</f>
        <v/>
      </c>
      <c r="F469" s="38" t="str">
        <f>IF(A469="","",IFERROR(VLOOKUP(A469,TRIP_ACTUALS!$A:$O,5,FALSE),0))</f>
        <v/>
      </c>
      <c r="G469" s="38" t="str">
        <f>IF(A469="","",IFERROR(VLOOKUP(A469,TRIP_ACTUALS!$A:$O,6,FALSE),0)+IFERROR(VLOOKUP(A469,TRIP_ACTUALS!$A:$O,7,FALSE),0))</f>
        <v/>
      </c>
      <c r="H469" s="38" t="str">
        <f>IF(A469="","",IFERROR(VLOOKUP(VLOOKUP(A469,BOOKINGS!$A:$Q,7,FALSE),SETUP_RATES!$A:$H,8,FALSE),0))</f>
        <v/>
      </c>
      <c r="I469" s="38" t="str">
        <f t="shared" si="1"/>
        <v/>
      </c>
      <c r="J469" s="38" t="str">
        <f>IF(A469="","",IFERROR(VLOOKUP(A469,BOOKINGS!$A:$Q,13,FALSE),0))</f>
        <v/>
      </c>
      <c r="K469" s="38" t="str">
        <f t="shared" si="2"/>
        <v/>
      </c>
      <c r="L469" s="38" t="str">
        <f t="shared" si="3"/>
        <v/>
      </c>
    </row>
    <row r="470" ht="15.75" customHeight="1">
      <c r="A470" s="33" t="str">
        <f>IF(BOOKINGS!A470="","",BOOKINGS!A470)</f>
        <v/>
      </c>
      <c r="B470" s="38" t="str">
        <f>IF(A470="","",MAX(VLOOKUP(A470,BOOKINGS!$A:$Q,6,FALSE)*VLOOKUP(VLOOKUP(A470,BOOKINGS!$A:$Q,7,FALSE),SETUP_RATES!$A:$H,3,FALSE),VLOOKUP(VLOOKUP(A470,BOOKINGS!$A:$Q,7,FALSE),SETUP_RATES!$A:$H,2,FALSE)))</f>
        <v/>
      </c>
      <c r="C470" s="38" t="str">
        <f>IF(A470="","",VLOOKUP(A470,BOOKINGS!$A:$Q,10,FALSE)*VLOOKUP(VLOOKUP(A470,BOOKINGS!$A:$Q,7,FALSE),SETUP_RATES!$A:$H,6,FALSE))</f>
        <v/>
      </c>
      <c r="D470" s="38" t="str">
        <f>IF(A470="","",MAX(0,VLOOKUP(A470,TRIP_ACTUALS!$A:$O,8,FALSE)-SETUP_RATES!$K$2)*SETUP_RATES!$K$3)</f>
        <v/>
      </c>
      <c r="E470" s="38" t="str">
        <f>IF(A470="","",VLOOKUP(A470,TRIP_ACTUALS!$A:$O,9,FALSE)*VLOOKUP(VLOOKUP(A470,BOOKINGS!$A:$Q,7,FALSE),SETUP_RATES!$A:$H,5,FALSE))</f>
        <v/>
      </c>
      <c r="F470" s="38" t="str">
        <f>IF(A470="","",IFERROR(VLOOKUP(A470,TRIP_ACTUALS!$A:$O,5,FALSE),0))</f>
        <v/>
      </c>
      <c r="G470" s="38" t="str">
        <f>IF(A470="","",IFERROR(VLOOKUP(A470,TRIP_ACTUALS!$A:$O,6,FALSE),0)+IFERROR(VLOOKUP(A470,TRIP_ACTUALS!$A:$O,7,FALSE),0))</f>
        <v/>
      </c>
      <c r="H470" s="38" t="str">
        <f>IF(A470="","",IFERROR(VLOOKUP(VLOOKUP(A470,BOOKINGS!$A:$Q,7,FALSE),SETUP_RATES!$A:$H,8,FALSE),0))</f>
        <v/>
      </c>
      <c r="I470" s="38" t="str">
        <f t="shared" si="1"/>
        <v/>
      </c>
      <c r="J470" s="38" t="str">
        <f>IF(A470="","",IFERROR(VLOOKUP(A470,BOOKINGS!$A:$Q,13,FALSE),0))</f>
        <v/>
      </c>
      <c r="K470" s="38" t="str">
        <f t="shared" si="2"/>
        <v/>
      </c>
      <c r="L470" s="38" t="str">
        <f t="shared" si="3"/>
        <v/>
      </c>
    </row>
    <row r="471" ht="15.75" customHeight="1">
      <c r="A471" s="33" t="str">
        <f>IF(BOOKINGS!A471="","",BOOKINGS!A471)</f>
        <v/>
      </c>
      <c r="B471" s="38" t="str">
        <f>IF(A471="","",MAX(VLOOKUP(A471,BOOKINGS!$A:$Q,6,FALSE)*VLOOKUP(VLOOKUP(A471,BOOKINGS!$A:$Q,7,FALSE),SETUP_RATES!$A:$H,3,FALSE),VLOOKUP(VLOOKUP(A471,BOOKINGS!$A:$Q,7,FALSE),SETUP_RATES!$A:$H,2,FALSE)))</f>
        <v/>
      </c>
      <c r="C471" s="38" t="str">
        <f>IF(A471="","",VLOOKUP(A471,BOOKINGS!$A:$Q,10,FALSE)*VLOOKUP(VLOOKUP(A471,BOOKINGS!$A:$Q,7,FALSE),SETUP_RATES!$A:$H,6,FALSE))</f>
        <v/>
      </c>
      <c r="D471" s="38" t="str">
        <f>IF(A471="","",MAX(0,VLOOKUP(A471,TRIP_ACTUALS!$A:$O,8,FALSE)-SETUP_RATES!$K$2)*SETUP_RATES!$K$3)</f>
        <v/>
      </c>
      <c r="E471" s="38" t="str">
        <f>IF(A471="","",VLOOKUP(A471,TRIP_ACTUALS!$A:$O,9,FALSE)*VLOOKUP(VLOOKUP(A471,BOOKINGS!$A:$Q,7,FALSE),SETUP_RATES!$A:$H,5,FALSE))</f>
        <v/>
      </c>
      <c r="F471" s="38" t="str">
        <f>IF(A471="","",IFERROR(VLOOKUP(A471,TRIP_ACTUALS!$A:$O,5,FALSE),0))</f>
        <v/>
      </c>
      <c r="G471" s="38" t="str">
        <f>IF(A471="","",IFERROR(VLOOKUP(A471,TRIP_ACTUALS!$A:$O,6,FALSE),0)+IFERROR(VLOOKUP(A471,TRIP_ACTUALS!$A:$O,7,FALSE),0))</f>
        <v/>
      </c>
      <c r="H471" s="38" t="str">
        <f>IF(A471="","",IFERROR(VLOOKUP(VLOOKUP(A471,BOOKINGS!$A:$Q,7,FALSE),SETUP_RATES!$A:$H,8,FALSE),0))</f>
        <v/>
      </c>
      <c r="I471" s="38" t="str">
        <f t="shared" si="1"/>
        <v/>
      </c>
      <c r="J471" s="38" t="str">
        <f>IF(A471="","",IFERROR(VLOOKUP(A471,BOOKINGS!$A:$Q,13,FALSE),0))</f>
        <v/>
      </c>
      <c r="K471" s="38" t="str">
        <f t="shared" si="2"/>
        <v/>
      </c>
      <c r="L471" s="38" t="str">
        <f t="shared" si="3"/>
        <v/>
      </c>
    </row>
    <row r="472" ht="15.75" customHeight="1">
      <c r="A472" s="33" t="str">
        <f>IF(BOOKINGS!A472="","",BOOKINGS!A472)</f>
        <v/>
      </c>
      <c r="B472" s="38" t="str">
        <f>IF(A472="","",MAX(VLOOKUP(A472,BOOKINGS!$A:$Q,6,FALSE)*VLOOKUP(VLOOKUP(A472,BOOKINGS!$A:$Q,7,FALSE),SETUP_RATES!$A:$H,3,FALSE),VLOOKUP(VLOOKUP(A472,BOOKINGS!$A:$Q,7,FALSE),SETUP_RATES!$A:$H,2,FALSE)))</f>
        <v/>
      </c>
      <c r="C472" s="38" t="str">
        <f>IF(A472="","",VLOOKUP(A472,BOOKINGS!$A:$Q,10,FALSE)*VLOOKUP(VLOOKUP(A472,BOOKINGS!$A:$Q,7,FALSE),SETUP_RATES!$A:$H,6,FALSE))</f>
        <v/>
      </c>
      <c r="D472" s="38" t="str">
        <f>IF(A472="","",MAX(0,VLOOKUP(A472,TRIP_ACTUALS!$A:$O,8,FALSE)-SETUP_RATES!$K$2)*SETUP_RATES!$K$3)</f>
        <v/>
      </c>
      <c r="E472" s="38" t="str">
        <f>IF(A472="","",VLOOKUP(A472,TRIP_ACTUALS!$A:$O,9,FALSE)*VLOOKUP(VLOOKUP(A472,BOOKINGS!$A:$Q,7,FALSE),SETUP_RATES!$A:$H,5,FALSE))</f>
        <v/>
      </c>
      <c r="F472" s="38" t="str">
        <f>IF(A472="","",IFERROR(VLOOKUP(A472,TRIP_ACTUALS!$A:$O,5,FALSE),0))</f>
        <v/>
      </c>
      <c r="G472" s="38" t="str">
        <f>IF(A472="","",IFERROR(VLOOKUP(A472,TRIP_ACTUALS!$A:$O,6,FALSE),0)+IFERROR(VLOOKUP(A472,TRIP_ACTUALS!$A:$O,7,FALSE),0))</f>
        <v/>
      </c>
      <c r="H472" s="38" t="str">
        <f>IF(A472="","",IFERROR(VLOOKUP(VLOOKUP(A472,BOOKINGS!$A:$Q,7,FALSE),SETUP_RATES!$A:$H,8,FALSE),0))</f>
        <v/>
      </c>
      <c r="I472" s="38" t="str">
        <f t="shared" si="1"/>
        <v/>
      </c>
      <c r="J472" s="38" t="str">
        <f>IF(A472="","",IFERROR(VLOOKUP(A472,BOOKINGS!$A:$Q,13,FALSE),0))</f>
        <v/>
      </c>
      <c r="K472" s="38" t="str">
        <f t="shared" si="2"/>
        <v/>
      </c>
      <c r="L472" s="38" t="str">
        <f t="shared" si="3"/>
        <v/>
      </c>
    </row>
    <row r="473" ht="15.75" customHeight="1">
      <c r="A473" s="33" t="str">
        <f>IF(BOOKINGS!A473="","",BOOKINGS!A473)</f>
        <v/>
      </c>
      <c r="B473" s="38" t="str">
        <f>IF(A473="","",MAX(VLOOKUP(A473,BOOKINGS!$A:$Q,6,FALSE)*VLOOKUP(VLOOKUP(A473,BOOKINGS!$A:$Q,7,FALSE),SETUP_RATES!$A:$H,3,FALSE),VLOOKUP(VLOOKUP(A473,BOOKINGS!$A:$Q,7,FALSE),SETUP_RATES!$A:$H,2,FALSE)))</f>
        <v/>
      </c>
      <c r="C473" s="38" t="str">
        <f>IF(A473="","",VLOOKUP(A473,BOOKINGS!$A:$Q,10,FALSE)*VLOOKUP(VLOOKUP(A473,BOOKINGS!$A:$Q,7,FALSE),SETUP_RATES!$A:$H,6,FALSE))</f>
        <v/>
      </c>
      <c r="D473" s="38" t="str">
        <f>IF(A473="","",MAX(0,VLOOKUP(A473,TRIP_ACTUALS!$A:$O,8,FALSE)-SETUP_RATES!$K$2)*SETUP_RATES!$K$3)</f>
        <v/>
      </c>
      <c r="E473" s="38" t="str">
        <f>IF(A473="","",VLOOKUP(A473,TRIP_ACTUALS!$A:$O,9,FALSE)*VLOOKUP(VLOOKUP(A473,BOOKINGS!$A:$Q,7,FALSE),SETUP_RATES!$A:$H,5,FALSE))</f>
        <v/>
      </c>
      <c r="F473" s="38" t="str">
        <f>IF(A473="","",IFERROR(VLOOKUP(A473,TRIP_ACTUALS!$A:$O,5,FALSE),0))</f>
        <v/>
      </c>
      <c r="G473" s="38" t="str">
        <f>IF(A473="","",IFERROR(VLOOKUP(A473,TRIP_ACTUALS!$A:$O,6,FALSE),0)+IFERROR(VLOOKUP(A473,TRIP_ACTUALS!$A:$O,7,FALSE),0))</f>
        <v/>
      </c>
      <c r="H473" s="38" t="str">
        <f>IF(A473="","",IFERROR(VLOOKUP(VLOOKUP(A473,BOOKINGS!$A:$Q,7,FALSE),SETUP_RATES!$A:$H,8,FALSE),0))</f>
        <v/>
      </c>
      <c r="I473" s="38" t="str">
        <f t="shared" si="1"/>
        <v/>
      </c>
      <c r="J473" s="38" t="str">
        <f>IF(A473="","",IFERROR(VLOOKUP(A473,BOOKINGS!$A:$Q,13,FALSE),0))</f>
        <v/>
      </c>
      <c r="K473" s="38" t="str">
        <f t="shared" si="2"/>
        <v/>
      </c>
      <c r="L473" s="38" t="str">
        <f t="shared" si="3"/>
        <v/>
      </c>
    </row>
    <row r="474" ht="15.75" customHeight="1">
      <c r="A474" s="33" t="str">
        <f>IF(BOOKINGS!A474="","",BOOKINGS!A474)</f>
        <v/>
      </c>
      <c r="B474" s="38" t="str">
        <f>IF(A474="","",MAX(VLOOKUP(A474,BOOKINGS!$A:$Q,6,FALSE)*VLOOKUP(VLOOKUP(A474,BOOKINGS!$A:$Q,7,FALSE),SETUP_RATES!$A:$H,3,FALSE),VLOOKUP(VLOOKUP(A474,BOOKINGS!$A:$Q,7,FALSE),SETUP_RATES!$A:$H,2,FALSE)))</f>
        <v/>
      </c>
      <c r="C474" s="38" t="str">
        <f>IF(A474="","",VLOOKUP(A474,BOOKINGS!$A:$Q,10,FALSE)*VLOOKUP(VLOOKUP(A474,BOOKINGS!$A:$Q,7,FALSE),SETUP_RATES!$A:$H,6,FALSE))</f>
        <v/>
      </c>
      <c r="D474" s="38" t="str">
        <f>IF(A474="","",MAX(0,VLOOKUP(A474,TRIP_ACTUALS!$A:$O,8,FALSE)-SETUP_RATES!$K$2)*SETUP_RATES!$K$3)</f>
        <v/>
      </c>
      <c r="E474" s="38" t="str">
        <f>IF(A474="","",VLOOKUP(A474,TRIP_ACTUALS!$A:$O,9,FALSE)*VLOOKUP(VLOOKUP(A474,BOOKINGS!$A:$Q,7,FALSE),SETUP_RATES!$A:$H,5,FALSE))</f>
        <v/>
      </c>
      <c r="F474" s="38" t="str">
        <f>IF(A474="","",IFERROR(VLOOKUP(A474,TRIP_ACTUALS!$A:$O,5,FALSE),0))</f>
        <v/>
      </c>
      <c r="G474" s="38" t="str">
        <f>IF(A474="","",IFERROR(VLOOKUP(A474,TRIP_ACTUALS!$A:$O,6,FALSE),0)+IFERROR(VLOOKUP(A474,TRIP_ACTUALS!$A:$O,7,FALSE),0))</f>
        <v/>
      </c>
      <c r="H474" s="38" t="str">
        <f>IF(A474="","",IFERROR(VLOOKUP(VLOOKUP(A474,BOOKINGS!$A:$Q,7,FALSE),SETUP_RATES!$A:$H,8,FALSE),0))</f>
        <v/>
      </c>
      <c r="I474" s="38" t="str">
        <f t="shared" si="1"/>
        <v/>
      </c>
      <c r="J474" s="38" t="str">
        <f>IF(A474="","",IFERROR(VLOOKUP(A474,BOOKINGS!$A:$Q,13,FALSE),0))</f>
        <v/>
      </c>
      <c r="K474" s="38" t="str">
        <f t="shared" si="2"/>
        <v/>
      </c>
      <c r="L474" s="38" t="str">
        <f t="shared" si="3"/>
        <v/>
      </c>
    </row>
    <row r="475" ht="15.75" customHeight="1">
      <c r="A475" s="33" t="str">
        <f>IF(BOOKINGS!A475="","",BOOKINGS!A475)</f>
        <v/>
      </c>
      <c r="B475" s="38" t="str">
        <f>IF(A475="","",MAX(VLOOKUP(A475,BOOKINGS!$A:$Q,6,FALSE)*VLOOKUP(VLOOKUP(A475,BOOKINGS!$A:$Q,7,FALSE),SETUP_RATES!$A:$H,3,FALSE),VLOOKUP(VLOOKUP(A475,BOOKINGS!$A:$Q,7,FALSE),SETUP_RATES!$A:$H,2,FALSE)))</f>
        <v/>
      </c>
      <c r="C475" s="38" t="str">
        <f>IF(A475="","",VLOOKUP(A475,BOOKINGS!$A:$Q,10,FALSE)*VLOOKUP(VLOOKUP(A475,BOOKINGS!$A:$Q,7,FALSE),SETUP_RATES!$A:$H,6,FALSE))</f>
        <v/>
      </c>
      <c r="D475" s="38" t="str">
        <f>IF(A475="","",MAX(0,VLOOKUP(A475,TRIP_ACTUALS!$A:$O,8,FALSE)-SETUP_RATES!$K$2)*SETUP_RATES!$K$3)</f>
        <v/>
      </c>
      <c r="E475" s="38" t="str">
        <f>IF(A475="","",VLOOKUP(A475,TRIP_ACTUALS!$A:$O,9,FALSE)*VLOOKUP(VLOOKUP(A475,BOOKINGS!$A:$Q,7,FALSE),SETUP_RATES!$A:$H,5,FALSE))</f>
        <v/>
      </c>
      <c r="F475" s="38" t="str">
        <f>IF(A475="","",IFERROR(VLOOKUP(A475,TRIP_ACTUALS!$A:$O,5,FALSE),0))</f>
        <v/>
      </c>
      <c r="G475" s="38" t="str">
        <f>IF(A475="","",IFERROR(VLOOKUP(A475,TRIP_ACTUALS!$A:$O,6,FALSE),0)+IFERROR(VLOOKUP(A475,TRIP_ACTUALS!$A:$O,7,FALSE),0))</f>
        <v/>
      </c>
      <c r="H475" s="38" t="str">
        <f>IF(A475="","",IFERROR(VLOOKUP(VLOOKUP(A475,BOOKINGS!$A:$Q,7,FALSE),SETUP_RATES!$A:$H,8,FALSE),0))</f>
        <v/>
      </c>
      <c r="I475" s="38" t="str">
        <f t="shared" si="1"/>
        <v/>
      </c>
      <c r="J475" s="38" t="str">
        <f>IF(A475="","",IFERROR(VLOOKUP(A475,BOOKINGS!$A:$Q,13,FALSE),0))</f>
        <v/>
      </c>
      <c r="K475" s="38" t="str">
        <f t="shared" si="2"/>
        <v/>
      </c>
      <c r="L475" s="38" t="str">
        <f t="shared" si="3"/>
        <v/>
      </c>
    </row>
    <row r="476" ht="15.75" customHeight="1">
      <c r="A476" s="33" t="str">
        <f>IF(BOOKINGS!A476="","",BOOKINGS!A476)</f>
        <v/>
      </c>
      <c r="B476" s="38" t="str">
        <f>IF(A476="","",MAX(VLOOKUP(A476,BOOKINGS!$A:$Q,6,FALSE)*VLOOKUP(VLOOKUP(A476,BOOKINGS!$A:$Q,7,FALSE),SETUP_RATES!$A:$H,3,FALSE),VLOOKUP(VLOOKUP(A476,BOOKINGS!$A:$Q,7,FALSE),SETUP_RATES!$A:$H,2,FALSE)))</f>
        <v/>
      </c>
      <c r="C476" s="38" t="str">
        <f>IF(A476="","",VLOOKUP(A476,BOOKINGS!$A:$Q,10,FALSE)*VLOOKUP(VLOOKUP(A476,BOOKINGS!$A:$Q,7,FALSE),SETUP_RATES!$A:$H,6,FALSE))</f>
        <v/>
      </c>
      <c r="D476" s="38" t="str">
        <f>IF(A476="","",MAX(0,VLOOKUP(A476,TRIP_ACTUALS!$A:$O,8,FALSE)-SETUP_RATES!$K$2)*SETUP_RATES!$K$3)</f>
        <v/>
      </c>
      <c r="E476" s="38" t="str">
        <f>IF(A476="","",VLOOKUP(A476,TRIP_ACTUALS!$A:$O,9,FALSE)*VLOOKUP(VLOOKUP(A476,BOOKINGS!$A:$Q,7,FALSE),SETUP_RATES!$A:$H,5,FALSE))</f>
        <v/>
      </c>
      <c r="F476" s="38" t="str">
        <f>IF(A476="","",IFERROR(VLOOKUP(A476,TRIP_ACTUALS!$A:$O,5,FALSE),0))</f>
        <v/>
      </c>
      <c r="G476" s="38" t="str">
        <f>IF(A476="","",IFERROR(VLOOKUP(A476,TRIP_ACTUALS!$A:$O,6,FALSE),0)+IFERROR(VLOOKUP(A476,TRIP_ACTUALS!$A:$O,7,FALSE),0))</f>
        <v/>
      </c>
      <c r="H476" s="38" t="str">
        <f>IF(A476="","",IFERROR(VLOOKUP(VLOOKUP(A476,BOOKINGS!$A:$Q,7,FALSE),SETUP_RATES!$A:$H,8,FALSE),0))</f>
        <v/>
      </c>
      <c r="I476" s="38" t="str">
        <f t="shared" si="1"/>
        <v/>
      </c>
      <c r="J476" s="38" t="str">
        <f>IF(A476="","",IFERROR(VLOOKUP(A476,BOOKINGS!$A:$Q,13,FALSE),0))</f>
        <v/>
      </c>
      <c r="K476" s="38" t="str">
        <f t="shared" si="2"/>
        <v/>
      </c>
      <c r="L476" s="38" t="str">
        <f t="shared" si="3"/>
        <v/>
      </c>
    </row>
    <row r="477" ht="15.75" customHeight="1">
      <c r="A477" s="33" t="str">
        <f>IF(BOOKINGS!A477="","",BOOKINGS!A477)</f>
        <v/>
      </c>
      <c r="B477" s="38" t="str">
        <f>IF(A477="","",MAX(VLOOKUP(A477,BOOKINGS!$A:$Q,6,FALSE)*VLOOKUP(VLOOKUP(A477,BOOKINGS!$A:$Q,7,FALSE),SETUP_RATES!$A:$H,3,FALSE),VLOOKUP(VLOOKUP(A477,BOOKINGS!$A:$Q,7,FALSE),SETUP_RATES!$A:$H,2,FALSE)))</f>
        <v/>
      </c>
      <c r="C477" s="38" t="str">
        <f>IF(A477="","",VLOOKUP(A477,BOOKINGS!$A:$Q,10,FALSE)*VLOOKUP(VLOOKUP(A477,BOOKINGS!$A:$Q,7,FALSE),SETUP_RATES!$A:$H,6,FALSE))</f>
        <v/>
      </c>
      <c r="D477" s="38" t="str">
        <f>IF(A477="","",MAX(0,VLOOKUP(A477,TRIP_ACTUALS!$A:$O,8,FALSE)-SETUP_RATES!$K$2)*SETUP_RATES!$K$3)</f>
        <v/>
      </c>
      <c r="E477" s="38" t="str">
        <f>IF(A477="","",VLOOKUP(A477,TRIP_ACTUALS!$A:$O,9,FALSE)*VLOOKUP(VLOOKUP(A477,BOOKINGS!$A:$Q,7,FALSE),SETUP_RATES!$A:$H,5,FALSE))</f>
        <v/>
      </c>
      <c r="F477" s="38" t="str">
        <f>IF(A477="","",IFERROR(VLOOKUP(A477,TRIP_ACTUALS!$A:$O,5,FALSE),0))</f>
        <v/>
      </c>
      <c r="G477" s="38" t="str">
        <f>IF(A477="","",IFERROR(VLOOKUP(A477,TRIP_ACTUALS!$A:$O,6,FALSE),0)+IFERROR(VLOOKUP(A477,TRIP_ACTUALS!$A:$O,7,FALSE),0))</f>
        <v/>
      </c>
      <c r="H477" s="38" t="str">
        <f>IF(A477="","",IFERROR(VLOOKUP(VLOOKUP(A477,BOOKINGS!$A:$Q,7,FALSE),SETUP_RATES!$A:$H,8,FALSE),0))</f>
        <v/>
      </c>
      <c r="I477" s="38" t="str">
        <f t="shared" si="1"/>
        <v/>
      </c>
      <c r="J477" s="38" t="str">
        <f>IF(A477="","",IFERROR(VLOOKUP(A477,BOOKINGS!$A:$Q,13,FALSE),0))</f>
        <v/>
      </c>
      <c r="K477" s="38" t="str">
        <f t="shared" si="2"/>
        <v/>
      </c>
      <c r="L477" s="38" t="str">
        <f t="shared" si="3"/>
        <v/>
      </c>
    </row>
    <row r="478" ht="15.75" customHeight="1">
      <c r="A478" s="33" t="str">
        <f>IF(BOOKINGS!A478="","",BOOKINGS!A478)</f>
        <v/>
      </c>
      <c r="B478" s="38" t="str">
        <f>IF(A478="","",MAX(VLOOKUP(A478,BOOKINGS!$A:$Q,6,FALSE)*VLOOKUP(VLOOKUP(A478,BOOKINGS!$A:$Q,7,FALSE),SETUP_RATES!$A:$H,3,FALSE),VLOOKUP(VLOOKUP(A478,BOOKINGS!$A:$Q,7,FALSE),SETUP_RATES!$A:$H,2,FALSE)))</f>
        <v/>
      </c>
      <c r="C478" s="38" t="str">
        <f>IF(A478="","",VLOOKUP(A478,BOOKINGS!$A:$Q,10,FALSE)*VLOOKUP(VLOOKUP(A478,BOOKINGS!$A:$Q,7,FALSE),SETUP_RATES!$A:$H,6,FALSE))</f>
        <v/>
      </c>
      <c r="D478" s="38" t="str">
        <f>IF(A478="","",MAX(0,VLOOKUP(A478,TRIP_ACTUALS!$A:$O,8,FALSE)-SETUP_RATES!$K$2)*SETUP_RATES!$K$3)</f>
        <v/>
      </c>
      <c r="E478" s="38" t="str">
        <f>IF(A478="","",VLOOKUP(A478,TRIP_ACTUALS!$A:$O,9,FALSE)*VLOOKUP(VLOOKUP(A478,BOOKINGS!$A:$Q,7,FALSE),SETUP_RATES!$A:$H,5,FALSE))</f>
        <v/>
      </c>
      <c r="F478" s="38" t="str">
        <f>IF(A478="","",IFERROR(VLOOKUP(A478,TRIP_ACTUALS!$A:$O,5,FALSE),0))</f>
        <v/>
      </c>
      <c r="G478" s="38" t="str">
        <f>IF(A478="","",IFERROR(VLOOKUP(A478,TRIP_ACTUALS!$A:$O,6,FALSE),0)+IFERROR(VLOOKUP(A478,TRIP_ACTUALS!$A:$O,7,FALSE),0))</f>
        <v/>
      </c>
      <c r="H478" s="38" t="str">
        <f>IF(A478="","",IFERROR(VLOOKUP(VLOOKUP(A478,BOOKINGS!$A:$Q,7,FALSE),SETUP_RATES!$A:$H,8,FALSE),0))</f>
        <v/>
      </c>
      <c r="I478" s="38" t="str">
        <f t="shared" si="1"/>
        <v/>
      </c>
      <c r="J478" s="38" t="str">
        <f>IF(A478="","",IFERROR(VLOOKUP(A478,BOOKINGS!$A:$Q,13,FALSE),0))</f>
        <v/>
      </c>
      <c r="K478" s="38" t="str">
        <f t="shared" si="2"/>
        <v/>
      </c>
      <c r="L478" s="38" t="str">
        <f t="shared" si="3"/>
        <v/>
      </c>
    </row>
    <row r="479" ht="15.75" customHeight="1">
      <c r="A479" s="33" t="str">
        <f>IF(BOOKINGS!A479="","",BOOKINGS!A479)</f>
        <v/>
      </c>
      <c r="B479" s="38" t="str">
        <f>IF(A479="","",MAX(VLOOKUP(A479,BOOKINGS!$A:$Q,6,FALSE)*VLOOKUP(VLOOKUP(A479,BOOKINGS!$A:$Q,7,FALSE),SETUP_RATES!$A:$H,3,FALSE),VLOOKUP(VLOOKUP(A479,BOOKINGS!$A:$Q,7,FALSE),SETUP_RATES!$A:$H,2,FALSE)))</f>
        <v/>
      </c>
      <c r="C479" s="38" t="str">
        <f>IF(A479="","",VLOOKUP(A479,BOOKINGS!$A:$Q,10,FALSE)*VLOOKUP(VLOOKUP(A479,BOOKINGS!$A:$Q,7,FALSE),SETUP_RATES!$A:$H,6,FALSE))</f>
        <v/>
      </c>
      <c r="D479" s="38" t="str">
        <f>IF(A479="","",MAX(0,VLOOKUP(A479,TRIP_ACTUALS!$A:$O,8,FALSE)-SETUP_RATES!$K$2)*SETUP_RATES!$K$3)</f>
        <v/>
      </c>
      <c r="E479" s="38" t="str">
        <f>IF(A479="","",VLOOKUP(A479,TRIP_ACTUALS!$A:$O,9,FALSE)*VLOOKUP(VLOOKUP(A479,BOOKINGS!$A:$Q,7,FALSE),SETUP_RATES!$A:$H,5,FALSE))</f>
        <v/>
      </c>
      <c r="F479" s="38" t="str">
        <f>IF(A479="","",IFERROR(VLOOKUP(A479,TRIP_ACTUALS!$A:$O,5,FALSE),0))</f>
        <v/>
      </c>
      <c r="G479" s="38" t="str">
        <f>IF(A479="","",IFERROR(VLOOKUP(A479,TRIP_ACTUALS!$A:$O,6,FALSE),0)+IFERROR(VLOOKUP(A479,TRIP_ACTUALS!$A:$O,7,FALSE),0))</f>
        <v/>
      </c>
      <c r="H479" s="38" t="str">
        <f>IF(A479="","",IFERROR(VLOOKUP(VLOOKUP(A479,BOOKINGS!$A:$Q,7,FALSE),SETUP_RATES!$A:$H,8,FALSE),0))</f>
        <v/>
      </c>
      <c r="I479" s="38" t="str">
        <f t="shared" si="1"/>
        <v/>
      </c>
      <c r="J479" s="38" t="str">
        <f>IF(A479="","",IFERROR(VLOOKUP(A479,BOOKINGS!$A:$Q,13,FALSE),0))</f>
        <v/>
      </c>
      <c r="K479" s="38" t="str">
        <f t="shared" si="2"/>
        <v/>
      </c>
      <c r="L479" s="38" t="str">
        <f t="shared" si="3"/>
        <v/>
      </c>
    </row>
    <row r="480" ht="15.75" customHeight="1">
      <c r="A480" s="33" t="str">
        <f>IF(BOOKINGS!A480="","",BOOKINGS!A480)</f>
        <v/>
      </c>
      <c r="B480" s="38" t="str">
        <f>IF(A480="","",MAX(VLOOKUP(A480,BOOKINGS!$A:$Q,6,FALSE)*VLOOKUP(VLOOKUP(A480,BOOKINGS!$A:$Q,7,FALSE),SETUP_RATES!$A:$H,3,FALSE),VLOOKUP(VLOOKUP(A480,BOOKINGS!$A:$Q,7,FALSE),SETUP_RATES!$A:$H,2,FALSE)))</f>
        <v/>
      </c>
      <c r="C480" s="38" t="str">
        <f>IF(A480="","",VLOOKUP(A480,BOOKINGS!$A:$Q,10,FALSE)*VLOOKUP(VLOOKUP(A480,BOOKINGS!$A:$Q,7,FALSE),SETUP_RATES!$A:$H,6,FALSE))</f>
        <v/>
      </c>
      <c r="D480" s="38" t="str">
        <f>IF(A480="","",MAX(0,VLOOKUP(A480,TRIP_ACTUALS!$A:$O,8,FALSE)-SETUP_RATES!$K$2)*SETUP_RATES!$K$3)</f>
        <v/>
      </c>
      <c r="E480" s="38" t="str">
        <f>IF(A480="","",VLOOKUP(A480,TRIP_ACTUALS!$A:$O,9,FALSE)*VLOOKUP(VLOOKUP(A480,BOOKINGS!$A:$Q,7,FALSE),SETUP_RATES!$A:$H,5,FALSE))</f>
        <v/>
      </c>
      <c r="F480" s="38" t="str">
        <f>IF(A480="","",IFERROR(VLOOKUP(A480,TRIP_ACTUALS!$A:$O,5,FALSE),0))</f>
        <v/>
      </c>
      <c r="G480" s="38" t="str">
        <f>IF(A480="","",IFERROR(VLOOKUP(A480,TRIP_ACTUALS!$A:$O,6,FALSE),0)+IFERROR(VLOOKUP(A480,TRIP_ACTUALS!$A:$O,7,FALSE),0))</f>
        <v/>
      </c>
      <c r="H480" s="38" t="str">
        <f>IF(A480="","",IFERROR(VLOOKUP(VLOOKUP(A480,BOOKINGS!$A:$Q,7,FALSE),SETUP_RATES!$A:$H,8,FALSE),0))</f>
        <v/>
      </c>
      <c r="I480" s="38" t="str">
        <f t="shared" si="1"/>
        <v/>
      </c>
      <c r="J480" s="38" t="str">
        <f>IF(A480="","",IFERROR(VLOOKUP(A480,BOOKINGS!$A:$Q,13,FALSE),0))</f>
        <v/>
      </c>
      <c r="K480" s="38" t="str">
        <f t="shared" si="2"/>
        <v/>
      </c>
      <c r="L480" s="38" t="str">
        <f t="shared" si="3"/>
        <v/>
      </c>
    </row>
    <row r="481" ht="15.75" customHeight="1">
      <c r="A481" s="33" t="str">
        <f>IF(BOOKINGS!A481="","",BOOKINGS!A481)</f>
        <v/>
      </c>
      <c r="B481" s="38" t="str">
        <f>IF(A481="","",MAX(VLOOKUP(A481,BOOKINGS!$A:$Q,6,FALSE)*VLOOKUP(VLOOKUP(A481,BOOKINGS!$A:$Q,7,FALSE),SETUP_RATES!$A:$H,3,FALSE),VLOOKUP(VLOOKUP(A481,BOOKINGS!$A:$Q,7,FALSE),SETUP_RATES!$A:$H,2,FALSE)))</f>
        <v/>
      </c>
      <c r="C481" s="38" t="str">
        <f>IF(A481="","",VLOOKUP(A481,BOOKINGS!$A:$Q,10,FALSE)*VLOOKUP(VLOOKUP(A481,BOOKINGS!$A:$Q,7,FALSE),SETUP_RATES!$A:$H,6,FALSE))</f>
        <v/>
      </c>
      <c r="D481" s="38" t="str">
        <f>IF(A481="","",MAX(0,VLOOKUP(A481,TRIP_ACTUALS!$A:$O,8,FALSE)-SETUP_RATES!$K$2)*SETUP_RATES!$K$3)</f>
        <v/>
      </c>
      <c r="E481" s="38" t="str">
        <f>IF(A481="","",VLOOKUP(A481,TRIP_ACTUALS!$A:$O,9,FALSE)*VLOOKUP(VLOOKUP(A481,BOOKINGS!$A:$Q,7,FALSE),SETUP_RATES!$A:$H,5,FALSE))</f>
        <v/>
      </c>
      <c r="F481" s="38" t="str">
        <f>IF(A481="","",IFERROR(VLOOKUP(A481,TRIP_ACTUALS!$A:$O,5,FALSE),0))</f>
        <v/>
      </c>
      <c r="G481" s="38" t="str">
        <f>IF(A481="","",IFERROR(VLOOKUP(A481,TRIP_ACTUALS!$A:$O,6,FALSE),0)+IFERROR(VLOOKUP(A481,TRIP_ACTUALS!$A:$O,7,FALSE),0))</f>
        <v/>
      </c>
      <c r="H481" s="38" t="str">
        <f>IF(A481="","",IFERROR(VLOOKUP(VLOOKUP(A481,BOOKINGS!$A:$Q,7,FALSE),SETUP_RATES!$A:$H,8,FALSE),0))</f>
        <v/>
      </c>
      <c r="I481" s="38" t="str">
        <f t="shared" si="1"/>
        <v/>
      </c>
      <c r="J481" s="38" t="str">
        <f>IF(A481="","",IFERROR(VLOOKUP(A481,BOOKINGS!$A:$Q,13,FALSE),0))</f>
        <v/>
      </c>
      <c r="K481" s="38" t="str">
        <f t="shared" si="2"/>
        <v/>
      </c>
      <c r="L481" s="38" t="str">
        <f t="shared" si="3"/>
        <v/>
      </c>
    </row>
    <row r="482" ht="15.75" customHeight="1">
      <c r="A482" s="33" t="str">
        <f>IF(BOOKINGS!A482="","",BOOKINGS!A482)</f>
        <v/>
      </c>
      <c r="B482" s="38" t="str">
        <f>IF(A482="","",MAX(VLOOKUP(A482,BOOKINGS!$A:$Q,6,FALSE)*VLOOKUP(VLOOKUP(A482,BOOKINGS!$A:$Q,7,FALSE),SETUP_RATES!$A:$H,3,FALSE),VLOOKUP(VLOOKUP(A482,BOOKINGS!$A:$Q,7,FALSE),SETUP_RATES!$A:$H,2,FALSE)))</f>
        <v/>
      </c>
      <c r="C482" s="38" t="str">
        <f>IF(A482="","",VLOOKUP(A482,BOOKINGS!$A:$Q,10,FALSE)*VLOOKUP(VLOOKUP(A482,BOOKINGS!$A:$Q,7,FALSE),SETUP_RATES!$A:$H,6,FALSE))</f>
        <v/>
      </c>
      <c r="D482" s="38" t="str">
        <f>IF(A482="","",MAX(0,VLOOKUP(A482,TRIP_ACTUALS!$A:$O,8,FALSE)-SETUP_RATES!$K$2)*SETUP_RATES!$K$3)</f>
        <v/>
      </c>
      <c r="E482" s="38" t="str">
        <f>IF(A482="","",VLOOKUP(A482,TRIP_ACTUALS!$A:$O,9,FALSE)*VLOOKUP(VLOOKUP(A482,BOOKINGS!$A:$Q,7,FALSE),SETUP_RATES!$A:$H,5,FALSE))</f>
        <v/>
      </c>
      <c r="F482" s="38" t="str">
        <f>IF(A482="","",IFERROR(VLOOKUP(A482,TRIP_ACTUALS!$A:$O,5,FALSE),0))</f>
        <v/>
      </c>
      <c r="G482" s="38" t="str">
        <f>IF(A482="","",IFERROR(VLOOKUP(A482,TRIP_ACTUALS!$A:$O,6,FALSE),0)+IFERROR(VLOOKUP(A482,TRIP_ACTUALS!$A:$O,7,FALSE),0))</f>
        <v/>
      </c>
      <c r="H482" s="38" t="str">
        <f>IF(A482="","",IFERROR(VLOOKUP(VLOOKUP(A482,BOOKINGS!$A:$Q,7,FALSE),SETUP_RATES!$A:$H,8,FALSE),0))</f>
        <v/>
      </c>
      <c r="I482" s="38" t="str">
        <f t="shared" si="1"/>
        <v/>
      </c>
      <c r="J482" s="38" t="str">
        <f>IF(A482="","",IFERROR(VLOOKUP(A482,BOOKINGS!$A:$Q,13,FALSE),0))</f>
        <v/>
      </c>
      <c r="K482" s="38" t="str">
        <f t="shared" si="2"/>
        <v/>
      </c>
      <c r="L482" s="38" t="str">
        <f t="shared" si="3"/>
        <v/>
      </c>
    </row>
    <row r="483" ht="15.75" customHeight="1">
      <c r="A483" s="33" t="str">
        <f>IF(BOOKINGS!A483="","",BOOKINGS!A483)</f>
        <v/>
      </c>
      <c r="B483" s="38" t="str">
        <f>IF(A483="","",MAX(VLOOKUP(A483,BOOKINGS!$A:$Q,6,FALSE)*VLOOKUP(VLOOKUP(A483,BOOKINGS!$A:$Q,7,FALSE),SETUP_RATES!$A:$H,3,FALSE),VLOOKUP(VLOOKUP(A483,BOOKINGS!$A:$Q,7,FALSE),SETUP_RATES!$A:$H,2,FALSE)))</f>
        <v/>
      </c>
      <c r="C483" s="38" t="str">
        <f>IF(A483="","",VLOOKUP(A483,BOOKINGS!$A:$Q,10,FALSE)*VLOOKUP(VLOOKUP(A483,BOOKINGS!$A:$Q,7,FALSE),SETUP_RATES!$A:$H,6,FALSE))</f>
        <v/>
      </c>
      <c r="D483" s="38" t="str">
        <f>IF(A483="","",MAX(0,VLOOKUP(A483,TRIP_ACTUALS!$A:$O,8,FALSE)-SETUP_RATES!$K$2)*SETUP_RATES!$K$3)</f>
        <v/>
      </c>
      <c r="E483" s="38" t="str">
        <f>IF(A483="","",VLOOKUP(A483,TRIP_ACTUALS!$A:$O,9,FALSE)*VLOOKUP(VLOOKUP(A483,BOOKINGS!$A:$Q,7,FALSE),SETUP_RATES!$A:$H,5,FALSE))</f>
        <v/>
      </c>
      <c r="F483" s="38" t="str">
        <f>IF(A483="","",IFERROR(VLOOKUP(A483,TRIP_ACTUALS!$A:$O,5,FALSE),0))</f>
        <v/>
      </c>
      <c r="G483" s="38" t="str">
        <f>IF(A483="","",IFERROR(VLOOKUP(A483,TRIP_ACTUALS!$A:$O,6,FALSE),0)+IFERROR(VLOOKUP(A483,TRIP_ACTUALS!$A:$O,7,FALSE),0))</f>
        <v/>
      </c>
      <c r="H483" s="38" t="str">
        <f>IF(A483="","",IFERROR(VLOOKUP(VLOOKUP(A483,BOOKINGS!$A:$Q,7,FALSE),SETUP_RATES!$A:$H,8,FALSE),0))</f>
        <v/>
      </c>
      <c r="I483" s="38" t="str">
        <f t="shared" si="1"/>
        <v/>
      </c>
      <c r="J483" s="38" t="str">
        <f>IF(A483="","",IFERROR(VLOOKUP(A483,BOOKINGS!$A:$Q,13,FALSE),0))</f>
        <v/>
      </c>
      <c r="K483" s="38" t="str">
        <f t="shared" si="2"/>
        <v/>
      </c>
      <c r="L483" s="38" t="str">
        <f t="shared" si="3"/>
        <v/>
      </c>
    </row>
    <row r="484" ht="15.75" customHeight="1">
      <c r="A484" s="33" t="str">
        <f>IF(BOOKINGS!A484="","",BOOKINGS!A484)</f>
        <v/>
      </c>
      <c r="B484" s="38" t="str">
        <f>IF(A484="","",MAX(VLOOKUP(A484,BOOKINGS!$A:$Q,6,FALSE)*VLOOKUP(VLOOKUP(A484,BOOKINGS!$A:$Q,7,FALSE),SETUP_RATES!$A:$H,3,FALSE),VLOOKUP(VLOOKUP(A484,BOOKINGS!$A:$Q,7,FALSE),SETUP_RATES!$A:$H,2,FALSE)))</f>
        <v/>
      </c>
      <c r="C484" s="38" t="str">
        <f>IF(A484="","",VLOOKUP(A484,BOOKINGS!$A:$Q,10,FALSE)*VLOOKUP(VLOOKUP(A484,BOOKINGS!$A:$Q,7,FALSE),SETUP_RATES!$A:$H,6,FALSE))</f>
        <v/>
      </c>
      <c r="D484" s="38" t="str">
        <f>IF(A484="","",MAX(0,VLOOKUP(A484,TRIP_ACTUALS!$A:$O,8,FALSE)-SETUP_RATES!$K$2)*SETUP_RATES!$K$3)</f>
        <v/>
      </c>
      <c r="E484" s="38" t="str">
        <f>IF(A484="","",VLOOKUP(A484,TRIP_ACTUALS!$A:$O,9,FALSE)*VLOOKUP(VLOOKUP(A484,BOOKINGS!$A:$Q,7,FALSE),SETUP_RATES!$A:$H,5,FALSE))</f>
        <v/>
      </c>
      <c r="F484" s="38" t="str">
        <f>IF(A484="","",IFERROR(VLOOKUP(A484,TRIP_ACTUALS!$A:$O,5,FALSE),0))</f>
        <v/>
      </c>
      <c r="G484" s="38" t="str">
        <f>IF(A484="","",IFERROR(VLOOKUP(A484,TRIP_ACTUALS!$A:$O,6,FALSE),0)+IFERROR(VLOOKUP(A484,TRIP_ACTUALS!$A:$O,7,FALSE),0))</f>
        <v/>
      </c>
      <c r="H484" s="38" t="str">
        <f>IF(A484="","",IFERROR(VLOOKUP(VLOOKUP(A484,BOOKINGS!$A:$Q,7,FALSE),SETUP_RATES!$A:$H,8,FALSE),0))</f>
        <v/>
      </c>
      <c r="I484" s="38" t="str">
        <f t="shared" si="1"/>
        <v/>
      </c>
      <c r="J484" s="38" t="str">
        <f>IF(A484="","",IFERROR(VLOOKUP(A484,BOOKINGS!$A:$Q,13,FALSE),0))</f>
        <v/>
      </c>
      <c r="K484" s="38" t="str">
        <f t="shared" si="2"/>
        <v/>
      </c>
      <c r="L484" s="38" t="str">
        <f t="shared" si="3"/>
        <v/>
      </c>
    </row>
    <row r="485" ht="15.75" customHeight="1">
      <c r="A485" s="33" t="str">
        <f>IF(BOOKINGS!A485="","",BOOKINGS!A485)</f>
        <v/>
      </c>
      <c r="B485" s="38" t="str">
        <f>IF(A485="","",MAX(VLOOKUP(A485,BOOKINGS!$A:$Q,6,FALSE)*VLOOKUP(VLOOKUP(A485,BOOKINGS!$A:$Q,7,FALSE),SETUP_RATES!$A:$H,3,FALSE),VLOOKUP(VLOOKUP(A485,BOOKINGS!$A:$Q,7,FALSE),SETUP_RATES!$A:$H,2,FALSE)))</f>
        <v/>
      </c>
      <c r="C485" s="38" t="str">
        <f>IF(A485="","",VLOOKUP(A485,BOOKINGS!$A:$Q,10,FALSE)*VLOOKUP(VLOOKUP(A485,BOOKINGS!$A:$Q,7,FALSE),SETUP_RATES!$A:$H,6,FALSE))</f>
        <v/>
      </c>
      <c r="D485" s="38" t="str">
        <f>IF(A485="","",MAX(0,VLOOKUP(A485,TRIP_ACTUALS!$A:$O,8,FALSE)-SETUP_RATES!$K$2)*SETUP_RATES!$K$3)</f>
        <v/>
      </c>
      <c r="E485" s="38" t="str">
        <f>IF(A485="","",VLOOKUP(A485,TRIP_ACTUALS!$A:$O,9,FALSE)*VLOOKUP(VLOOKUP(A485,BOOKINGS!$A:$Q,7,FALSE),SETUP_RATES!$A:$H,5,FALSE))</f>
        <v/>
      </c>
      <c r="F485" s="38" t="str">
        <f>IF(A485="","",IFERROR(VLOOKUP(A485,TRIP_ACTUALS!$A:$O,5,FALSE),0))</f>
        <v/>
      </c>
      <c r="G485" s="38" t="str">
        <f>IF(A485="","",IFERROR(VLOOKUP(A485,TRIP_ACTUALS!$A:$O,6,FALSE),0)+IFERROR(VLOOKUP(A485,TRIP_ACTUALS!$A:$O,7,FALSE),0))</f>
        <v/>
      </c>
      <c r="H485" s="38" t="str">
        <f>IF(A485="","",IFERROR(VLOOKUP(VLOOKUP(A485,BOOKINGS!$A:$Q,7,FALSE),SETUP_RATES!$A:$H,8,FALSE),0))</f>
        <v/>
      </c>
      <c r="I485" s="38" t="str">
        <f t="shared" si="1"/>
        <v/>
      </c>
      <c r="J485" s="38" t="str">
        <f>IF(A485="","",IFERROR(VLOOKUP(A485,BOOKINGS!$A:$Q,13,FALSE),0))</f>
        <v/>
      </c>
      <c r="K485" s="38" t="str">
        <f t="shared" si="2"/>
        <v/>
      </c>
      <c r="L485" s="38" t="str">
        <f t="shared" si="3"/>
        <v/>
      </c>
    </row>
    <row r="486" ht="15.75" customHeight="1">
      <c r="A486" s="33" t="str">
        <f>IF(BOOKINGS!A486="","",BOOKINGS!A486)</f>
        <v/>
      </c>
      <c r="B486" s="38" t="str">
        <f>IF(A486="","",MAX(VLOOKUP(A486,BOOKINGS!$A:$Q,6,FALSE)*VLOOKUP(VLOOKUP(A486,BOOKINGS!$A:$Q,7,FALSE),SETUP_RATES!$A:$H,3,FALSE),VLOOKUP(VLOOKUP(A486,BOOKINGS!$A:$Q,7,FALSE),SETUP_RATES!$A:$H,2,FALSE)))</f>
        <v/>
      </c>
      <c r="C486" s="38" t="str">
        <f>IF(A486="","",VLOOKUP(A486,BOOKINGS!$A:$Q,10,FALSE)*VLOOKUP(VLOOKUP(A486,BOOKINGS!$A:$Q,7,FALSE),SETUP_RATES!$A:$H,6,FALSE))</f>
        <v/>
      </c>
      <c r="D486" s="38" t="str">
        <f>IF(A486="","",MAX(0,VLOOKUP(A486,TRIP_ACTUALS!$A:$O,8,FALSE)-SETUP_RATES!$K$2)*SETUP_RATES!$K$3)</f>
        <v/>
      </c>
      <c r="E486" s="38" t="str">
        <f>IF(A486="","",VLOOKUP(A486,TRIP_ACTUALS!$A:$O,9,FALSE)*VLOOKUP(VLOOKUP(A486,BOOKINGS!$A:$Q,7,FALSE),SETUP_RATES!$A:$H,5,FALSE))</f>
        <v/>
      </c>
      <c r="F486" s="38" t="str">
        <f>IF(A486="","",IFERROR(VLOOKUP(A486,TRIP_ACTUALS!$A:$O,5,FALSE),0))</f>
        <v/>
      </c>
      <c r="G486" s="38" t="str">
        <f>IF(A486="","",IFERROR(VLOOKUP(A486,TRIP_ACTUALS!$A:$O,6,FALSE),0)+IFERROR(VLOOKUP(A486,TRIP_ACTUALS!$A:$O,7,FALSE),0))</f>
        <v/>
      </c>
      <c r="H486" s="38" t="str">
        <f>IF(A486="","",IFERROR(VLOOKUP(VLOOKUP(A486,BOOKINGS!$A:$Q,7,FALSE),SETUP_RATES!$A:$H,8,FALSE),0))</f>
        <v/>
      </c>
      <c r="I486" s="38" t="str">
        <f t="shared" si="1"/>
        <v/>
      </c>
      <c r="J486" s="38" t="str">
        <f>IF(A486="","",IFERROR(VLOOKUP(A486,BOOKINGS!$A:$Q,13,FALSE),0))</f>
        <v/>
      </c>
      <c r="K486" s="38" t="str">
        <f t="shared" si="2"/>
        <v/>
      </c>
      <c r="L486" s="38" t="str">
        <f t="shared" si="3"/>
        <v/>
      </c>
    </row>
    <row r="487" ht="15.75" customHeight="1">
      <c r="A487" s="33" t="str">
        <f>IF(BOOKINGS!A487="","",BOOKINGS!A487)</f>
        <v/>
      </c>
      <c r="B487" s="38" t="str">
        <f>IF(A487="","",MAX(VLOOKUP(A487,BOOKINGS!$A:$Q,6,FALSE)*VLOOKUP(VLOOKUP(A487,BOOKINGS!$A:$Q,7,FALSE),SETUP_RATES!$A:$H,3,FALSE),VLOOKUP(VLOOKUP(A487,BOOKINGS!$A:$Q,7,FALSE),SETUP_RATES!$A:$H,2,FALSE)))</f>
        <v/>
      </c>
      <c r="C487" s="38" t="str">
        <f>IF(A487="","",VLOOKUP(A487,BOOKINGS!$A:$Q,10,FALSE)*VLOOKUP(VLOOKUP(A487,BOOKINGS!$A:$Q,7,FALSE),SETUP_RATES!$A:$H,6,FALSE))</f>
        <v/>
      </c>
      <c r="D487" s="38" t="str">
        <f>IF(A487="","",MAX(0,VLOOKUP(A487,TRIP_ACTUALS!$A:$O,8,FALSE)-SETUP_RATES!$K$2)*SETUP_RATES!$K$3)</f>
        <v/>
      </c>
      <c r="E487" s="38" t="str">
        <f>IF(A487="","",VLOOKUP(A487,TRIP_ACTUALS!$A:$O,9,FALSE)*VLOOKUP(VLOOKUP(A487,BOOKINGS!$A:$Q,7,FALSE),SETUP_RATES!$A:$H,5,FALSE))</f>
        <v/>
      </c>
      <c r="F487" s="38" t="str">
        <f>IF(A487="","",IFERROR(VLOOKUP(A487,TRIP_ACTUALS!$A:$O,5,FALSE),0))</f>
        <v/>
      </c>
      <c r="G487" s="38" t="str">
        <f>IF(A487="","",IFERROR(VLOOKUP(A487,TRIP_ACTUALS!$A:$O,6,FALSE),0)+IFERROR(VLOOKUP(A487,TRIP_ACTUALS!$A:$O,7,FALSE),0))</f>
        <v/>
      </c>
      <c r="H487" s="38" t="str">
        <f>IF(A487="","",IFERROR(VLOOKUP(VLOOKUP(A487,BOOKINGS!$A:$Q,7,FALSE),SETUP_RATES!$A:$H,8,FALSE),0))</f>
        <v/>
      </c>
      <c r="I487" s="38" t="str">
        <f t="shared" si="1"/>
        <v/>
      </c>
      <c r="J487" s="38" t="str">
        <f>IF(A487="","",IFERROR(VLOOKUP(A487,BOOKINGS!$A:$Q,13,FALSE),0))</f>
        <v/>
      </c>
      <c r="K487" s="38" t="str">
        <f t="shared" si="2"/>
        <v/>
      </c>
      <c r="L487" s="38" t="str">
        <f t="shared" si="3"/>
        <v/>
      </c>
    </row>
    <row r="488" ht="15.75" customHeight="1">
      <c r="A488" s="33" t="str">
        <f>IF(BOOKINGS!A488="","",BOOKINGS!A488)</f>
        <v/>
      </c>
      <c r="B488" s="38" t="str">
        <f>IF(A488="","",MAX(VLOOKUP(A488,BOOKINGS!$A:$Q,6,FALSE)*VLOOKUP(VLOOKUP(A488,BOOKINGS!$A:$Q,7,FALSE),SETUP_RATES!$A:$H,3,FALSE),VLOOKUP(VLOOKUP(A488,BOOKINGS!$A:$Q,7,FALSE),SETUP_RATES!$A:$H,2,FALSE)))</f>
        <v/>
      </c>
      <c r="C488" s="38" t="str">
        <f>IF(A488="","",VLOOKUP(A488,BOOKINGS!$A:$Q,10,FALSE)*VLOOKUP(VLOOKUP(A488,BOOKINGS!$A:$Q,7,FALSE),SETUP_RATES!$A:$H,6,FALSE))</f>
        <v/>
      </c>
      <c r="D488" s="38" t="str">
        <f>IF(A488="","",MAX(0,VLOOKUP(A488,TRIP_ACTUALS!$A:$O,8,FALSE)-SETUP_RATES!$K$2)*SETUP_RATES!$K$3)</f>
        <v/>
      </c>
      <c r="E488" s="38" t="str">
        <f>IF(A488="","",VLOOKUP(A488,TRIP_ACTUALS!$A:$O,9,FALSE)*VLOOKUP(VLOOKUP(A488,BOOKINGS!$A:$Q,7,FALSE),SETUP_RATES!$A:$H,5,FALSE))</f>
        <v/>
      </c>
      <c r="F488" s="38" t="str">
        <f>IF(A488="","",IFERROR(VLOOKUP(A488,TRIP_ACTUALS!$A:$O,5,FALSE),0))</f>
        <v/>
      </c>
      <c r="G488" s="38" t="str">
        <f>IF(A488="","",IFERROR(VLOOKUP(A488,TRIP_ACTUALS!$A:$O,6,FALSE),0)+IFERROR(VLOOKUP(A488,TRIP_ACTUALS!$A:$O,7,FALSE),0))</f>
        <v/>
      </c>
      <c r="H488" s="38" t="str">
        <f>IF(A488="","",IFERROR(VLOOKUP(VLOOKUP(A488,BOOKINGS!$A:$Q,7,FALSE),SETUP_RATES!$A:$H,8,FALSE),0))</f>
        <v/>
      </c>
      <c r="I488" s="38" t="str">
        <f t="shared" si="1"/>
        <v/>
      </c>
      <c r="J488" s="38" t="str">
        <f>IF(A488="","",IFERROR(VLOOKUP(A488,BOOKINGS!$A:$Q,13,FALSE),0))</f>
        <v/>
      </c>
      <c r="K488" s="38" t="str">
        <f t="shared" si="2"/>
        <v/>
      </c>
      <c r="L488" s="38" t="str">
        <f t="shared" si="3"/>
        <v/>
      </c>
    </row>
    <row r="489" ht="15.75" customHeight="1">
      <c r="A489" s="33" t="str">
        <f>IF(BOOKINGS!A489="","",BOOKINGS!A489)</f>
        <v/>
      </c>
      <c r="B489" s="38" t="str">
        <f>IF(A489="","",MAX(VLOOKUP(A489,BOOKINGS!$A:$Q,6,FALSE)*VLOOKUP(VLOOKUP(A489,BOOKINGS!$A:$Q,7,FALSE),SETUP_RATES!$A:$H,3,FALSE),VLOOKUP(VLOOKUP(A489,BOOKINGS!$A:$Q,7,FALSE),SETUP_RATES!$A:$H,2,FALSE)))</f>
        <v/>
      </c>
      <c r="C489" s="38" t="str">
        <f>IF(A489="","",VLOOKUP(A489,BOOKINGS!$A:$Q,10,FALSE)*VLOOKUP(VLOOKUP(A489,BOOKINGS!$A:$Q,7,FALSE),SETUP_RATES!$A:$H,6,FALSE))</f>
        <v/>
      </c>
      <c r="D489" s="38" t="str">
        <f>IF(A489="","",MAX(0,VLOOKUP(A489,TRIP_ACTUALS!$A:$O,8,FALSE)-SETUP_RATES!$K$2)*SETUP_RATES!$K$3)</f>
        <v/>
      </c>
      <c r="E489" s="38" t="str">
        <f>IF(A489="","",VLOOKUP(A489,TRIP_ACTUALS!$A:$O,9,FALSE)*VLOOKUP(VLOOKUP(A489,BOOKINGS!$A:$Q,7,FALSE),SETUP_RATES!$A:$H,5,FALSE))</f>
        <v/>
      </c>
      <c r="F489" s="38" t="str">
        <f>IF(A489="","",IFERROR(VLOOKUP(A489,TRIP_ACTUALS!$A:$O,5,FALSE),0))</f>
        <v/>
      </c>
      <c r="G489" s="38" t="str">
        <f>IF(A489="","",IFERROR(VLOOKUP(A489,TRIP_ACTUALS!$A:$O,6,FALSE),0)+IFERROR(VLOOKUP(A489,TRIP_ACTUALS!$A:$O,7,FALSE),0))</f>
        <v/>
      </c>
      <c r="H489" s="38" t="str">
        <f>IF(A489="","",IFERROR(VLOOKUP(VLOOKUP(A489,BOOKINGS!$A:$Q,7,FALSE),SETUP_RATES!$A:$H,8,FALSE),0))</f>
        <v/>
      </c>
      <c r="I489" s="38" t="str">
        <f t="shared" si="1"/>
        <v/>
      </c>
      <c r="J489" s="38" t="str">
        <f>IF(A489="","",IFERROR(VLOOKUP(A489,BOOKINGS!$A:$Q,13,FALSE),0))</f>
        <v/>
      </c>
      <c r="K489" s="38" t="str">
        <f t="shared" si="2"/>
        <v/>
      </c>
      <c r="L489" s="38" t="str">
        <f t="shared" si="3"/>
        <v/>
      </c>
    </row>
    <row r="490" ht="15.75" customHeight="1">
      <c r="A490" s="33" t="str">
        <f>IF(BOOKINGS!A490="","",BOOKINGS!A490)</f>
        <v/>
      </c>
      <c r="B490" s="38" t="str">
        <f>IF(A490="","",MAX(VLOOKUP(A490,BOOKINGS!$A:$Q,6,FALSE)*VLOOKUP(VLOOKUP(A490,BOOKINGS!$A:$Q,7,FALSE),SETUP_RATES!$A:$H,3,FALSE),VLOOKUP(VLOOKUP(A490,BOOKINGS!$A:$Q,7,FALSE),SETUP_RATES!$A:$H,2,FALSE)))</f>
        <v/>
      </c>
      <c r="C490" s="38" t="str">
        <f>IF(A490="","",VLOOKUP(A490,BOOKINGS!$A:$Q,10,FALSE)*VLOOKUP(VLOOKUP(A490,BOOKINGS!$A:$Q,7,FALSE),SETUP_RATES!$A:$H,6,FALSE))</f>
        <v/>
      </c>
      <c r="D490" s="38" t="str">
        <f>IF(A490="","",MAX(0,VLOOKUP(A490,TRIP_ACTUALS!$A:$O,8,FALSE)-SETUP_RATES!$K$2)*SETUP_RATES!$K$3)</f>
        <v/>
      </c>
      <c r="E490" s="38" t="str">
        <f>IF(A490="","",VLOOKUP(A490,TRIP_ACTUALS!$A:$O,9,FALSE)*VLOOKUP(VLOOKUP(A490,BOOKINGS!$A:$Q,7,FALSE),SETUP_RATES!$A:$H,5,FALSE))</f>
        <v/>
      </c>
      <c r="F490" s="38" t="str">
        <f>IF(A490="","",IFERROR(VLOOKUP(A490,TRIP_ACTUALS!$A:$O,5,FALSE),0))</f>
        <v/>
      </c>
      <c r="G490" s="38" t="str">
        <f>IF(A490="","",IFERROR(VLOOKUP(A490,TRIP_ACTUALS!$A:$O,6,FALSE),0)+IFERROR(VLOOKUP(A490,TRIP_ACTUALS!$A:$O,7,FALSE),0))</f>
        <v/>
      </c>
      <c r="H490" s="38" t="str">
        <f>IF(A490="","",IFERROR(VLOOKUP(VLOOKUP(A490,BOOKINGS!$A:$Q,7,FALSE),SETUP_RATES!$A:$H,8,FALSE),0))</f>
        <v/>
      </c>
      <c r="I490" s="38" t="str">
        <f t="shared" si="1"/>
        <v/>
      </c>
      <c r="J490" s="38" t="str">
        <f>IF(A490="","",IFERROR(VLOOKUP(A490,BOOKINGS!$A:$Q,13,FALSE),0))</f>
        <v/>
      </c>
      <c r="K490" s="38" t="str">
        <f t="shared" si="2"/>
        <v/>
      </c>
      <c r="L490" s="38" t="str">
        <f t="shared" si="3"/>
        <v/>
      </c>
    </row>
    <row r="491" ht="15.75" customHeight="1">
      <c r="A491" s="33" t="str">
        <f>IF(BOOKINGS!A491="","",BOOKINGS!A491)</f>
        <v/>
      </c>
      <c r="B491" s="38" t="str">
        <f>IF(A491="","",MAX(VLOOKUP(A491,BOOKINGS!$A:$Q,6,FALSE)*VLOOKUP(VLOOKUP(A491,BOOKINGS!$A:$Q,7,FALSE),SETUP_RATES!$A:$H,3,FALSE),VLOOKUP(VLOOKUP(A491,BOOKINGS!$A:$Q,7,FALSE),SETUP_RATES!$A:$H,2,FALSE)))</f>
        <v/>
      </c>
      <c r="C491" s="38" t="str">
        <f>IF(A491="","",VLOOKUP(A491,BOOKINGS!$A:$Q,10,FALSE)*VLOOKUP(VLOOKUP(A491,BOOKINGS!$A:$Q,7,FALSE),SETUP_RATES!$A:$H,6,FALSE))</f>
        <v/>
      </c>
      <c r="D491" s="38" t="str">
        <f>IF(A491="","",MAX(0,VLOOKUP(A491,TRIP_ACTUALS!$A:$O,8,FALSE)-SETUP_RATES!$K$2)*SETUP_RATES!$K$3)</f>
        <v/>
      </c>
      <c r="E491" s="38" t="str">
        <f>IF(A491="","",VLOOKUP(A491,TRIP_ACTUALS!$A:$O,9,FALSE)*VLOOKUP(VLOOKUP(A491,BOOKINGS!$A:$Q,7,FALSE),SETUP_RATES!$A:$H,5,FALSE))</f>
        <v/>
      </c>
      <c r="F491" s="38" t="str">
        <f>IF(A491="","",IFERROR(VLOOKUP(A491,TRIP_ACTUALS!$A:$O,5,FALSE),0))</f>
        <v/>
      </c>
      <c r="G491" s="38" t="str">
        <f>IF(A491="","",IFERROR(VLOOKUP(A491,TRIP_ACTUALS!$A:$O,6,FALSE),0)+IFERROR(VLOOKUP(A491,TRIP_ACTUALS!$A:$O,7,FALSE),0))</f>
        <v/>
      </c>
      <c r="H491" s="38" t="str">
        <f>IF(A491="","",IFERROR(VLOOKUP(VLOOKUP(A491,BOOKINGS!$A:$Q,7,FALSE),SETUP_RATES!$A:$H,8,FALSE),0))</f>
        <v/>
      </c>
      <c r="I491" s="38" t="str">
        <f t="shared" si="1"/>
        <v/>
      </c>
      <c r="J491" s="38" t="str">
        <f>IF(A491="","",IFERROR(VLOOKUP(A491,BOOKINGS!$A:$Q,13,FALSE),0))</f>
        <v/>
      </c>
      <c r="K491" s="38" t="str">
        <f t="shared" si="2"/>
        <v/>
      </c>
      <c r="L491" s="38" t="str">
        <f t="shared" si="3"/>
        <v/>
      </c>
    </row>
    <row r="492" ht="15.75" customHeight="1">
      <c r="A492" s="33" t="str">
        <f>IF(BOOKINGS!A492="","",BOOKINGS!A492)</f>
        <v/>
      </c>
      <c r="B492" s="38" t="str">
        <f>IF(A492="","",MAX(VLOOKUP(A492,BOOKINGS!$A:$Q,6,FALSE)*VLOOKUP(VLOOKUP(A492,BOOKINGS!$A:$Q,7,FALSE),SETUP_RATES!$A:$H,3,FALSE),VLOOKUP(VLOOKUP(A492,BOOKINGS!$A:$Q,7,FALSE),SETUP_RATES!$A:$H,2,FALSE)))</f>
        <v/>
      </c>
      <c r="C492" s="38" t="str">
        <f>IF(A492="","",VLOOKUP(A492,BOOKINGS!$A:$Q,10,FALSE)*VLOOKUP(VLOOKUP(A492,BOOKINGS!$A:$Q,7,FALSE),SETUP_RATES!$A:$H,6,FALSE))</f>
        <v/>
      </c>
      <c r="D492" s="38" t="str">
        <f>IF(A492="","",MAX(0,VLOOKUP(A492,TRIP_ACTUALS!$A:$O,8,FALSE)-SETUP_RATES!$K$2)*SETUP_RATES!$K$3)</f>
        <v/>
      </c>
      <c r="E492" s="38" t="str">
        <f>IF(A492="","",VLOOKUP(A492,TRIP_ACTUALS!$A:$O,9,FALSE)*VLOOKUP(VLOOKUP(A492,BOOKINGS!$A:$Q,7,FALSE),SETUP_RATES!$A:$H,5,FALSE))</f>
        <v/>
      </c>
      <c r="F492" s="38" t="str">
        <f>IF(A492="","",IFERROR(VLOOKUP(A492,TRIP_ACTUALS!$A:$O,5,FALSE),0))</f>
        <v/>
      </c>
      <c r="G492" s="38" t="str">
        <f>IF(A492="","",IFERROR(VLOOKUP(A492,TRIP_ACTUALS!$A:$O,6,FALSE),0)+IFERROR(VLOOKUP(A492,TRIP_ACTUALS!$A:$O,7,FALSE),0))</f>
        <v/>
      </c>
      <c r="H492" s="38" t="str">
        <f>IF(A492="","",IFERROR(VLOOKUP(VLOOKUP(A492,BOOKINGS!$A:$Q,7,FALSE),SETUP_RATES!$A:$H,8,FALSE),0))</f>
        <v/>
      </c>
      <c r="I492" s="38" t="str">
        <f t="shared" si="1"/>
        <v/>
      </c>
      <c r="J492" s="38" t="str">
        <f>IF(A492="","",IFERROR(VLOOKUP(A492,BOOKINGS!$A:$Q,13,FALSE),0))</f>
        <v/>
      </c>
      <c r="K492" s="38" t="str">
        <f t="shared" si="2"/>
        <v/>
      </c>
      <c r="L492" s="38" t="str">
        <f t="shared" si="3"/>
        <v/>
      </c>
    </row>
    <row r="493" ht="15.75" customHeight="1">
      <c r="A493" s="33" t="str">
        <f>IF(BOOKINGS!A493="","",BOOKINGS!A493)</f>
        <v/>
      </c>
      <c r="B493" s="38" t="str">
        <f>IF(A493="","",MAX(VLOOKUP(A493,BOOKINGS!$A:$Q,6,FALSE)*VLOOKUP(VLOOKUP(A493,BOOKINGS!$A:$Q,7,FALSE),SETUP_RATES!$A:$H,3,FALSE),VLOOKUP(VLOOKUP(A493,BOOKINGS!$A:$Q,7,FALSE),SETUP_RATES!$A:$H,2,FALSE)))</f>
        <v/>
      </c>
      <c r="C493" s="38" t="str">
        <f>IF(A493="","",VLOOKUP(A493,BOOKINGS!$A:$Q,10,FALSE)*VLOOKUP(VLOOKUP(A493,BOOKINGS!$A:$Q,7,FALSE),SETUP_RATES!$A:$H,6,FALSE))</f>
        <v/>
      </c>
      <c r="D493" s="38" t="str">
        <f>IF(A493="","",MAX(0,VLOOKUP(A493,TRIP_ACTUALS!$A:$O,8,FALSE)-SETUP_RATES!$K$2)*SETUP_RATES!$K$3)</f>
        <v/>
      </c>
      <c r="E493" s="38" t="str">
        <f>IF(A493="","",VLOOKUP(A493,TRIP_ACTUALS!$A:$O,9,FALSE)*VLOOKUP(VLOOKUP(A493,BOOKINGS!$A:$Q,7,FALSE),SETUP_RATES!$A:$H,5,FALSE))</f>
        <v/>
      </c>
      <c r="F493" s="38" t="str">
        <f>IF(A493="","",IFERROR(VLOOKUP(A493,TRIP_ACTUALS!$A:$O,5,FALSE),0))</f>
        <v/>
      </c>
      <c r="G493" s="38" t="str">
        <f>IF(A493="","",IFERROR(VLOOKUP(A493,TRIP_ACTUALS!$A:$O,6,FALSE),0)+IFERROR(VLOOKUP(A493,TRIP_ACTUALS!$A:$O,7,FALSE),0))</f>
        <v/>
      </c>
      <c r="H493" s="38" t="str">
        <f>IF(A493="","",IFERROR(VLOOKUP(VLOOKUP(A493,BOOKINGS!$A:$Q,7,FALSE),SETUP_RATES!$A:$H,8,FALSE),0))</f>
        <v/>
      </c>
      <c r="I493" s="38" t="str">
        <f t="shared" si="1"/>
        <v/>
      </c>
      <c r="J493" s="38" t="str">
        <f>IF(A493="","",IFERROR(VLOOKUP(A493,BOOKINGS!$A:$Q,13,FALSE),0))</f>
        <v/>
      </c>
      <c r="K493" s="38" t="str">
        <f t="shared" si="2"/>
        <v/>
      </c>
      <c r="L493" s="38" t="str">
        <f t="shared" si="3"/>
        <v/>
      </c>
    </row>
    <row r="494" ht="15.75" customHeight="1">
      <c r="A494" s="33" t="str">
        <f>IF(BOOKINGS!A494="","",BOOKINGS!A494)</f>
        <v/>
      </c>
      <c r="B494" s="38" t="str">
        <f>IF(A494="","",MAX(VLOOKUP(A494,BOOKINGS!$A:$Q,6,FALSE)*VLOOKUP(VLOOKUP(A494,BOOKINGS!$A:$Q,7,FALSE),SETUP_RATES!$A:$H,3,FALSE),VLOOKUP(VLOOKUP(A494,BOOKINGS!$A:$Q,7,FALSE),SETUP_RATES!$A:$H,2,FALSE)))</f>
        <v/>
      </c>
      <c r="C494" s="38" t="str">
        <f>IF(A494="","",VLOOKUP(A494,BOOKINGS!$A:$Q,10,FALSE)*VLOOKUP(VLOOKUP(A494,BOOKINGS!$A:$Q,7,FALSE),SETUP_RATES!$A:$H,6,FALSE))</f>
        <v/>
      </c>
      <c r="D494" s="38" t="str">
        <f>IF(A494="","",MAX(0,VLOOKUP(A494,TRIP_ACTUALS!$A:$O,8,FALSE)-SETUP_RATES!$K$2)*SETUP_RATES!$K$3)</f>
        <v/>
      </c>
      <c r="E494" s="38" t="str">
        <f>IF(A494="","",VLOOKUP(A494,TRIP_ACTUALS!$A:$O,9,FALSE)*VLOOKUP(VLOOKUP(A494,BOOKINGS!$A:$Q,7,FALSE),SETUP_RATES!$A:$H,5,FALSE))</f>
        <v/>
      </c>
      <c r="F494" s="38" t="str">
        <f>IF(A494="","",IFERROR(VLOOKUP(A494,TRIP_ACTUALS!$A:$O,5,FALSE),0))</f>
        <v/>
      </c>
      <c r="G494" s="38" t="str">
        <f>IF(A494="","",IFERROR(VLOOKUP(A494,TRIP_ACTUALS!$A:$O,6,FALSE),0)+IFERROR(VLOOKUP(A494,TRIP_ACTUALS!$A:$O,7,FALSE),0))</f>
        <v/>
      </c>
      <c r="H494" s="38" t="str">
        <f>IF(A494="","",IFERROR(VLOOKUP(VLOOKUP(A494,BOOKINGS!$A:$Q,7,FALSE),SETUP_RATES!$A:$H,8,FALSE),0))</f>
        <v/>
      </c>
      <c r="I494" s="38" t="str">
        <f t="shared" si="1"/>
        <v/>
      </c>
      <c r="J494" s="38" t="str">
        <f>IF(A494="","",IFERROR(VLOOKUP(A494,BOOKINGS!$A:$Q,13,FALSE),0))</f>
        <v/>
      </c>
      <c r="K494" s="38" t="str">
        <f t="shared" si="2"/>
        <v/>
      </c>
      <c r="L494" s="38" t="str">
        <f t="shared" si="3"/>
        <v/>
      </c>
    </row>
    <row r="495" ht="15.75" customHeight="1">
      <c r="A495" s="33" t="str">
        <f>IF(BOOKINGS!A495="","",BOOKINGS!A495)</f>
        <v/>
      </c>
      <c r="B495" s="38" t="str">
        <f>IF(A495="","",MAX(VLOOKUP(A495,BOOKINGS!$A:$Q,6,FALSE)*VLOOKUP(VLOOKUP(A495,BOOKINGS!$A:$Q,7,FALSE),SETUP_RATES!$A:$H,3,FALSE),VLOOKUP(VLOOKUP(A495,BOOKINGS!$A:$Q,7,FALSE),SETUP_RATES!$A:$H,2,FALSE)))</f>
        <v/>
      </c>
      <c r="C495" s="38" t="str">
        <f>IF(A495="","",VLOOKUP(A495,BOOKINGS!$A:$Q,10,FALSE)*VLOOKUP(VLOOKUP(A495,BOOKINGS!$A:$Q,7,FALSE),SETUP_RATES!$A:$H,6,FALSE))</f>
        <v/>
      </c>
      <c r="D495" s="38" t="str">
        <f>IF(A495="","",MAX(0,VLOOKUP(A495,TRIP_ACTUALS!$A:$O,8,FALSE)-SETUP_RATES!$K$2)*SETUP_RATES!$K$3)</f>
        <v/>
      </c>
      <c r="E495" s="38" t="str">
        <f>IF(A495="","",VLOOKUP(A495,TRIP_ACTUALS!$A:$O,9,FALSE)*VLOOKUP(VLOOKUP(A495,BOOKINGS!$A:$Q,7,FALSE),SETUP_RATES!$A:$H,5,FALSE))</f>
        <v/>
      </c>
      <c r="F495" s="38" t="str">
        <f>IF(A495="","",IFERROR(VLOOKUP(A495,TRIP_ACTUALS!$A:$O,5,FALSE),0))</f>
        <v/>
      </c>
      <c r="G495" s="38" t="str">
        <f>IF(A495="","",IFERROR(VLOOKUP(A495,TRIP_ACTUALS!$A:$O,6,FALSE),0)+IFERROR(VLOOKUP(A495,TRIP_ACTUALS!$A:$O,7,FALSE),0))</f>
        <v/>
      </c>
      <c r="H495" s="38" t="str">
        <f>IF(A495="","",IFERROR(VLOOKUP(VLOOKUP(A495,BOOKINGS!$A:$Q,7,FALSE),SETUP_RATES!$A:$H,8,FALSE),0))</f>
        <v/>
      </c>
      <c r="I495" s="38" t="str">
        <f t="shared" si="1"/>
        <v/>
      </c>
      <c r="J495" s="38" t="str">
        <f>IF(A495="","",IFERROR(VLOOKUP(A495,BOOKINGS!$A:$Q,13,FALSE),0))</f>
        <v/>
      </c>
      <c r="K495" s="38" t="str">
        <f t="shared" si="2"/>
        <v/>
      </c>
      <c r="L495" s="38" t="str">
        <f t="shared" si="3"/>
        <v/>
      </c>
    </row>
    <row r="496" ht="15.75" customHeight="1">
      <c r="A496" s="33" t="str">
        <f>IF(BOOKINGS!A496="","",BOOKINGS!A496)</f>
        <v/>
      </c>
      <c r="B496" s="38" t="str">
        <f>IF(A496="","",MAX(VLOOKUP(A496,BOOKINGS!$A:$Q,6,FALSE)*VLOOKUP(VLOOKUP(A496,BOOKINGS!$A:$Q,7,FALSE),SETUP_RATES!$A:$H,3,FALSE),VLOOKUP(VLOOKUP(A496,BOOKINGS!$A:$Q,7,FALSE),SETUP_RATES!$A:$H,2,FALSE)))</f>
        <v/>
      </c>
      <c r="C496" s="38" t="str">
        <f>IF(A496="","",VLOOKUP(A496,BOOKINGS!$A:$Q,10,FALSE)*VLOOKUP(VLOOKUP(A496,BOOKINGS!$A:$Q,7,FALSE),SETUP_RATES!$A:$H,6,FALSE))</f>
        <v/>
      </c>
      <c r="D496" s="38" t="str">
        <f>IF(A496="","",MAX(0,VLOOKUP(A496,TRIP_ACTUALS!$A:$O,8,FALSE)-SETUP_RATES!$K$2)*SETUP_RATES!$K$3)</f>
        <v/>
      </c>
      <c r="E496" s="38" t="str">
        <f>IF(A496="","",VLOOKUP(A496,TRIP_ACTUALS!$A:$O,9,FALSE)*VLOOKUP(VLOOKUP(A496,BOOKINGS!$A:$Q,7,FALSE),SETUP_RATES!$A:$H,5,FALSE))</f>
        <v/>
      </c>
      <c r="F496" s="38" t="str">
        <f>IF(A496="","",IFERROR(VLOOKUP(A496,TRIP_ACTUALS!$A:$O,5,FALSE),0))</f>
        <v/>
      </c>
      <c r="G496" s="38" t="str">
        <f>IF(A496="","",IFERROR(VLOOKUP(A496,TRIP_ACTUALS!$A:$O,6,FALSE),0)+IFERROR(VLOOKUP(A496,TRIP_ACTUALS!$A:$O,7,FALSE),0))</f>
        <v/>
      </c>
      <c r="H496" s="38" t="str">
        <f>IF(A496="","",IFERROR(VLOOKUP(VLOOKUP(A496,BOOKINGS!$A:$Q,7,FALSE),SETUP_RATES!$A:$H,8,FALSE),0))</f>
        <v/>
      </c>
      <c r="I496" s="38" t="str">
        <f t="shared" si="1"/>
        <v/>
      </c>
      <c r="J496" s="38" t="str">
        <f>IF(A496="","",IFERROR(VLOOKUP(A496,BOOKINGS!$A:$Q,13,FALSE),0))</f>
        <v/>
      </c>
      <c r="K496" s="38" t="str">
        <f t="shared" si="2"/>
        <v/>
      </c>
      <c r="L496" s="38" t="str">
        <f t="shared" si="3"/>
        <v/>
      </c>
    </row>
    <row r="497" ht="15.75" customHeight="1">
      <c r="A497" s="33" t="str">
        <f>IF(BOOKINGS!A497="","",BOOKINGS!A497)</f>
        <v/>
      </c>
      <c r="B497" s="38" t="str">
        <f>IF(A497="","",MAX(VLOOKUP(A497,BOOKINGS!$A:$Q,6,FALSE)*VLOOKUP(VLOOKUP(A497,BOOKINGS!$A:$Q,7,FALSE),SETUP_RATES!$A:$H,3,FALSE),VLOOKUP(VLOOKUP(A497,BOOKINGS!$A:$Q,7,FALSE),SETUP_RATES!$A:$H,2,FALSE)))</f>
        <v/>
      </c>
      <c r="C497" s="38" t="str">
        <f>IF(A497="","",VLOOKUP(A497,BOOKINGS!$A:$Q,10,FALSE)*VLOOKUP(VLOOKUP(A497,BOOKINGS!$A:$Q,7,FALSE),SETUP_RATES!$A:$H,6,FALSE))</f>
        <v/>
      </c>
      <c r="D497" s="38" t="str">
        <f>IF(A497="","",MAX(0,VLOOKUP(A497,TRIP_ACTUALS!$A:$O,8,FALSE)-SETUP_RATES!$K$2)*SETUP_RATES!$K$3)</f>
        <v/>
      </c>
      <c r="E497" s="38" t="str">
        <f>IF(A497="","",VLOOKUP(A497,TRIP_ACTUALS!$A:$O,9,FALSE)*VLOOKUP(VLOOKUP(A497,BOOKINGS!$A:$Q,7,FALSE),SETUP_RATES!$A:$H,5,FALSE))</f>
        <v/>
      </c>
      <c r="F497" s="38" t="str">
        <f>IF(A497="","",IFERROR(VLOOKUP(A497,TRIP_ACTUALS!$A:$O,5,FALSE),0))</f>
        <v/>
      </c>
      <c r="G497" s="38" t="str">
        <f>IF(A497="","",IFERROR(VLOOKUP(A497,TRIP_ACTUALS!$A:$O,6,FALSE),0)+IFERROR(VLOOKUP(A497,TRIP_ACTUALS!$A:$O,7,FALSE),0))</f>
        <v/>
      </c>
      <c r="H497" s="38" t="str">
        <f>IF(A497="","",IFERROR(VLOOKUP(VLOOKUP(A497,BOOKINGS!$A:$Q,7,FALSE),SETUP_RATES!$A:$H,8,FALSE),0))</f>
        <v/>
      </c>
      <c r="I497" s="38" t="str">
        <f t="shared" si="1"/>
        <v/>
      </c>
      <c r="J497" s="38" t="str">
        <f>IF(A497="","",IFERROR(VLOOKUP(A497,BOOKINGS!$A:$Q,13,FALSE),0))</f>
        <v/>
      </c>
      <c r="K497" s="38" t="str">
        <f t="shared" si="2"/>
        <v/>
      </c>
      <c r="L497" s="38" t="str">
        <f t="shared" si="3"/>
        <v/>
      </c>
    </row>
    <row r="498" ht="15.75" customHeight="1">
      <c r="A498" s="33" t="str">
        <f>IF(BOOKINGS!A498="","",BOOKINGS!A498)</f>
        <v/>
      </c>
      <c r="B498" s="38" t="str">
        <f>IF(A498="","",MAX(VLOOKUP(A498,BOOKINGS!$A:$Q,6,FALSE)*VLOOKUP(VLOOKUP(A498,BOOKINGS!$A:$Q,7,FALSE),SETUP_RATES!$A:$H,3,FALSE),VLOOKUP(VLOOKUP(A498,BOOKINGS!$A:$Q,7,FALSE),SETUP_RATES!$A:$H,2,FALSE)))</f>
        <v/>
      </c>
      <c r="C498" s="38" t="str">
        <f>IF(A498="","",VLOOKUP(A498,BOOKINGS!$A:$Q,10,FALSE)*VLOOKUP(VLOOKUP(A498,BOOKINGS!$A:$Q,7,FALSE),SETUP_RATES!$A:$H,6,FALSE))</f>
        <v/>
      </c>
      <c r="D498" s="38" t="str">
        <f>IF(A498="","",MAX(0,VLOOKUP(A498,TRIP_ACTUALS!$A:$O,8,FALSE)-SETUP_RATES!$K$2)*SETUP_RATES!$K$3)</f>
        <v/>
      </c>
      <c r="E498" s="38" t="str">
        <f>IF(A498="","",VLOOKUP(A498,TRIP_ACTUALS!$A:$O,9,FALSE)*VLOOKUP(VLOOKUP(A498,BOOKINGS!$A:$Q,7,FALSE),SETUP_RATES!$A:$H,5,FALSE))</f>
        <v/>
      </c>
      <c r="F498" s="38" t="str">
        <f>IF(A498="","",IFERROR(VLOOKUP(A498,TRIP_ACTUALS!$A:$O,5,FALSE),0))</f>
        <v/>
      </c>
      <c r="G498" s="38" t="str">
        <f>IF(A498="","",IFERROR(VLOOKUP(A498,TRIP_ACTUALS!$A:$O,6,FALSE),0)+IFERROR(VLOOKUP(A498,TRIP_ACTUALS!$A:$O,7,FALSE),0))</f>
        <v/>
      </c>
      <c r="H498" s="38" t="str">
        <f>IF(A498="","",IFERROR(VLOOKUP(VLOOKUP(A498,BOOKINGS!$A:$Q,7,FALSE),SETUP_RATES!$A:$H,8,FALSE),0))</f>
        <v/>
      </c>
      <c r="I498" s="38" t="str">
        <f t="shared" si="1"/>
        <v/>
      </c>
      <c r="J498" s="38" t="str">
        <f>IF(A498="","",IFERROR(VLOOKUP(A498,BOOKINGS!$A:$Q,13,FALSE),0))</f>
        <v/>
      </c>
      <c r="K498" s="38" t="str">
        <f t="shared" si="2"/>
        <v/>
      </c>
      <c r="L498" s="38" t="str">
        <f t="shared" si="3"/>
        <v/>
      </c>
    </row>
    <row r="499" ht="15.75" customHeight="1">
      <c r="A499" s="33" t="str">
        <f>IF(BOOKINGS!A499="","",BOOKINGS!A499)</f>
        <v/>
      </c>
      <c r="B499" s="38" t="str">
        <f>IF(A499="","",MAX(VLOOKUP(A499,BOOKINGS!$A:$Q,6,FALSE)*VLOOKUP(VLOOKUP(A499,BOOKINGS!$A:$Q,7,FALSE),SETUP_RATES!$A:$H,3,FALSE),VLOOKUP(VLOOKUP(A499,BOOKINGS!$A:$Q,7,FALSE),SETUP_RATES!$A:$H,2,FALSE)))</f>
        <v/>
      </c>
      <c r="C499" s="38" t="str">
        <f>IF(A499="","",VLOOKUP(A499,BOOKINGS!$A:$Q,10,FALSE)*VLOOKUP(VLOOKUP(A499,BOOKINGS!$A:$Q,7,FALSE),SETUP_RATES!$A:$H,6,FALSE))</f>
        <v/>
      </c>
      <c r="D499" s="38" t="str">
        <f>IF(A499="","",MAX(0,VLOOKUP(A499,TRIP_ACTUALS!$A:$O,8,FALSE)-SETUP_RATES!$K$2)*SETUP_RATES!$K$3)</f>
        <v/>
      </c>
      <c r="E499" s="38" t="str">
        <f>IF(A499="","",VLOOKUP(A499,TRIP_ACTUALS!$A:$O,9,FALSE)*VLOOKUP(VLOOKUP(A499,BOOKINGS!$A:$Q,7,FALSE),SETUP_RATES!$A:$H,5,FALSE))</f>
        <v/>
      </c>
      <c r="F499" s="38" t="str">
        <f>IF(A499="","",IFERROR(VLOOKUP(A499,TRIP_ACTUALS!$A:$O,5,FALSE),0))</f>
        <v/>
      </c>
      <c r="G499" s="38" t="str">
        <f>IF(A499="","",IFERROR(VLOOKUP(A499,TRIP_ACTUALS!$A:$O,6,FALSE),0)+IFERROR(VLOOKUP(A499,TRIP_ACTUALS!$A:$O,7,FALSE),0))</f>
        <v/>
      </c>
      <c r="H499" s="38" t="str">
        <f>IF(A499="","",IFERROR(VLOOKUP(VLOOKUP(A499,BOOKINGS!$A:$Q,7,FALSE),SETUP_RATES!$A:$H,8,FALSE),0))</f>
        <v/>
      </c>
      <c r="I499" s="38" t="str">
        <f t="shared" si="1"/>
        <v/>
      </c>
      <c r="J499" s="38" t="str">
        <f>IF(A499="","",IFERROR(VLOOKUP(A499,BOOKINGS!$A:$Q,13,FALSE),0))</f>
        <v/>
      </c>
      <c r="K499" s="38" t="str">
        <f t="shared" si="2"/>
        <v/>
      </c>
      <c r="L499" s="38" t="str">
        <f t="shared" si="3"/>
        <v/>
      </c>
    </row>
    <row r="500" ht="15.75" customHeight="1">
      <c r="A500" s="33" t="str">
        <f>IF(BOOKINGS!A500="","",BOOKINGS!A500)</f>
        <v/>
      </c>
      <c r="B500" s="38" t="str">
        <f>IF(A500="","",MAX(VLOOKUP(A500,BOOKINGS!$A:$Q,6,FALSE)*VLOOKUP(VLOOKUP(A500,BOOKINGS!$A:$Q,7,FALSE),SETUP_RATES!$A:$H,3,FALSE),VLOOKUP(VLOOKUP(A500,BOOKINGS!$A:$Q,7,FALSE),SETUP_RATES!$A:$H,2,FALSE)))</f>
        <v/>
      </c>
      <c r="C500" s="38" t="str">
        <f>IF(A500="","",VLOOKUP(A500,BOOKINGS!$A:$Q,10,FALSE)*VLOOKUP(VLOOKUP(A500,BOOKINGS!$A:$Q,7,FALSE),SETUP_RATES!$A:$H,6,FALSE))</f>
        <v/>
      </c>
      <c r="D500" s="38" t="str">
        <f>IF(A500="","",MAX(0,VLOOKUP(A500,TRIP_ACTUALS!$A:$O,8,FALSE)-SETUP_RATES!$K$2)*SETUP_RATES!$K$3)</f>
        <v/>
      </c>
      <c r="E500" s="38" t="str">
        <f>IF(A500="","",VLOOKUP(A500,TRIP_ACTUALS!$A:$O,9,FALSE)*VLOOKUP(VLOOKUP(A500,BOOKINGS!$A:$Q,7,FALSE),SETUP_RATES!$A:$H,5,FALSE))</f>
        <v/>
      </c>
      <c r="F500" s="38" t="str">
        <f>IF(A500="","",IFERROR(VLOOKUP(A500,TRIP_ACTUALS!$A:$O,5,FALSE),0))</f>
        <v/>
      </c>
      <c r="G500" s="38" t="str">
        <f>IF(A500="","",IFERROR(VLOOKUP(A500,TRIP_ACTUALS!$A:$O,6,FALSE),0)+IFERROR(VLOOKUP(A500,TRIP_ACTUALS!$A:$O,7,FALSE),0))</f>
        <v/>
      </c>
      <c r="H500" s="38" t="str">
        <f>IF(A500="","",IFERROR(VLOOKUP(VLOOKUP(A500,BOOKINGS!$A:$Q,7,FALSE),SETUP_RATES!$A:$H,8,FALSE),0))</f>
        <v/>
      </c>
      <c r="I500" s="38" t="str">
        <f t="shared" si="1"/>
        <v/>
      </c>
      <c r="J500" s="38" t="str">
        <f>IF(A500="","",IFERROR(VLOOKUP(A500,BOOKINGS!$A:$Q,13,FALSE),0))</f>
        <v/>
      </c>
      <c r="K500" s="38" t="str">
        <f t="shared" si="2"/>
        <v/>
      </c>
      <c r="L500" s="38" t="str">
        <f t="shared" si="3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29"/>
    <col customWidth="1" min="3" max="3" width="10.43"/>
    <col customWidth="1" min="4" max="4" width="5.86"/>
    <col customWidth="1" min="5" max="5" width="10.14"/>
    <col customWidth="1" min="6" max="6" width="17.43"/>
    <col customWidth="1" min="7" max="7" width="15.29"/>
    <col customWidth="1" min="8" max="8" width="13.14"/>
    <col customWidth="1" hidden="1" min="9" max="17" width="8.71"/>
    <col customWidth="1" min="18" max="26" width="8.71"/>
  </cols>
  <sheetData>
    <row r="1" ht="16.5" customHeight="1">
      <c r="A1" s="29" t="s">
        <v>125</v>
      </c>
      <c r="B1" s="29" t="s">
        <v>164</v>
      </c>
      <c r="C1" s="29" t="s">
        <v>163</v>
      </c>
      <c r="D1" s="29" t="s">
        <v>167</v>
      </c>
      <c r="E1" s="29" t="s">
        <v>168</v>
      </c>
      <c r="F1" s="3" t="s">
        <v>16</v>
      </c>
      <c r="G1" s="3" t="s">
        <v>169</v>
      </c>
      <c r="H1" s="3" t="s">
        <v>170</v>
      </c>
      <c r="I1" s="3"/>
      <c r="J1" s="3"/>
      <c r="K1" s="3"/>
      <c r="L1" s="3"/>
      <c r="M1" s="3"/>
      <c r="N1" s="3"/>
      <c r="O1" s="3"/>
      <c r="P1" s="3"/>
      <c r="Q1" s="3"/>
    </row>
    <row r="2" ht="16.5" customHeight="1">
      <c r="A2" s="31" t="str">
        <f>IF(COSTING!A2="","",COSTING!A2)</f>
        <v/>
      </c>
      <c r="B2" s="37" t="str">
        <f>IF(A2="","",COSTING!J2)</f>
        <v/>
      </c>
      <c r="C2" s="37" t="str">
        <f>IF(A2="","",COSTING!I2)</f>
        <v/>
      </c>
      <c r="D2" s="37" t="str">
        <f t="shared" ref="D2:D500" si="1">IF(A2="","",B2-C2)</f>
        <v/>
      </c>
      <c r="E2" s="41" t="str">
        <f t="shared" ref="E2:E500" si="2">IFERROR(D2/B2,"")</f>
        <v/>
      </c>
      <c r="F2" s="42" t="str">
        <f>IF(A2="","",SETUP_RATES!$K$5)</f>
        <v/>
      </c>
      <c r="G2" s="42" t="str">
        <f t="shared" ref="G2:G500" si="3">IF(A2="","",IF(E2&gt;=F2,"YES","NO"))</f>
        <v/>
      </c>
      <c r="H2" s="33" t="str">
        <f t="shared" ref="H2:H500" si="4">IF(A2="","",IF(D2&lt;0,"LOSS",IF(E2&lt;F2,"LOW MARGIN","HEALTHY")))</f>
        <v/>
      </c>
    </row>
    <row r="3" ht="16.5" customHeight="1">
      <c r="A3" s="33" t="str">
        <f>IF(COSTING!A3="","",COSTING!A3)</f>
        <v/>
      </c>
      <c r="B3" s="38" t="str">
        <f>IF(A3="","",COSTING!J3)</f>
        <v/>
      </c>
      <c r="C3" s="38" t="str">
        <f>IF(A3="","",COSTING!I3)</f>
        <v/>
      </c>
      <c r="D3" s="38" t="str">
        <f t="shared" si="1"/>
        <v/>
      </c>
      <c r="E3" s="42" t="str">
        <f t="shared" si="2"/>
        <v/>
      </c>
      <c r="F3" s="42" t="str">
        <f>IF(A3="","",SETUP_RATES!$K$5)</f>
        <v/>
      </c>
      <c r="G3" s="42" t="str">
        <f t="shared" si="3"/>
        <v/>
      </c>
      <c r="H3" s="33" t="str">
        <f t="shared" si="4"/>
        <v/>
      </c>
    </row>
    <row r="4" ht="16.5" customHeight="1">
      <c r="A4" s="33" t="str">
        <f>IF(COSTING!A4="","",COSTING!A4)</f>
        <v/>
      </c>
      <c r="B4" s="38" t="str">
        <f>IF(A4="","",COSTING!J4)</f>
        <v/>
      </c>
      <c r="C4" s="38" t="str">
        <f>IF(A4="","",COSTING!I4)</f>
        <v/>
      </c>
      <c r="D4" s="38" t="str">
        <f t="shared" si="1"/>
        <v/>
      </c>
      <c r="E4" s="42" t="str">
        <f t="shared" si="2"/>
        <v/>
      </c>
      <c r="F4" s="42" t="str">
        <f>IF(A4="","",SETUP_RATES!$K$5)</f>
        <v/>
      </c>
      <c r="G4" s="42" t="str">
        <f t="shared" si="3"/>
        <v/>
      </c>
      <c r="H4" s="33" t="str">
        <f t="shared" si="4"/>
        <v/>
      </c>
    </row>
    <row r="5" ht="16.5" customHeight="1">
      <c r="A5" s="33" t="str">
        <f>IF(COSTING!A5="","",COSTING!A5)</f>
        <v/>
      </c>
      <c r="B5" s="38" t="str">
        <f>IF(A5="","",COSTING!J5)</f>
        <v/>
      </c>
      <c r="C5" s="38" t="str">
        <f>IF(A5="","",COSTING!I5)</f>
        <v/>
      </c>
      <c r="D5" s="38" t="str">
        <f t="shared" si="1"/>
        <v/>
      </c>
      <c r="E5" s="42" t="str">
        <f t="shared" si="2"/>
        <v/>
      </c>
      <c r="F5" s="42" t="str">
        <f>IF(A5="","",SETUP_RATES!$K$5)</f>
        <v/>
      </c>
      <c r="G5" s="42" t="str">
        <f t="shared" si="3"/>
        <v/>
      </c>
      <c r="H5" s="33" t="str">
        <f t="shared" si="4"/>
        <v/>
      </c>
    </row>
    <row r="6" ht="16.5" customHeight="1">
      <c r="A6" s="33" t="str">
        <f>IF(COSTING!A6="","",COSTING!A6)</f>
        <v/>
      </c>
      <c r="B6" s="38" t="str">
        <f>IF(A6="","",COSTING!J6)</f>
        <v/>
      </c>
      <c r="C6" s="38" t="str">
        <f>IF(A6="","",COSTING!I6)</f>
        <v/>
      </c>
      <c r="D6" s="38" t="str">
        <f t="shared" si="1"/>
        <v/>
      </c>
      <c r="E6" s="42" t="str">
        <f t="shared" si="2"/>
        <v/>
      </c>
      <c r="F6" s="42" t="str">
        <f>IF(A6="","",SETUP_RATES!$K$5)</f>
        <v/>
      </c>
      <c r="G6" s="42" t="str">
        <f t="shared" si="3"/>
        <v/>
      </c>
      <c r="H6" s="33" t="str">
        <f t="shared" si="4"/>
        <v/>
      </c>
    </row>
    <row r="7" ht="16.5" customHeight="1">
      <c r="A7" s="33" t="str">
        <f>IF(COSTING!A7="","",COSTING!A7)</f>
        <v/>
      </c>
      <c r="B7" s="38" t="str">
        <f>IF(A7="","",COSTING!J7)</f>
        <v/>
      </c>
      <c r="C7" s="38" t="str">
        <f>IF(A7="","",COSTING!I7)</f>
        <v/>
      </c>
      <c r="D7" s="38" t="str">
        <f t="shared" si="1"/>
        <v/>
      </c>
      <c r="E7" s="42" t="str">
        <f t="shared" si="2"/>
        <v/>
      </c>
      <c r="F7" s="42" t="str">
        <f>IF(A7="","",SETUP_RATES!$K$5)</f>
        <v/>
      </c>
      <c r="G7" s="42" t="str">
        <f t="shared" si="3"/>
        <v/>
      </c>
      <c r="H7" s="33" t="str">
        <f t="shared" si="4"/>
        <v/>
      </c>
    </row>
    <row r="8" ht="16.5" customHeight="1">
      <c r="A8" s="33" t="str">
        <f>IF(COSTING!A8="","",COSTING!A8)</f>
        <v/>
      </c>
      <c r="B8" s="38" t="str">
        <f>IF(A8="","",COSTING!J8)</f>
        <v/>
      </c>
      <c r="C8" s="38" t="str">
        <f>IF(A8="","",COSTING!I8)</f>
        <v/>
      </c>
      <c r="D8" s="38" t="str">
        <f t="shared" si="1"/>
        <v/>
      </c>
      <c r="E8" s="42" t="str">
        <f t="shared" si="2"/>
        <v/>
      </c>
      <c r="F8" s="42" t="str">
        <f>IF(A8="","",SETUP_RATES!$K$5)</f>
        <v/>
      </c>
      <c r="G8" s="42" t="str">
        <f t="shared" si="3"/>
        <v/>
      </c>
      <c r="H8" s="33" t="str">
        <f t="shared" si="4"/>
        <v/>
      </c>
    </row>
    <row r="9" ht="16.5" customHeight="1">
      <c r="A9" s="33" t="str">
        <f>IF(COSTING!A9="","",COSTING!A9)</f>
        <v/>
      </c>
      <c r="B9" s="38" t="str">
        <f>IF(A9="","",COSTING!J9)</f>
        <v/>
      </c>
      <c r="C9" s="38" t="str">
        <f>IF(A9="","",COSTING!I9)</f>
        <v/>
      </c>
      <c r="D9" s="38" t="str">
        <f t="shared" si="1"/>
        <v/>
      </c>
      <c r="E9" s="42" t="str">
        <f t="shared" si="2"/>
        <v/>
      </c>
      <c r="F9" s="42" t="str">
        <f>IF(A9="","",SETUP_RATES!$K$5)</f>
        <v/>
      </c>
      <c r="G9" s="42" t="str">
        <f t="shared" si="3"/>
        <v/>
      </c>
      <c r="H9" s="33" t="str">
        <f t="shared" si="4"/>
        <v/>
      </c>
    </row>
    <row r="10" ht="16.5" customHeight="1">
      <c r="A10" s="33" t="str">
        <f>IF(COSTING!A10="","",COSTING!A10)</f>
        <v/>
      </c>
      <c r="B10" s="38" t="str">
        <f>IF(A10="","",COSTING!J10)</f>
        <v/>
      </c>
      <c r="C10" s="38" t="str">
        <f>IF(A10="","",COSTING!I10)</f>
        <v/>
      </c>
      <c r="D10" s="38" t="str">
        <f t="shared" si="1"/>
        <v/>
      </c>
      <c r="E10" s="42" t="str">
        <f t="shared" si="2"/>
        <v/>
      </c>
      <c r="F10" s="42" t="str">
        <f>IF(A10="","",SETUP_RATES!$K$5)</f>
        <v/>
      </c>
      <c r="G10" s="42" t="str">
        <f t="shared" si="3"/>
        <v/>
      </c>
      <c r="H10" s="33" t="str">
        <f t="shared" si="4"/>
        <v/>
      </c>
    </row>
    <row r="11">
      <c r="A11" s="33" t="str">
        <f>IF(COSTING!A11="","",COSTING!A11)</f>
        <v/>
      </c>
      <c r="B11" s="38" t="str">
        <f>IF(A11="","",COSTING!J11)</f>
        <v/>
      </c>
      <c r="C11" s="38" t="str">
        <f>IF(A11="","",COSTING!I11)</f>
        <v/>
      </c>
      <c r="D11" s="38" t="str">
        <f t="shared" si="1"/>
        <v/>
      </c>
      <c r="E11" s="42" t="str">
        <f t="shared" si="2"/>
        <v/>
      </c>
      <c r="F11" s="42" t="str">
        <f>IF(A11="","",SETUP_RATES!$K$5)</f>
        <v/>
      </c>
      <c r="G11" s="42" t="str">
        <f t="shared" si="3"/>
        <v/>
      </c>
      <c r="H11" s="33" t="str">
        <f t="shared" si="4"/>
        <v/>
      </c>
    </row>
    <row r="12">
      <c r="A12" s="33" t="str">
        <f>IF(COSTING!A12="","",COSTING!A12)</f>
        <v/>
      </c>
      <c r="B12" s="38" t="str">
        <f>IF(A12="","",COSTING!J12)</f>
        <v/>
      </c>
      <c r="C12" s="38" t="str">
        <f>IF(A12="","",COSTING!I12)</f>
        <v/>
      </c>
      <c r="D12" s="38" t="str">
        <f t="shared" si="1"/>
        <v/>
      </c>
      <c r="E12" s="42" t="str">
        <f t="shared" si="2"/>
        <v/>
      </c>
      <c r="F12" s="42" t="str">
        <f>IF(A12="","",SETUP_RATES!$K$5)</f>
        <v/>
      </c>
      <c r="G12" s="42" t="str">
        <f t="shared" si="3"/>
        <v/>
      </c>
      <c r="H12" s="33" t="str">
        <f t="shared" si="4"/>
        <v/>
      </c>
    </row>
    <row r="13">
      <c r="A13" s="33" t="str">
        <f>IF(COSTING!A13="","",COSTING!A13)</f>
        <v/>
      </c>
      <c r="B13" s="38" t="str">
        <f>IF(A13="","",COSTING!J13)</f>
        <v/>
      </c>
      <c r="C13" s="38" t="str">
        <f>IF(A13="","",COSTING!I13)</f>
        <v/>
      </c>
      <c r="D13" s="38" t="str">
        <f t="shared" si="1"/>
        <v/>
      </c>
      <c r="E13" s="42" t="str">
        <f t="shared" si="2"/>
        <v/>
      </c>
      <c r="F13" s="42" t="str">
        <f>IF(A13="","",SETUP_RATES!$K$5)</f>
        <v/>
      </c>
      <c r="G13" s="42" t="str">
        <f t="shared" si="3"/>
        <v/>
      </c>
      <c r="H13" s="33" t="str">
        <f t="shared" si="4"/>
        <v/>
      </c>
    </row>
    <row r="14">
      <c r="A14" s="33" t="str">
        <f>IF(COSTING!A14="","",COSTING!A14)</f>
        <v/>
      </c>
      <c r="B14" s="38" t="str">
        <f>IF(A14="","",COSTING!J14)</f>
        <v/>
      </c>
      <c r="C14" s="38" t="str">
        <f>IF(A14="","",COSTING!I14)</f>
        <v/>
      </c>
      <c r="D14" s="38" t="str">
        <f t="shared" si="1"/>
        <v/>
      </c>
      <c r="E14" s="42" t="str">
        <f t="shared" si="2"/>
        <v/>
      </c>
      <c r="F14" s="42" t="str">
        <f>IF(A14="","",SETUP_RATES!$K$5)</f>
        <v/>
      </c>
      <c r="G14" s="42" t="str">
        <f t="shared" si="3"/>
        <v/>
      </c>
      <c r="H14" s="33" t="str">
        <f t="shared" si="4"/>
        <v/>
      </c>
    </row>
    <row r="15">
      <c r="A15" s="33" t="str">
        <f>IF(COSTING!A15="","",COSTING!A15)</f>
        <v/>
      </c>
      <c r="B15" s="38" t="str">
        <f>IF(A15="","",COSTING!J15)</f>
        <v/>
      </c>
      <c r="C15" s="38" t="str">
        <f>IF(A15="","",COSTING!I15)</f>
        <v/>
      </c>
      <c r="D15" s="38" t="str">
        <f t="shared" si="1"/>
        <v/>
      </c>
      <c r="E15" s="42" t="str">
        <f t="shared" si="2"/>
        <v/>
      </c>
      <c r="F15" s="42" t="str">
        <f>IF(A15="","",SETUP_RATES!$K$5)</f>
        <v/>
      </c>
      <c r="G15" s="42" t="str">
        <f t="shared" si="3"/>
        <v/>
      </c>
      <c r="H15" s="33" t="str">
        <f t="shared" si="4"/>
        <v/>
      </c>
    </row>
    <row r="16">
      <c r="A16" s="33" t="str">
        <f>IF(COSTING!A16="","",COSTING!A16)</f>
        <v/>
      </c>
      <c r="B16" s="38" t="str">
        <f>IF(A16="","",COSTING!J16)</f>
        <v/>
      </c>
      <c r="C16" s="38" t="str">
        <f>IF(A16="","",COSTING!I16)</f>
        <v/>
      </c>
      <c r="D16" s="38" t="str">
        <f t="shared" si="1"/>
        <v/>
      </c>
      <c r="E16" s="42" t="str">
        <f t="shared" si="2"/>
        <v/>
      </c>
      <c r="F16" s="42" t="str">
        <f>IF(A16="","",SETUP_RATES!$K$5)</f>
        <v/>
      </c>
      <c r="G16" s="42" t="str">
        <f t="shared" si="3"/>
        <v/>
      </c>
      <c r="H16" s="33" t="str">
        <f t="shared" si="4"/>
        <v/>
      </c>
    </row>
    <row r="17">
      <c r="A17" s="33" t="str">
        <f>IF(COSTING!A17="","",COSTING!A17)</f>
        <v/>
      </c>
      <c r="B17" s="38" t="str">
        <f>IF(A17="","",COSTING!J17)</f>
        <v/>
      </c>
      <c r="C17" s="38" t="str">
        <f>IF(A17="","",COSTING!I17)</f>
        <v/>
      </c>
      <c r="D17" s="38" t="str">
        <f t="shared" si="1"/>
        <v/>
      </c>
      <c r="E17" s="42" t="str">
        <f t="shared" si="2"/>
        <v/>
      </c>
      <c r="F17" s="42" t="str">
        <f>IF(A17="","",SETUP_RATES!$K$5)</f>
        <v/>
      </c>
      <c r="G17" s="42" t="str">
        <f t="shared" si="3"/>
        <v/>
      </c>
      <c r="H17" s="33" t="str">
        <f t="shared" si="4"/>
        <v/>
      </c>
    </row>
    <row r="18">
      <c r="A18" s="33" t="str">
        <f>IF(COSTING!A18="","",COSTING!A18)</f>
        <v/>
      </c>
      <c r="B18" s="38" t="str">
        <f>IF(A18="","",COSTING!J18)</f>
        <v/>
      </c>
      <c r="C18" s="38" t="str">
        <f>IF(A18="","",COSTING!I18)</f>
        <v/>
      </c>
      <c r="D18" s="38" t="str">
        <f t="shared" si="1"/>
        <v/>
      </c>
      <c r="E18" s="42" t="str">
        <f t="shared" si="2"/>
        <v/>
      </c>
      <c r="F18" s="42" t="str">
        <f>IF(A18="","",SETUP_RATES!$K$5)</f>
        <v/>
      </c>
      <c r="G18" s="42" t="str">
        <f t="shared" si="3"/>
        <v/>
      </c>
      <c r="H18" s="33" t="str">
        <f t="shared" si="4"/>
        <v/>
      </c>
    </row>
    <row r="19">
      <c r="A19" s="33" t="str">
        <f>IF(COSTING!A19="","",COSTING!A19)</f>
        <v/>
      </c>
      <c r="B19" s="38" t="str">
        <f>IF(A19="","",COSTING!J19)</f>
        <v/>
      </c>
      <c r="C19" s="38" t="str">
        <f>IF(A19="","",COSTING!I19)</f>
        <v/>
      </c>
      <c r="D19" s="38" t="str">
        <f t="shared" si="1"/>
        <v/>
      </c>
      <c r="E19" s="42" t="str">
        <f t="shared" si="2"/>
        <v/>
      </c>
      <c r="F19" s="42" t="str">
        <f>IF(A19="","",SETUP_RATES!$K$5)</f>
        <v/>
      </c>
      <c r="G19" s="42" t="str">
        <f t="shared" si="3"/>
        <v/>
      </c>
      <c r="H19" s="33" t="str">
        <f t="shared" si="4"/>
        <v/>
      </c>
    </row>
    <row r="20">
      <c r="A20" s="33" t="str">
        <f>IF(COSTING!A20="","",COSTING!A20)</f>
        <v/>
      </c>
      <c r="B20" s="38" t="str">
        <f>IF(A20="","",COSTING!J20)</f>
        <v/>
      </c>
      <c r="C20" s="38" t="str">
        <f>IF(A20="","",COSTING!I20)</f>
        <v/>
      </c>
      <c r="D20" s="38" t="str">
        <f t="shared" si="1"/>
        <v/>
      </c>
      <c r="E20" s="42" t="str">
        <f t="shared" si="2"/>
        <v/>
      </c>
      <c r="F20" s="42" t="str">
        <f>IF(A20="","",SETUP_RATES!$K$5)</f>
        <v/>
      </c>
      <c r="G20" s="42" t="str">
        <f t="shared" si="3"/>
        <v/>
      </c>
      <c r="H20" s="33" t="str">
        <f t="shared" si="4"/>
        <v/>
      </c>
    </row>
    <row r="21" ht="15.75" customHeight="1">
      <c r="A21" s="33" t="str">
        <f>IF(COSTING!A21="","",COSTING!A21)</f>
        <v/>
      </c>
      <c r="B21" s="38" t="str">
        <f>IF(A21="","",COSTING!J21)</f>
        <v/>
      </c>
      <c r="C21" s="38" t="str">
        <f>IF(A21="","",COSTING!I21)</f>
        <v/>
      </c>
      <c r="D21" s="38" t="str">
        <f t="shared" si="1"/>
        <v/>
      </c>
      <c r="E21" s="42" t="str">
        <f t="shared" si="2"/>
        <v/>
      </c>
      <c r="F21" s="42" t="str">
        <f>IF(A21="","",SETUP_RATES!$K$5)</f>
        <v/>
      </c>
      <c r="G21" s="42" t="str">
        <f t="shared" si="3"/>
        <v/>
      </c>
      <c r="H21" s="33" t="str">
        <f t="shared" si="4"/>
        <v/>
      </c>
    </row>
    <row r="22" ht="15.75" customHeight="1">
      <c r="A22" s="33" t="str">
        <f>IF(COSTING!A22="","",COSTING!A22)</f>
        <v/>
      </c>
      <c r="B22" s="38" t="str">
        <f>IF(A22="","",COSTING!J22)</f>
        <v/>
      </c>
      <c r="C22" s="38" t="str">
        <f>IF(A22="","",COSTING!I22)</f>
        <v/>
      </c>
      <c r="D22" s="38" t="str">
        <f t="shared" si="1"/>
        <v/>
      </c>
      <c r="E22" s="42" t="str">
        <f t="shared" si="2"/>
        <v/>
      </c>
      <c r="F22" s="42" t="str">
        <f>IF(A22="","",SETUP_RATES!$K$5)</f>
        <v/>
      </c>
      <c r="G22" s="42" t="str">
        <f t="shared" si="3"/>
        <v/>
      </c>
      <c r="H22" s="33" t="str">
        <f t="shared" si="4"/>
        <v/>
      </c>
    </row>
    <row r="23" ht="15.75" customHeight="1">
      <c r="A23" s="33" t="str">
        <f>IF(COSTING!A23="","",COSTING!A23)</f>
        <v/>
      </c>
      <c r="B23" s="38" t="str">
        <f>IF(A23="","",COSTING!J23)</f>
        <v/>
      </c>
      <c r="C23" s="38" t="str">
        <f>IF(A23="","",COSTING!I23)</f>
        <v/>
      </c>
      <c r="D23" s="38" t="str">
        <f t="shared" si="1"/>
        <v/>
      </c>
      <c r="E23" s="42" t="str">
        <f t="shared" si="2"/>
        <v/>
      </c>
      <c r="F23" s="42" t="str">
        <f>IF(A23="","",SETUP_RATES!$K$5)</f>
        <v/>
      </c>
      <c r="G23" s="42" t="str">
        <f t="shared" si="3"/>
        <v/>
      </c>
      <c r="H23" s="33" t="str">
        <f t="shared" si="4"/>
        <v/>
      </c>
    </row>
    <row r="24" ht="15.75" customHeight="1">
      <c r="A24" s="33" t="str">
        <f>IF(COSTING!A24="","",COSTING!A24)</f>
        <v/>
      </c>
      <c r="B24" s="38" t="str">
        <f>IF(A24="","",COSTING!J24)</f>
        <v/>
      </c>
      <c r="C24" s="38" t="str">
        <f>IF(A24="","",COSTING!I24)</f>
        <v/>
      </c>
      <c r="D24" s="38" t="str">
        <f t="shared" si="1"/>
        <v/>
      </c>
      <c r="E24" s="42" t="str">
        <f t="shared" si="2"/>
        <v/>
      </c>
      <c r="F24" s="42" t="str">
        <f>IF(A24="","",SETUP_RATES!$K$5)</f>
        <v/>
      </c>
      <c r="G24" s="42" t="str">
        <f t="shared" si="3"/>
        <v/>
      </c>
      <c r="H24" s="33" t="str">
        <f t="shared" si="4"/>
        <v/>
      </c>
    </row>
    <row r="25" ht="15.75" customHeight="1">
      <c r="A25" s="33" t="str">
        <f>IF(COSTING!A25="","",COSTING!A25)</f>
        <v/>
      </c>
      <c r="B25" s="38" t="str">
        <f>IF(A25="","",COSTING!J25)</f>
        <v/>
      </c>
      <c r="C25" s="38" t="str">
        <f>IF(A25="","",COSTING!I25)</f>
        <v/>
      </c>
      <c r="D25" s="38" t="str">
        <f t="shared" si="1"/>
        <v/>
      </c>
      <c r="E25" s="42" t="str">
        <f t="shared" si="2"/>
        <v/>
      </c>
      <c r="F25" s="42" t="str">
        <f>IF(A25="","",SETUP_RATES!$K$5)</f>
        <v/>
      </c>
      <c r="G25" s="42" t="str">
        <f t="shared" si="3"/>
        <v/>
      </c>
      <c r="H25" s="33" t="str">
        <f t="shared" si="4"/>
        <v/>
      </c>
    </row>
    <row r="26" ht="15.75" customHeight="1">
      <c r="A26" s="33" t="str">
        <f>IF(COSTING!A26="","",COSTING!A26)</f>
        <v/>
      </c>
      <c r="B26" s="38" t="str">
        <f>IF(A26="","",COSTING!J26)</f>
        <v/>
      </c>
      <c r="C26" s="38" t="str">
        <f>IF(A26="","",COSTING!I26)</f>
        <v/>
      </c>
      <c r="D26" s="38" t="str">
        <f t="shared" si="1"/>
        <v/>
      </c>
      <c r="E26" s="42" t="str">
        <f t="shared" si="2"/>
        <v/>
      </c>
      <c r="F26" s="42" t="str">
        <f>IF(A26="","",SETUP_RATES!$K$5)</f>
        <v/>
      </c>
      <c r="G26" s="42" t="str">
        <f t="shared" si="3"/>
        <v/>
      </c>
      <c r="H26" s="33" t="str">
        <f t="shared" si="4"/>
        <v/>
      </c>
    </row>
    <row r="27" ht="15.75" customHeight="1">
      <c r="A27" s="33" t="str">
        <f>IF(COSTING!A27="","",COSTING!A27)</f>
        <v/>
      </c>
      <c r="B27" s="38" t="str">
        <f>IF(A27="","",COSTING!J27)</f>
        <v/>
      </c>
      <c r="C27" s="38" t="str">
        <f>IF(A27="","",COSTING!I27)</f>
        <v/>
      </c>
      <c r="D27" s="38" t="str">
        <f t="shared" si="1"/>
        <v/>
      </c>
      <c r="E27" s="42" t="str">
        <f t="shared" si="2"/>
        <v/>
      </c>
      <c r="F27" s="42" t="str">
        <f>IF(A27="","",SETUP_RATES!$K$5)</f>
        <v/>
      </c>
      <c r="G27" s="42" t="str">
        <f t="shared" si="3"/>
        <v/>
      </c>
      <c r="H27" s="33" t="str">
        <f t="shared" si="4"/>
        <v/>
      </c>
    </row>
    <row r="28" ht="15.75" customHeight="1">
      <c r="A28" s="33" t="str">
        <f>IF(COSTING!A28="","",COSTING!A28)</f>
        <v/>
      </c>
      <c r="B28" s="38" t="str">
        <f>IF(A28="","",COSTING!J28)</f>
        <v/>
      </c>
      <c r="C28" s="38" t="str">
        <f>IF(A28="","",COSTING!I28)</f>
        <v/>
      </c>
      <c r="D28" s="38" t="str">
        <f t="shared" si="1"/>
        <v/>
      </c>
      <c r="E28" s="42" t="str">
        <f t="shared" si="2"/>
        <v/>
      </c>
      <c r="F28" s="42" t="str">
        <f>IF(A28="","",SETUP_RATES!$K$5)</f>
        <v/>
      </c>
      <c r="G28" s="42" t="str">
        <f t="shared" si="3"/>
        <v/>
      </c>
      <c r="H28" s="33" t="str">
        <f t="shared" si="4"/>
        <v/>
      </c>
    </row>
    <row r="29" ht="15.75" customHeight="1">
      <c r="A29" s="33" t="str">
        <f>IF(COSTING!A29="","",COSTING!A29)</f>
        <v/>
      </c>
      <c r="B29" s="38" t="str">
        <f>IF(A29="","",COSTING!J29)</f>
        <v/>
      </c>
      <c r="C29" s="38" t="str">
        <f>IF(A29="","",COSTING!I29)</f>
        <v/>
      </c>
      <c r="D29" s="38" t="str">
        <f t="shared" si="1"/>
        <v/>
      </c>
      <c r="E29" s="42" t="str">
        <f t="shared" si="2"/>
        <v/>
      </c>
      <c r="F29" s="42" t="str">
        <f>IF(A29="","",SETUP_RATES!$K$5)</f>
        <v/>
      </c>
      <c r="G29" s="42" t="str">
        <f t="shared" si="3"/>
        <v/>
      </c>
      <c r="H29" s="33" t="str">
        <f t="shared" si="4"/>
        <v/>
      </c>
    </row>
    <row r="30" ht="15.75" customHeight="1">
      <c r="A30" s="33" t="str">
        <f>IF(COSTING!A30="","",COSTING!A30)</f>
        <v/>
      </c>
      <c r="B30" s="38" t="str">
        <f>IF(A30="","",COSTING!J30)</f>
        <v/>
      </c>
      <c r="C30" s="38" t="str">
        <f>IF(A30="","",COSTING!I30)</f>
        <v/>
      </c>
      <c r="D30" s="38" t="str">
        <f t="shared" si="1"/>
        <v/>
      </c>
      <c r="E30" s="42" t="str">
        <f t="shared" si="2"/>
        <v/>
      </c>
      <c r="F30" s="42" t="str">
        <f>IF(A30="","",SETUP_RATES!$K$5)</f>
        <v/>
      </c>
      <c r="G30" s="42" t="str">
        <f t="shared" si="3"/>
        <v/>
      </c>
      <c r="H30" s="33" t="str">
        <f t="shared" si="4"/>
        <v/>
      </c>
    </row>
    <row r="31" ht="15.75" customHeight="1">
      <c r="A31" s="33" t="str">
        <f>IF(COSTING!A31="","",COSTING!A31)</f>
        <v/>
      </c>
      <c r="B31" s="38" t="str">
        <f>IF(A31="","",COSTING!J31)</f>
        <v/>
      </c>
      <c r="C31" s="38" t="str">
        <f>IF(A31="","",COSTING!I31)</f>
        <v/>
      </c>
      <c r="D31" s="38" t="str">
        <f t="shared" si="1"/>
        <v/>
      </c>
      <c r="E31" s="42" t="str">
        <f t="shared" si="2"/>
        <v/>
      </c>
      <c r="F31" s="42" t="str">
        <f>IF(A31="","",SETUP_RATES!$K$5)</f>
        <v/>
      </c>
      <c r="G31" s="42" t="str">
        <f t="shared" si="3"/>
        <v/>
      </c>
      <c r="H31" s="33" t="str">
        <f t="shared" si="4"/>
        <v/>
      </c>
    </row>
    <row r="32" ht="15.75" customHeight="1">
      <c r="A32" s="33" t="str">
        <f>IF(COSTING!A32="","",COSTING!A32)</f>
        <v/>
      </c>
      <c r="B32" s="38" t="str">
        <f>IF(A32="","",COSTING!J32)</f>
        <v/>
      </c>
      <c r="C32" s="38" t="str">
        <f>IF(A32="","",COSTING!I32)</f>
        <v/>
      </c>
      <c r="D32" s="38" t="str">
        <f t="shared" si="1"/>
        <v/>
      </c>
      <c r="E32" s="42" t="str">
        <f t="shared" si="2"/>
        <v/>
      </c>
      <c r="F32" s="42" t="str">
        <f>IF(A32="","",SETUP_RATES!$K$5)</f>
        <v/>
      </c>
      <c r="G32" s="42" t="str">
        <f t="shared" si="3"/>
        <v/>
      </c>
      <c r="H32" s="33" t="str">
        <f t="shared" si="4"/>
        <v/>
      </c>
    </row>
    <row r="33" ht="15.75" customHeight="1">
      <c r="A33" s="33" t="str">
        <f>IF(COSTING!A33="","",COSTING!A33)</f>
        <v/>
      </c>
      <c r="B33" s="38" t="str">
        <f>IF(A33="","",COSTING!J33)</f>
        <v/>
      </c>
      <c r="C33" s="38" t="str">
        <f>IF(A33="","",COSTING!I33)</f>
        <v/>
      </c>
      <c r="D33" s="38" t="str">
        <f t="shared" si="1"/>
        <v/>
      </c>
      <c r="E33" s="42" t="str">
        <f t="shared" si="2"/>
        <v/>
      </c>
      <c r="F33" s="42" t="str">
        <f>IF(A33="","",SETUP_RATES!$K$5)</f>
        <v/>
      </c>
      <c r="G33" s="42" t="str">
        <f t="shared" si="3"/>
        <v/>
      </c>
      <c r="H33" s="33" t="str">
        <f t="shared" si="4"/>
        <v/>
      </c>
    </row>
    <row r="34" ht="15.75" customHeight="1">
      <c r="A34" s="33" t="str">
        <f>IF(COSTING!A34="","",COSTING!A34)</f>
        <v/>
      </c>
      <c r="B34" s="38" t="str">
        <f>IF(A34="","",COSTING!J34)</f>
        <v/>
      </c>
      <c r="C34" s="38" t="str">
        <f>IF(A34="","",COSTING!I34)</f>
        <v/>
      </c>
      <c r="D34" s="38" t="str">
        <f t="shared" si="1"/>
        <v/>
      </c>
      <c r="E34" s="42" t="str">
        <f t="shared" si="2"/>
        <v/>
      </c>
      <c r="F34" s="42" t="str">
        <f>IF(A34="","",SETUP_RATES!$K$5)</f>
        <v/>
      </c>
      <c r="G34" s="42" t="str">
        <f t="shared" si="3"/>
        <v/>
      </c>
      <c r="H34" s="33" t="str">
        <f t="shared" si="4"/>
        <v/>
      </c>
    </row>
    <row r="35" ht="15.75" customHeight="1">
      <c r="A35" s="33" t="str">
        <f>IF(COSTING!A35="","",COSTING!A35)</f>
        <v/>
      </c>
      <c r="B35" s="38" t="str">
        <f>IF(A35="","",COSTING!J35)</f>
        <v/>
      </c>
      <c r="C35" s="38" t="str">
        <f>IF(A35="","",COSTING!I35)</f>
        <v/>
      </c>
      <c r="D35" s="38" t="str">
        <f t="shared" si="1"/>
        <v/>
      </c>
      <c r="E35" s="42" t="str">
        <f t="shared" si="2"/>
        <v/>
      </c>
      <c r="F35" s="42" t="str">
        <f>IF(A35="","",SETUP_RATES!$K$5)</f>
        <v/>
      </c>
      <c r="G35" s="42" t="str">
        <f t="shared" si="3"/>
        <v/>
      </c>
      <c r="H35" s="33" t="str">
        <f t="shared" si="4"/>
        <v/>
      </c>
    </row>
    <row r="36" ht="15.75" customHeight="1">
      <c r="A36" s="33" t="str">
        <f>IF(COSTING!A36="","",COSTING!A36)</f>
        <v/>
      </c>
      <c r="B36" s="38" t="str">
        <f>IF(A36="","",COSTING!J36)</f>
        <v/>
      </c>
      <c r="C36" s="38" t="str">
        <f>IF(A36="","",COSTING!I36)</f>
        <v/>
      </c>
      <c r="D36" s="38" t="str">
        <f t="shared" si="1"/>
        <v/>
      </c>
      <c r="E36" s="42" t="str">
        <f t="shared" si="2"/>
        <v/>
      </c>
      <c r="F36" s="42" t="str">
        <f>IF(A36="","",SETUP_RATES!$K$5)</f>
        <v/>
      </c>
      <c r="G36" s="42" t="str">
        <f t="shared" si="3"/>
        <v/>
      </c>
      <c r="H36" s="33" t="str">
        <f t="shared" si="4"/>
        <v/>
      </c>
    </row>
    <row r="37" ht="15.75" customHeight="1">
      <c r="A37" s="33" t="str">
        <f>IF(COSTING!A37="","",COSTING!A37)</f>
        <v/>
      </c>
      <c r="B37" s="38" t="str">
        <f>IF(A37="","",COSTING!J37)</f>
        <v/>
      </c>
      <c r="C37" s="38" t="str">
        <f>IF(A37="","",COSTING!I37)</f>
        <v/>
      </c>
      <c r="D37" s="38" t="str">
        <f t="shared" si="1"/>
        <v/>
      </c>
      <c r="E37" s="42" t="str">
        <f t="shared" si="2"/>
        <v/>
      </c>
      <c r="F37" s="42" t="str">
        <f>IF(A37="","",SETUP_RATES!$K$5)</f>
        <v/>
      </c>
      <c r="G37" s="42" t="str">
        <f t="shared" si="3"/>
        <v/>
      </c>
      <c r="H37" s="33" t="str">
        <f t="shared" si="4"/>
        <v/>
      </c>
    </row>
    <row r="38" ht="15.75" customHeight="1">
      <c r="A38" s="33" t="str">
        <f>IF(COSTING!A38="","",COSTING!A38)</f>
        <v/>
      </c>
      <c r="B38" s="38" t="str">
        <f>IF(A38="","",COSTING!J38)</f>
        <v/>
      </c>
      <c r="C38" s="38" t="str">
        <f>IF(A38="","",COSTING!I38)</f>
        <v/>
      </c>
      <c r="D38" s="38" t="str">
        <f t="shared" si="1"/>
        <v/>
      </c>
      <c r="E38" s="42" t="str">
        <f t="shared" si="2"/>
        <v/>
      </c>
      <c r="F38" s="42" t="str">
        <f>IF(A38="","",SETUP_RATES!$K$5)</f>
        <v/>
      </c>
      <c r="G38" s="42" t="str">
        <f t="shared" si="3"/>
        <v/>
      </c>
      <c r="H38" s="33" t="str">
        <f t="shared" si="4"/>
        <v/>
      </c>
    </row>
    <row r="39" ht="15.75" customHeight="1">
      <c r="A39" s="33" t="str">
        <f>IF(COSTING!A39="","",COSTING!A39)</f>
        <v/>
      </c>
      <c r="B39" s="38" t="str">
        <f>IF(A39="","",COSTING!J39)</f>
        <v/>
      </c>
      <c r="C39" s="38" t="str">
        <f>IF(A39="","",COSTING!I39)</f>
        <v/>
      </c>
      <c r="D39" s="38" t="str">
        <f t="shared" si="1"/>
        <v/>
      </c>
      <c r="E39" s="42" t="str">
        <f t="shared" si="2"/>
        <v/>
      </c>
      <c r="F39" s="42" t="str">
        <f>IF(A39="","",SETUP_RATES!$K$5)</f>
        <v/>
      </c>
      <c r="G39" s="42" t="str">
        <f t="shared" si="3"/>
        <v/>
      </c>
      <c r="H39" s="33" t="str">
        <f t="shared" si="4"/>
        <v/>
      </c>
    </row>
    <row r="40" ht="15.75" customHeight="1">
      <c r="A40" s="33" t="str">
        <f>IF(COSTING!A40="","",COSTING!A40)</f>
        <v/>
      </c>
      <c r="B40" s="38" t="str">
        <f>IF(A40="","",COSTING!J40)</f>
        <v/>
      </c>
      <c r="C40" s="38" t="str">
        <f>IF(A40="","",COSTING!I40)</f>
        <v/>
      </c>
      <c r="D40" s="38" t="str">
        <f t="shared" si="1"/>
        <v/>
      </c>
      <c r="E40" s="42" t="str">
        <f t="shared" si="2"/>
        <v/>
      </c>
      <c r="F40" s="42" t="str">
        <f>IF(A40="","",SETUP_RATES!$K$5)</f>
        <v/>
      </c>
      <c r="G40" s="42" t="str">
        <f t="shared" si="3"/>
        <v/>
      </c>
      <c r="H40" s="33" t="str">
        <f t="shared" si="4"/>
        <v/>
      </c>
    </row>
    <row r="41" ht="15.75" customHeight="1">
      <c r="A41" s="33" t="str">
        <f>IF(COSTING!A41="","",COSTING!A41)</f>
        <v/>
      </c>
      <c r="B41" s="38" t="str">
        <f>IF(A41="","",COSTING!J41)</f>
        <v/>
      </c>
      <c r="C41" s="38" t="str">
        <f>IF(A41="","",COSTING!I41)</f>
        <v/>
      </c>
      <c r="D41" s="38" t="str">
        <f t="shared" si="1"/>
        <v/>
      </c>
      <c r="E41" s="42" t="str">
        <f t="shared" si="2"/>
        <v/>
      </c>
      <c r="F41" s="42" t="str">
        <f>IF(A41="","",SETUP_RATES!$K$5)</f>
        <v/>
      </c>
      <c r="G41" s="42" t="str">
        <f t="shared" si="3"/>
        <v/>
      </c>
      <c r="H41" s="33" t="str">
        <f t="shared" si="4"/>
        <v/>
      </c>
    </row>
    <row r="42" ht="15.75" customHeight="1">
      <c r="A42" s="33" t="str">
        <f>IF(COSTING!A42="","",COSTING!A42)</f>
        <v/>
      </c>
      <c r="B42" s="38" t="str">
        <f>IF(A42="","",COSTING!J42)</f>
        <v/>
      </c>
      <c r="C42" s="38" t="str">
        <f>IF(A42="","",COSTING!I42)</f>
        <v/>
      </c>
      <c r="D42" s="38" t="str">
        <f t="shared" si="1"/>
        <v/>
      </c>
      <c r="E42" s="42" t="str">
        <f t="shared" si="2"/>
        <v/>
      </c>
      <c r="F42" s="42" t="str">
        <f>IF(A42="","",SETUP_RATES!$K$5)</f>
        <v/>
      </c>
      <c r="G42" s="42" t="str">
        <f t="shared" si="3"/>
        <v/>
      </c>
      <c r="H42" s="33" t="str">
        <f t="shared" si="4"/>
        <v/>
      </c>
    </row>
    <row r="43" ht="15.75" customHeight="1">
      <c r="A43" s="33" t="str">
        <f>IF(COSTING!A43="","",COSTING!A43)</f>
        <v/>
      </c>
      <c r="B43" s="38" t="str">
        <f>IF(A43="","",COSTING!J43)</f>
        <v/>
      </c>
      <c r="C43" s="38" t="str">
        <f>IF(A43="","",COSTING!I43)</f>
        <v/>
      </c>
      <c r="D43" s="38" t="str">
        <f t="shared" si="1"/>
        <v/>
      </c>
      <c r="E43" s="42" t="str">
        <f t="shared" si="2"/>
        <v/>
      </c>
      <c r="F43" s="42" t="str">
        <f>IF(A43="","",SETUP_RATES!$K$5)</f>
        <v/>
      </c>
      <c r="G43" s="42" t="str">
        <f t="shared" si="3"/>
        <v/>
      </c>
      <c r="H43" s="33" t="str">
        <f t="shared" si="4"/>
        <v/>
      </c>
    </row>
    <row r="44" ht="15.75" customHeight="1">
      <c r="A44" s="33" t="str">
        <f>IF(COSTING!A44="","",COSTING!A44)</f>
        <v/>
      </c>
      <c r="B44" s="38" t="str">
        <f>IF(A44="","",COSTING!J44)</f>
        <v/>
      </c>
      <c r="C44" s="38" t="str">
        <f>IF(A44="","",COSTING!I44)</f>
        <v/>
      </c>
      <c r="D44" s="38" t="str">
        <f t="shared" si="1"/>
        <v/>
      </c>
      <c r="E44" s="42" t="str">
        <f t="shared" si="2"/>
        <v/>
      </c>
      <c r="F44" s="42" t="str">
        <f>IF(A44="","",SETUP_RATES!$K$5)</f>
        <v/>
      </c>
      <c r="G44" s="42" t="str">
        <f t="shared" si="3"/>
        <v/>
      </c>
      <c r="H44" s="33" t="str">
        <f t="shared" si="4"/>
        <v/>
      </c>
    </row>
    <row r="45" ht="15.75" customHeight="1">
      <c r="A45" s="33" t="str">
        <f>IF(COSTING!A45="","",COSTING!A45)</f>
        <v/>
      </c>
      <c r="B45" s="38" t="str">
        <f>IF(A45="","",COSTING!J45)</f>
        <v/>
      </c>
      <c r="C45" s="38" t="str">
        <f>IF(A45="","",COSTING!I45)</f>
        <v/>
      </c>
      <c r="D45" s="38" t="str">
        <f t="shared" si="1"/>
        <v/>
      </c>
      <c r="E45" s="42" t="str">
        <f t="shared" si="2"/>
        <v/>
      </c>
      <c r="F45" s="42" t="str">
        <f>IF(A45="","",SETUP_RATES!$K$5)</f>
        <v/>
      </c>
      <c r="G45" s="42" t="str">
        <f t="shared" si="3"/>
        <v/>
      </c>
      <c r="H45" s="33" t="str">
        <f t="shared" si="4"/>
        <v/>
      </c>
    </row>
    <row r="46" ht="15.75" customHeight="1">
      <c r="A46" s="33" t="str">
        <f>IF(COSTING!A46="","",COSTING!A46)</f>
        <v/>
      </c>
      <c r="B46" s="38" t="str">
        <f>IF(A46="","",COSTING!J46)</f>
        <v/>
      </c>
      <c r="C46" s="38" t="str">
        <f>IF(A46="","",COSTING!I46)</f>
        <v/>
      </c>
      <c r="D46" s="38" t="str">
        <f t="shared" si="1"/>
        <v/>
      </c>
      <c r="E46" s="42" t="str">
        <f t="shared" si="2"/>
        <v/>
      </c>
      <c r="F46" s="42" t="str">
        <f>IF(A46="","",SETUP_RATES!$K$5)</f>
        <v/>
      </c>
      <c r="G46" s="42" t="str">
        <f t="shared" si="3"/>
        <v/>
      </c>
      <c r="H46" s="33" t="str">
        <f t="shared" si="4"/>
        <v/>
      </c>
    </row>
    <row r="47" ht="15.75" customHeight="1">
      <c r="A47" s="33" t="str">
        <f>IF(COSTING!A47="","",COSTING!A47)</f>
        <v/>
      </c>
      <c r="B47" s="38" t="str">
        <f>IF(A47="","",COSTING!J47)</f>
        <v/>
      </c>
      <c r="C47" s="38" t="str">
        <f>IF(A47="","",COSTING!I47)</f>
        <v/>
      </c>
      <c r="D47" s="38" t="str">
        <f t="shared" si="1"/>
        <v/>
      </c>
      <c r="E47" s="42" t="str">
        <f t="shared" si="2"/>
        <v/>
      </c>
      <c r="F47" s="42" t="str">
        <f>IF(A47="","",SETUP_RATES!$K$5)</f>
        <v/>
      </c>
      <c r="G47" s="42" t="str">
        <f t="shared" si="3"/>
        <v/>
      </c>
      <c r="H47" s="33" t="str">
        <f t="shared" si="4"/>
        <v/>
      </c>
    </row>
    <row r="48" ht="15.75" customHeight="1">
      <c r="A48" s="33" t="str">
        <f>IF(COSTING!A48="","",COSTING!A48)</f>
        <v/>
      </c>
      <c r="B48" s="38" t="str">
        <f>IF(A48="","",COSTING!J48)</f>
        <v/>
      </c>
      <c r="C48" s="38" t="str">
        <f>IF(A48="","",COSTING!I48)</f>
        <v/>
      </c>
      <c r="D48" s="38" t="str">
        <f t="shared" si="1"/>
        <v/>
      </c>
      <c r="E48" s="42" t="str">
        <f t="shared" si="2"/>
        <v/>
      </c>
      <c r="F48" s="42" t="str">
        <f>IF(A48="","",SETUP_RATES!$K$5)</f>
        <v/>
      </c>
      <c r="G48" s="42" t="str">
        <f t="shared" si="3"/>
        <v/>
      </c>
      <c r="H48" s="33" t="str">
        <f t="shared" si="4"/>
        <v/>
      </c>
    </row>
    <row r="49" ht="15.75" customHeight="1">
      <c r="A49" s="33" t="str">
        <f>IF(COSTING!A49="","",COSTING!A49)</f>
        <v/>
      </c>
      <c r="B49" s="38" t="str">
        <f>IF(A49="","",COSTING!J49)</f>
        <v/>
      </c>
      <c r="C49" s="38" t="str">
        <f>IF(A49="","",COSTING!I49)</f>
        <v/>
      </c>
      <c r="D49" s="38" t="str">
        <f t="shared" si="1"/>
        <v/>
      </c>
      <c r="E49" s="42" t="str">
        <f t="shared" si="2"/>
        <v/>
      </c>
      <c r="F49" s="42" t="str">
        <f>IF(A49="","",SETUP_RATES!$K$5)</f>
        <v/>
      </c>
      <c r="G49" s="42" t="str">
        <f t="shared" si="3"/>
        <v/>
      </c>
      <c r="H49" s="33" t="str">
        <f t="shared" si="4"/>
        <v/>
      </c>
    </row>
    <row r="50" ht="15.75" customHeight="1">
      <c r="A50" s="33" t="str">
        <f>IF(COSTING!A50="","",COSTING!A50)</f>
        <v/>
      </c>
      <c r="B50" s="38" t="str">
        <f>IF(A50="","",COSTING!J50)</f>
        <v/>
      </c>
      <c r="C50" s="38" t="str">
        <f>IF(A50="","",COSTING!I50)</f>
        <v/>
      </c>
      <c r="D50" s="38" t="str">
        <f t="shared" si="1"/>
        <v/>
      </c>
      <c r="E50" s="42" t="str">
        <f t="shared" si="2"/>
        <v/>
      </c>
      <c r="F50" s="42" t="str">
        <f>IF(A50="","",SETUP_RATES!$K$5)</f>
        <v/>
      </c>
      <c r="G50" s="42" t="str">
        <f t="shared" si="3"/>
        <v/>
      </c>
      <c r="H50" s="33" t="str">
        <f t="shared" si="4"/>
        <v/>
      </c>
    </row>
    <row r="51" ht="15.75" customHeight="1">
      <c r="A51" s="33" t="str">
        <f>IF(COSTING!A51="","",COSTING!A51)</f>
        <v/>
      </c>
      <c r="B51" s="38" t="str">
        <f>IF(A51="","",COSTING!J51)</f>
        <v/>
      </c>
      <c r="C51" s="38" t="str">
        <f>IF(A51="","",COSTING!I51)</f>
        <v/>
      </c>
      <c r="D51" s="38" t="str">
        <f t="shared" si="1"/>
        <v/>
      </c>
      <c r="E51" s="42" t="str">
        <f t="shared" si="2"/>
        <v/>
      </c>
      <c r="F51" s="42" t="str">
        <f>IF(A51="","",SETUP_RATES!$K$5)</f>
        <v/>
      </c>
      <c r="G51" s="42" t="str">
        <f t="shared" si="3"/>
        <v/>
      </c>
      <c r="H51" s="33" t="str">
        <f t="shared" si="4"/>
        <v/>
      </c>
    </row>
    <row r="52" ht="15.75" customHeight="1">
      <c r="A52" s="33" t="str">
        <f>IF(COSTING!A52="","",COSTING!A52)</f>
        <v/>
      </c>
      <c r="B52" s="38" t="str">
        <f>IF(A52="","",COSTING!J52)</f>
        <v/>
      </c>
      <c r="C52" s="38" t="str">
        <f>IF(A52="","",COSTING!I52)</f>
        <v/>
      </c>
      <c r="D52" s="38" t="str">
        <f t="shared" si="1"/>
        <v/>
      </c>
      <c r="E52" s="42" t="str">
        <f t="shared" si="2"/>
        <v/>
      </c>
      <c r="F52" s="42" t="str">
        <f>IF(A52="","",SETUP_RATES!$K$5)</f>
        <v/>
      </c>
      <c r="G52" s="42" t="str">
        <f t="shared" si="3"/>
        <v/>
      </c>
      <c r="H52" s="33" t="str">
        <f t="shared" si="4"/>
        <v/>
      </c>
    </row>
    <row r="53" ht="15.75" customHeight="1">
      <c r="A53" s="33" t="str">
        <f>IF(COSTING!A53="","",COSTING!A53)</f>
        <v/>
      </c>
      <c r="B53" s="38" t="str">
        <f>IF(A53="","",COSTING!J53)</f>
        <v/>
      </c>
      <c r="C53" s="38" t="str">
        <f>IF(A53="","",COSTING!I53)</f>
        <v/>
      </c>
      <c r="D53" s="38" t="str">
        <f t="shared" si="1"/>
        <v/>
      </c>
      <c r="E53" s="42" t="str">
        <f t="shared" si="2"/>
        <v/>
      </c>
      <c r="F53" s="42" t="str">
        <f>IF(A53="","",SETUP_RATES!$K$5)</f>
        <v/>
      </c>
      <c r="G53" s="42" t="str">
        <f t="shared" si="3"/>
        <v/>
      </c>
      <c r="H53" s="33" t="str">
        <f t="shared" si="4"/>
        <v/>
      </c>
    </row>
    <row r="54" ht="15.75" customHeight="1">
      <c r="A54" s="33" t="str">
        <f>IF(COSTING!A54="","",COSTING!A54)</f>
        <v/>
      </c>
      <c r="B54" s="38" t="str">
        <f>IF(A54="","",COSTING!J54)</f>
        <v/>
      </c>
      <c r="C54" s="38" t="str">
        <f>IF(A54="","",COSTING!I54)</f>
        <v/>
      </c>
      <c r="D54" s="38" t="str">
        <f t="shared" si="1"/>
        <v/>
      </c>
      <c r="E54" s="42" t="str">
        <f t="shared" si="2"/>
        <v/>
      </c>
      <c r="F54" s="42" t="str">
        <f>IF(A54="","",SETUP_RATES!$K$5)</f>
        <v/>
      </c>
      <c r="G54" s="42" t="str">
        <f t="shared" si="3"/>
        <v/>
      </c>
      <c r="H54" s="33" t="str">
        <f t="shared" si="4"/>
        <v/>
      </c>
    </row>
    <row r="55" ht="15.75" customHeight="1">
      <c r="A55" s="33" t="str">
        <f>IF(COSTING!A55="","",COSTING!A55)</f>
        <v/>
      </c>
      <c r="B55" s="38" t="str">
        <f>IF(A55="","",COSTING!J55)</f>
        <v/>
      </c>
      <c r="C55" s="38" t="str">
        <f>IF(A55="","",COSTING!I55)</f>
        <v/>
      </c>
      <c r="D55" s="38" t="str">
        <f t="shared" si="1"/>
        <v/>
      </c>
      <c r="E55" s="42" t="str">
        <f t="shared" si="2"/>
        <v/>
      </c>
      <c r="F55" s="42" t="str">
        <f>IF(A55="","",SETUP_RATES!$K$5)</f>
        <v/>
      </c>
      <c r="G55" s="42" t="str">
        <f t="shared" si="3"/>
        <v/>
      </c>
      <c r="H55" s="33" t="str">
        <f t="shared" si="4"/>
        <v/>
      </c>
    </row>
    <row r="56" ht="15.75" customHeight="1">
      <c r="A56" s="33" t="str">
        <f>IF(COSTING!A56="","",COSTING!A56)</f>
        <v/>
      </c>
      <c r="B56" s="38" t="str">
        <f>IF(A56="","",COSTING!J56)</f>
        <v/>
      </c>
      <c r="C56" s="38" t="str">
        <f>IF(A56="","",COSTING!I56)</f>
        <v/>
      </c>
      <c r="D56" s="38" t="str">
        <f t="shared" si="1"/>
        <v/>
      </c>
      <c r="E56" s="42" t="str">
        <f t="shared" si="2"/>
        <v/>
      </c>
      <c r="F56" s="42" t="str">
        <f>IF(A56="","",SETUP_RATES!$K$5)</f>
        <v/>
      </c>
      <c r="G56" s="42" t="str">
        <f t="shared" si="3"/>
        <v/>
      </c>
      <c r="H56" s="33" t="str">
        <f t="shared" si="4"/>
        <v/>
      </c>
    </row>
    <row r="57" ht="15.75" customHeight="1">
      <c r="A57" s="33" t="str">
        <f>IF(COSTING!A57="","",COSTING!A57)</f>
        <v/>
      </c>
      <c r="B57" s="38" t="str">
        <f>IF(A57="","",COSTING!J57)</f>
        <v/>
      </c>
      <c r="C57" s="38" t="str">
        <f>IF(A57="","",COSTING!I57)</f>
        <v/>
      </c>
      <c r="D57" s="38" t="str">
        <f t="shared" si="1"/>
        <v/>
      </c>
      <c r="E57" s="42" t="str">
        <f t="shared" si="2"/>
        <v/>
      </c>
      <c r="F57" s="42" t="str">
        <f>IF(A57="","",SETUP_RATES!$K$5)</f>
        <v/>
      </c>
      <c r="G57" s="42" t="str">
        <f t="shared" si="3"/>
        <v/>
      </c>
      <c r="H57" s="33" t="str">
        <f t="shared" si="4"/>
        <v/>
      </c>
    </row>
    <row r="58" ht="15.75" customHeight="1">
      <c r="A58" s="33" t="str">
        <f>IF(COSTING!A58="","",COSTING!A58)</f>
        <v/>
      </c>
      <c r="B58" s="38" t="str">
        <f>IF(A58="","",COSTING!J58)</f>
        <v/>
      </c>
      <c r="C58" s="38" t="str">
        <f>IF(A58="","",COSTING!I58)</f>
        <v/>
      </c>
      <c r="D58" s="38" t="str">
        <f t="shared" si="1"/>
        <v/>
      </c>
      <c r="E58" s="42" t="str">
        <f t="shared" si="2"/>
        <v/>
      </c>
      <c r="F58" s="42" t="str">
        <f>IF(A58="","",SETUP_RATES!$K$5)</f>
        <v/>
      </c>
      <c r="G58" s="42" t="str">
        <f t="shared" si="3"/>
        <v/>
      </c>
      <c r="H58" s="33" t="str">
        <f t="shared" si="4"/>
        <v/>
      </c>
    </row>
    <row r="59" ht="15.75" customHeight="1">
      <c r="A59" s="33" t="str">
        <f>IF(COSTING!A59="","",COSTING!A59)</f>
        <v/>
      </c>
      <c r="B59" s="38" t="str">
        <f>IF(A59="","",COSTING!J59)</f>
        <v/>
      </c>
      <c r="C59" s="38" t="str">
        <f>IF(A59="","",COSTING!I59)</f>
        <v/>
      </c>
      <c r="D59" s="38" t="str">
        <f t="shared" si="1"/>
        <v/>
      </c>
      <c r="E59" s="42" t="str">
        <f t="shared" si="2"/>
        <v/>
      </c>
      <c r="F59" s="42" t="str">
        <f>IF(A59="","",SETUP_RATES!$K$5)</f>
        <v/>
      </c>
      <c r="G59" s="42" t="str">
        <f t="shared" si="3"/>
        <v/>
      </c>
      <c r="H59" s="33" t="str">
        <f t="shared" si="4"/>
        <v/>
      </c>
    </row>
    <row r="60" ht="15.75" customHeight="1">
      <c r="A60" s="33" t="str">
        <f>IF(COSTING!A60="","",COSTING!A60)</f>
        <v/>
      </c>
      <c r="B60" s="38" t="str">
        <f>IF(A60="","",COSTING!J60)</f>
        <v/>
      </c>
      <c r="C60" s="38" t="str">
        <f>IF(A60="","",COSTING!I60)</f>
        <v/>
      </c>
      <c r="D60" s="38" t="str">
        <f t="shared" si="1"/>
        <v/>
      </c>
      <c r="E60" s="42" t="str">
        <f t="shared" si="2"/>
        <v/>
      </c>
      <c r="F60" s="42" t="str">
        <f>IF(A60="","",SETUP_RATES!$K$5)</f>
        <v/>
      </c>
      <c r="G60" s="42" t="str">
        <f t="shared" si="3"/>
        <v/>
      </c>
      <c r="H60" s="33" t="str">
        <f t="shared" si="4"/>
        <v/>
      </c>
    </row>
    <row r="61" ht="15.75" customHeight="1">
      <c r="A61" s="33" t="str">
        <f>IF(COSTING!A61="","",COSTING!A61)</f>
        <v/>
      </c>
      <c r="B61" s="38" t="str">
        <f>IF(A61="","",COSTING!J61)</f>
        <v/>
      </c>
      <c r="C61" s="38" t="str">
        <f>IF(A61="","",COSTING!I61)</f>
        <v/>
      </c>
      <c r="D61" s="38" t="str">
        <f t="shared" si="1"/>
        <v/>
      </c>
      <c r="E61" s="42" t="str">
        <f t="shared" si="2"/>
        <v/>
      </c>
      <c r="F61" s="42" t="str">
        <f>IF(A61="","",SETUP_RATES!$K$5)</f>
        <v/>
      </c>
      <c r="G61" s="42" t="str">
        <f t="shared" si="3"/>
        <v/>
      </c>
      <c r="H61" s="33" t="str">
        <f t="shared" si="4"/>
        <v/>
      </c>
    </row>
    <row r="62" ht="15.75" customHeight="1">
      <c r="A62" s="33" t="str">
        <f>IF(COSTING!A62="","",COSTING!A62)</f>
        <v/>
      </c>
      <c r="B62" s="38" t="str">
        <f>IF(A62="","",COSTING!J62)</f>
        <v/>
      </c>
      <c r="C62" s="38" t="str">
        <f>IF(A62="","",COSTING!I62)</f>
        <v/>
      </c>
      <c r="D62" s="38" t="str">
        <f t="shared" si="1"/>
        <v/>
      </c>
      <c r="E62" s="42" t="str">
        <f t="shared" si="2"/>
        <v/>
      </c>
      <c r="F62" s="42" t="str">
        <f>IF(A62="","",SETUP_RATES!$K$5)</f>
        <v/>
      </c>
      <c r="G62" s="42" t="str">
        <f t="shared" si="3"/>
        <v/>
      </c>
      <c r="H62" s="33" t="str">
        <f t="shared" si="4"/>
        <v/>
      </c>
    </row>
    <row r="63" ht="15.75" customHeight="1">
      <c r="A63" s="33" t="str">
        <f>IF(COSTING!A63="","",COSTING!A63)</f>
        <v/>
      </c>
      <c r="B63" s="38" t="str">
        <f>IF(A63="","",COSTING!J63)</f>
        <v/>
      </c>
      <c r="C63" s="38" t="str">
        <f>IF(A63="","",COSTING!I63)</f>
        <v/>
      </c>
      <c r="D63" s="38" t="str">
        <f t="shared" si="1"/>
        <v/>
      </c>
      <c r="E63" s="42" t="str">
        <f t="shared" si="2"/>
        <v/>
      </c>
      <c r="F63" s="42" t="str">
        <f>IF(A63="","",SETUP_RATES!$K$5)</f>
        <v/>
      </c>
      <c r="G63" s="42" t="str">
        <f t="shared" si="3"/>
        <v/>
      </c>
      <c r="H63" s="33" t="str">
        <f t="shared" si="4"/>
        <v/>
      </c>
    </row>
    <row r="64" ht="15.75" customHeight="1">
      <c r="A64" s="33" t="str">
        <f>IF(COSTING!A64="","",COSTING!A64)</f>
        <v/>
      </c>
      <c r="B64" s="38" t="str">
        <f>IF(A64="","",COSTING!J64)</f>
        <v/>
      </c>
      <c r="C64" s="38" t="str">
        <f>IF(A64="","",COSTING!I64)</f>
        <v/>
      </c>
      <c r="D64" s="38" t="str">
        <f t="shared" si="1"/>
        <v/>
      </c>
      <c r="E64" s="42" t="str">
        <f t="shared" si="2"/>
        <v/>
      </c>
      <c r="F64" s="42" t="str">
        <f>IF(A64="","",SETUP_RATES!$K$5)</f>
        <v/>
      </c>
      <c r="G64" s="42" t="str">
        <f t="shared" si="3"/>
        <v/>
      </c>
      <c r="H64" s="33" t="str">
        <f t="shared" si="4"/>
        <v/>
      </c>
    </row>
    <row r="65" ht="15.75" customHeight="1">
      <c r="A65" s="33" t="str">
        <f>IF(COSTING!A65="","",COSTING!A65)</f>
        <v/>
      </c>
      <c r="B65" s="38" t="str">
        <f>IF(A65="","",COSTING!J65)</f>
        <v/>
      </c>
      <c r="C65" s="38" t="str">
        <f>IF(A65="","",COSTING!I65)</f>
        <v/>
      </c>
      <c r="D65" s="38" t="str">
        <f t="shared" si="1"/>
        <v/>
      </c>
      <c r="E65" s="42" t="str">
        <f t="shared" si="2"/>
        <v/>
      </c>
      <c r="F65" s="42" t="str">
        <f>IF(A65="","",SETUP_RATES!$K$5)</f>
        <v/>
      </c>
      <c r="G65" s="42" t="str">
        <f t="shared" si="3"/>
        <v/>
      </c>
      <c r="H65" s="33" t="str">
        <f t="shared" si="4"/>
        <v/>
      </c>
    </row>
    <row r="66" ht="15.75" customHeight="1">
      <c r="A66" s="33" t="str">
        <f>IF(COSTING!A66="","",COSTING!A66)</f>
        <v/>
      </c>
      <c r="B66" s="38" t="str">
        <f>IF(A66="","",COSTING!J66)</f>
        <v/>
      </c>
      <c r="C66" s="38" t="str">
        <f>IF(A66="","",COSTING!I66)</f>
        <v/>
      </c>
      <c r="D66" s="38" t="str">
        <f t="shared" si="1"/>
        <v/>
      </c>
      <c r="E66" s="42" t="str">
        <f t="shared" si="2"/>
        <v/>
      </c>
      <c r="F66" s="42" t="str">
        <f>IF(A66="","",SETUP_RATES!$K$5)</f>
        <v/>
      </c>
      <c r="G66" s="42" t="str">
        <f t="shared" si="3"/>
        <v/>
      </c>
      <c r="H66" s="33" t="str">
        <f t="shared" si="4"/>
        <v/>
      </c>
    </row>
    <row r="67" ht="15.75" customHeight="1">
      <c r="A67" s="33" t="str">
        <f>IF(COSTING!A67="","",COSTING!A67)</f>
        <v/>
      </c>
      <c r="B67" s="38" t="str">
        <f>IF(A67="","",COSTING!J67)</f>
        <v/>
      </c>
      <c r="C67" s="38" t="str">
        <f>IF(A67="","",COSTING!I67)</f>
        <v/>
      </c>
      <c r="D67" s="38" t="str">
        <f t="shared" si="1"/>
        <v/>
      </c>
      <c r="E67" s="42" t="str">
        <f t="shared" si="2"/>
        <v/>
      </c>
      <c r="F67" s="42" t="str">
        <f>IF(A67="","",SETUP_RATES!$K$5)</f>
        <v/>
      </c>
      <c r="G67" s="42" t="str">
        <f t="shared" si="3"/>
        <v/>
      </c>
      <c r="H67" s="33" t="str">
        <f t="shared" si="4"/>
        <v/>
      </c>
    </row>
    <row r="68" ht="15.75" customHeight="1">
      <c r="A68" s="33" t="str">
        <f>IF(COSTING!A68="","",COSTING!A68)</f>
        <v/>
      </c>
      <c r="B68" s="38" t="str">
        <f>IF(A68="","",COSTING!J68)</f>
        <v/>
      </c>
      <c r="C68" s="38" t="str">
        <f>IF(A68="","",COSTING!I68)</f>
        <v/>
      </c>
      <c r="D68" s="38" t="str">
        <f t="shared" si="1"/>
        <v/>
      </c>
      <c r="E68" s="42" t="str">
        <f t="shared" si="2"/>
        <v/>
      </c>
      <c r="F68" s="42" t="str">
        <f>IF(A68="","",SETUP_RATES!$K$5)</f>
        <v/>
      </c>
      <c r="G68" s="42" t="str">
        <f t="shared" si="3"/>
        <v/>
      </c>
      <c r="H68" s="33" t="str">
        <f t="shared" si="4"/>
        <v/>
      </c>
    </row>
    <row r="69" ht="15.75" customHeight="1">
      <c r="A69" s="33" t="str">
        <f>IF(COSTING!A69="","",COSTING!A69)</f>
        <v/>
      </c>
      <c r="B69" s="38" t="str">
        <f>IF(A69="","",COSTING!J69)</f>
        <v/>
      </c>
      <c r="C69" s="38" t="str">
        <f>IF(A69="","",COSTING!I69)</f>
        <v/>
      </c>
      <c r="D69" s="38" t="str">
        <f t="shared" si="1"/>
        <v/>
      </c>
      <c r="E69" s="42" t="str">
        <f t="shared" si="2"/>
        <v/>
      </c>
      <c r="F69" s="42" t="str">
        <f>IF(A69="","",SETUP_RATES!$K$5)</f>
        <v/>
      </c>
      <c r="G69" s="42" t="str">
        <f t="shared" si="3"/>
        <v/>
      </c>
      <c r="H69" s="33" t="str">
        <f t="shared" si="4"/>
        <v/>
      </c>
    </row>
    <row r="70" ht="15.75" customHeight="1">
      <c r="A70" s="33" t="str">
        <f>IF(COSTING!A70="","",COSTING!A70)</f>
        <v/>
      </c>
      <c r="B70" s="38" t="str">
        <f>IF(A70="","",COSTING!J70)</f>
        <v/>
      </c>
      <c r="C70" s="38" t="str">
        <f>IF(A70="","",COSTING!I70)</f>
        <v/>
      </c>
      <c r="D70" s="38" t="str">
        <f t="shared" si="1"/>
        <v/>
      </c>
      <c r="E70" s="42" t="str">
        <f t="shared" si="2"/>
        <v/>
      </c>
      <c r="F70" s="42" t="str">
        <f>IF(A70="","",SETUP_RATES!$K$5)</f>
        <v/>
      </c>
      <c r="G70" s="42" t="str">
        <f t="shared" si="3"/>
        <v/>
      </c>
      <c r="H70" s="33" t="str">
        <f t="shared" si="4"/>
        <v/>
      </c>
    </row>
    <row r="71" ht="15.75" customHeight="1">
      <c r="A71" s="33" t="str">
        <f>IF(COSTING!A71="","",COSTING!A71)</f>
        <v/>
      </c>
      <c r="B71" s="38" t="str">
        <f>IF(A71="","",COSTING!J71)</f>
        <v/>
      </c>
      <c r="C71" s="38" t="str">
        <f>IF(A71="","",COSTING!I71)</f>
        <v/>
      </c>
      <c r="D71" s="38" t="str">
        <f t="shared" si="1"/>
        <v/>
      </c>
      <c r="E71" s="42" t="str">
        <f t="shared" si="2"/>
        <v/>
      </c>
      <c r="F71" s="42" t="str">
        <f>IF(A71="","",SETUP_RATES!$K$5)</f>
        <v/>
      </c>
      <c r="G71" s="42" t="str">
        <f t="shared" si="3"/>
        <v/>
      </c>
      <c r="H71" s="33" t="str">
        <f t="shared" si="4"/>
        <v/>
      </c>
    </row>
    <row r="72" ht="15.75" customHeight="1">
      <c r="A72" s="33" t="str">
        <f>IF(COSTING!A72="","",COSTING!A72)</f>
        <v/>
      </c>
      <c r="B72" s="38" t="str">
        <f>IF(A72="","",COSTING!J72)</f>
        <v/>
      </c>
      <c r="C72" s="38" t="str">
        <f>IF(A72="","",COSTING!I72)</f>
        <v/>
      </c>
      <c r="D72" s="38" t="str">
        <f t="shared" si="1"/>
        <v/>
      </c>
      <c r="E72" s="42" t="str">
        <f t="shared" si="2"/>
        <v/>
      </c>
      <c r="F72" s="42" t="str">
        <f>IF(A72="","",SETUP_RATES!$K$5)</f>
        <v/>
      </c>
      <c r="G72" s="42" t="str">
        <f t="shared" si="3"/>
        <v/>
      </c>
      <c r="H72" s="33" t="str">
        <f t="shared" si="4"/>
        <v/>
      </c>
    </row>
    <row r="73" ht="15.75" customHeight="1">
      <c r="A73" s="33" t="str">
        <f>IF(COSTING!A73="","",COSTING!A73)</f>
        <v/>
      </c>
      <c r="B73" s="38" t="str">
        <f>IF(A73="","",COSTING!J73)</f>
        <v/>
      </c>
      <c r="C73" s="38" t="str">
        <f>IF(A73="","",COSTING!I73)</f>
        <v/>
      </c>
      <c r="D73" s="38" t="str">
        <f t="shared" si="1"/>
        <v/>
      </c>
      <c r="E73" s="42" t="str">
        <f t="shared" si="2"/>
        <v/>
      </c>
      <c r="F73" s="42" t="str">
        <f>IF(A73="","",SETUP_RATES!$K$5)</f>
        <v/>
      </c>
      <c r="G73" s="42" t="str">
        <f t="shared" si="3"/>
        <v/>
      </c>
      <c r="H73" s="33" t="str">
        <f t="shared" si="4"/>
        <v/>
      </c>
    </row>
    <row r="74" ht="15.75" customHeight="1">
      <c r="A74" s="33" t="str">
        <f>IF(COSTING!A74="","",COSTING!A74)</f>
        <v/>
      </c>
      <c r="B74" s="38" t="str">
        <f>IF(A74="","",COSTING!J74)</f>
        <v/>
      </c>
      <c r="C74" s="38" t="str">
        <f>IF(A74="","",COSTING!I74)</f>
        <v/>
      </c>
      <c r="D74" s="38" t="str">
        <f t="shared" si="1"/>
        <v/>
      </c>
      <c r="E74" s="42" t="str">
        <f t="shared" si="2"/>
        <v/>
      </c>
      <c r="F74" s="42" t="str">
        <f>IF(A74="","",SETUP_RATES!$K$5)</f>
        <v/>
      </c>
      <c r="G74" s="42" t="str">
        <f t="shared" si="3"/>
        <v/>
      </c>
      <c r="H74" s="33" t="str">
        <f t="shared" si="4"/>
        <v/>
      </c>
    </row>
    <row r="75" ht="15.75" customHeight="1">
      <c r="A75" s="33" t="str">
        <f>IF(COSTING!A75="","",COSTING!A75)</f>
        <v/>
      </c>
      <c r="B75" s="38" t="str">
        <f>IF(A75="","",COSTING!J75)</f>
        <v/>
      </c>
      <c r="C75" s="38" t="str">
        <f>IF(A75="","",COSTING!I75)</f>
        <v/>
      </c>
      <c r="D75" s="38" t="str">
        <f t="shared" si="1"/>
        <v/>
      </c>
      <c r="E75" s="42" t="str">
        <f t="shared" si="2"/>
        <v/>
      </c>
      <c r="F75" s="42" t="str">
        <f>IF(A75="","",SETUP_RATES!$K$5)</f>
        <v/>
      </c>
      <c r="G75" s="42" t="str">
        <f t="shared" si="3"/>
        <v/>
      </c>
      <c r="H75" s="33" t="str">
        <f t="shared" si="4"/>
        <v/>
      </c>
    </row>
    <row r="76" ht="15.75" customHeight="1">
      <c r="A76" s="33" t="str">
        <f>IF(COSTING!A76="","",COSTING!A76)</f>
        <v/>
      </c>
      <c r="B76" s="38" t="str">
        <f>IF(A76="","",COSTING!J76)</f>
        <v/>
      </c>
      <c r="C76" s="38" t="str">
        <f>IF(A76="","",COSTING!I76)</f>
        <v/>
      </c>
      <c r="D76" s="38" t="str">
        <f t="shared" si="1"/>
        <v/>
      </c>
      <c r="E76" s="42" t="str">
        <f t="shared" si="2"/>
        <v/>
      </c>
      <c r="F76" s="42" t="str">
        <f>IF(A76="","",SETUP_RATES!$K$5)</f>
        <v/>
      </c>
      <c r="G76" s="42" t="str">
        <f t="shared" si="3"/>
        <v/>
      </c>
      <c r="H76" s="33" t="str">
        <f t="shared" si="4"/>
        <v/>
      </c>
    </row>
    <row r="77" ht="15.75" customHeight="1">
      <c r="A77" s="33" t="str">
        <f>IF(COSTING!A77="","",COSTING!A77)</f>
        <v/>
      </c>
      <c r="B77" s="38" t="str">
        <f>IF(A77="","",COSTING!J77)</f>
        <v/>
      </c>
      <c r="C77" s="38" t="str">
        <f>IF(A77="","",COSTING!I77)</f>
        <v/>
      </c>
      <c r="D77" s="38" t="str">
        <f t="shared" si="1"/>
        <v/>
      </c>
      <c r="E77" s="42" t="str">
        <f t="shared" si="2"/>
        <v/>
      </c>
      <c r="F77" s="42" t="str">
        <f>IF(A77="","",SETUP_RATES!$K$5)</f>
        <v/>
      </c>
      <c r="G77" s="42" t="str">
        <f t="shared" si="3"/>
        <v/>
      </c>
      <c r="H77" s="33" t="str">
        <f t="shared" si="4"/>
        <v/>
      </c>
    </row>
    <row r="78" ht="15.75" customHeight="1">
      <c r="A78" s="33" t="str">
        <f>IF(COSTING!A78="","",COSTING!A78)</f>
        <v/>
      </c>
      <c r="B78" s="38" t="str">
        <f>IF(A78="","",COSTING!J78)</f>
        <v/>
      </c>
      <c r="C78" s="38" t="str">
        <f>IF(A78="","",COSTING!I78)</f>
        <v/>
      </c>
      <c r="D78" s="38" t="str">
        <f t="shared" si="1"/>
        <v/>
      </c>
      <c r="E78" s="42" t="str">
        <f t="shared" si="2"/>
        <v/>
      </c>
      <c r="F78" s="42" t="str">
        <f>IF(A78="","",SETUP_RATES!$K$5)</f>
        <v/>
      </c>
      <c r="G78" s="42" t="str">
        <f t="shared" si="3"/>
        <v/>
      </c>
      <c r="H78" s="33" t="str">
        <f t="shared" si="4"/>
        <v/>
      </c>
    </row>
    <row r="79" ht="15.75" customHeight="1">
      <c r="A79" s="33" t="str">
        <f>IF(COSTING!A79="","",COSTING!A79)</f>
        <v/>
      </c>
      <c r="B79" s="38" t="str">
        <f>IF(A79="","",COSTING!J79)</f>
        <v/>
      </c>
      <c r="C79" s="38" t="str">
        <f>IF(A79="","",COSTING!I79)</f>
        <v/>
      </c>
      <c r="D79" s="38" t="str">
        <f t="shared" si="1"/>
        <v/>
      </c>
      <c r="E79" s="42" t="str">
        <f t="shared" si="2"/>
        <v/>
      </c>
      <c r="F79" s="42" t="str">
        <f>IF(A79="","",SETUP_RATES!$K$5)</f>
        <v/>
      </c>
      <c r="G79" s="42" t="str">
        <f t="shared" si="3"/>
        <v/>
      </c>
      <c r="H79" s="33" t="str">
        <f t="shared" si="4"/>
        <v/>
      </c>
    </row>
    <row r="80" ht="15.75" customHeight="1">
      <c r="A80" s="33" t="str">
        <f>IF(COSTING!A80="","",COSTING!A80)</f>
        <v/>
      </c>
      <c r="B80" s="38" t="str">
        <f>IF(A80="","",COSTING!J80)</f>
        <v/>
      </c>
      <c r="C80" s="38" t="str">
        <f>IF(A80="","",COSTING!I80)</f>
        <v/>
      </c>
      <c r="D80" s="38" t="str">
        <f t="shared" si="1"/>
        <v/>
      </c>
      <c r="E80" s="42" t="str">
        <f t="shared" si="2"/>
        <v/>
      </c>
      <c r="F80" s="42" t="str">
        <f>IF(A80="","",SETUP_RATES!$K$5)</f>
        <v/>
      </c>
      <c r="G80" s="42" t="str">
        <f t="shared" si="3"/>
        <v/>
      </c>
      <c r="H80" s="33" t="str">
        <f t="shared" si="4"/>
        <v/>
      </c>
    </row>
    <row r="81" ht="15.75" customHeight="1">
      <c r="A81" s="33" t="str">
        <f>IF(COSTING!A81="","",COSTING!A81)</f>
        <v/>
      </c>
      <c r="B81" s="38" t="str">
        <f>IF(A81="","",COSTING!J81)</f>
        <v/>
      </c>
      <c r="C81" s="38" t="str">
        <f>IF(A81="","",COSTING!I81)</f>
        <v/>
      </c>
      <c r="D81" s="38" t="str">
        <f t="shared" si="1"/>
        <v/>
      </c>
      <c r="E81" s="42" t="str">
        <f t="shared" si="2"/>
        <v/>
      </c>
      <c r="F81" s="42" t="str">
        <f>IF(A81="","",SETUP_RATES!$K$5)</f>
        <v/>
      </c>
      <c r="G81" s="42" t="str">
        <f t="shared" si="3"/>
        <v/>
      </c>
      <c r="H81" s="33" t="str">
        <f t="shared" si="4"/>
        <v/>
      </c>
    </row>
    <row r="82" ht="15.75" customHeight="1">
      <c r="A82" s="33" t="str">
        <f>IF(COSTING!A82="","",COSTING!A82)</f>
        <v/>
      </c>
      <c r="B82" s="38" t="str">
        <f>IF(A82="","",COSTING!J82)</f>
        <v/>
      </c>
      <c r="C82" s="38" t="str">
        <f>IF(A82="","",COSTING!I82)</f>
        <v/>
      </c>
      <c r="D82" s="38" t="str">
        <f t="shared" si="1"/>
        <v/>
      </c>
      <c r="E82" s="42" t="str">
        <f t="shared" si="2"/>
        <v/>
      </c>
      <c r="F82" s="42" t="str">
        <f>IF(A82="","",SETUP_RATES!$K$5)</f>
        <v/>
      </c>
      <c r="G82" s="42" t="str">
        <f t="shared" si="3"/>
        <v/>
      </c>
      <c r="H82" s="33" t="str">
        <f t="shared" si="4"/>
        <v/>
      </c>
    </row>
    <row r="83" ht="15.75" customHeight="1">
      <c r="A83" s="33" t="str">
        <f>IF(COSTING!A83="","",COSTING!A83)</f>
        <v/>
      </c>
      <c r="B83" s="38" t="str">
        <f>IF(A83="","",COSTING!J83)</f>
        <v/>
      </c>
      <c r="C83" s="38" t="str">
        <f>IF(A83="","",COSTING!I83)</f>
        <v/>
      </c>
      <c r="D83" s="38" t="str">
        <f t="shared" si="1"/>
        <v/>
      </c>
      <c r="E83" s="42" t="str">
        <f t="shared" si="2"/>
        <v/>
      </c>
      <c r="F83" s="42" t="str">
        <f>IF(A83="","",SETUP_RATES!$K$5)</f>
        <v/>
      </c>
      <c r="G83" s="42" t="str">
        <f t="shared" si="3"/>
        <v/>
      </c>
      <c r="H83" s="33" t="str">
        <f t="shared" si="4"/>
        <v/>
      </c>
    </row>
    <row r="84" ht="15.75" customHeight="1">
      <c r="A84" s="33" t="str">
        <f>IF(COSTING!A84="","",COSTING!A84)</f>
        <v/>
      </c>
      <c r="B84" s="38" t="str">
        <f>IF(A84="","",COSTING!J84)</f>
        <v/>
      </c>
      <c r="C84" s="38" t="str">
        <f>IF(A84="","",COSTING!I84)</f>
        <v/>
      </c>
      <c r="D84" s="38" t="str">
        <f t="shared" si="1"/>
        <v/>
      </c>
      <c r="E84" s="42" t="str">
        <f t="shared" si="2"/>
        <v/>
      </c>
      <c r="F84" s="42" t="str">
        <f>IF(A84="","",SETUP_RATES!$K$5)</f>
        <v/>
      </c>
      <c r="G84" s="42" t="str">
        <f t="shared" si="3"/>
        <v/>
      </c>
      <c r="H84" s="33" t="str">
        <f t="shared" si="4"/>
        <v/>
      </c>
    </row>
    <row r="85" ht="15.75" customHeight="1">
      <c r="A85" s="33" t="str">
        <f>IF(COSTING!A85="","",COSTING!A85)</f>
        <v/>
      </c>
      <c r="B85" s="38" t="str">
        <f>IF(A85="","",COSTING!J85)</f>
        <v/>
      </c>
      <c r="C85" s="38" t="str">
        <f>IF(A85="","",COSTING!I85)</f>
        <v/>
      </c>
      <c r="D85" s="38" t="str">
        <f t="shared" si="1"/>
        <v/>
      </c>
      <c r="E85" s="42" t="str">
        <f t="shared" si="2"/>
        <v/>
      </c>
      <c r="F85" s="42" t="str">
        <f>IF(A85="","",SETUP_RATES!$K$5)</f>
        <v/>
      </c>
      <c r="G85" s="42" t="str">
        <f t="shared" si="3"/>
        <v/>
      </c>
      <c r="H85" s="33" t="str">
        <f t="shared" si="4"/>
        <v/>
      </c>
    </row>
    <row r="86" ht="15.75" customHeight="1">
      <c r="A86" s="33" t="str">
        <f>IF(COSTING!A86="","",COSTING!A86)</f>
        <v/>
      </c>
      <c r="B86" s="38" t="str">
        <f>IF(A86="","",COSTING!J86)</f>
        <v/>
      </c>
      <c r="C86" s="38" t="str">
        <f>IF(A86="","",COSTING!I86)</f>
        <v/>
      </c>
      <c r="D86" s="38" t="str">
        <f t="shared" si="1"/>
        <v/>
      </c>
      <c r="E86" s="42" t="str">
        <f t="shared" si="2"/>
        <v/>
      </c>
      <c r="F86" s="42" t="str">
        <f>IF(A86="","",SETUP_RATES!$K$5)</f>
        <v/>
      </c>
      <c r="G86" s="42" t="str">
        <f t="shared" si="3"/>
        <v/>
      </c>
      <c r="H86" s="33" t="str">
        <f t="shared" si="4"/>
        <v/>
      </c>
    </row>
    <row r="87" ht="15.75" customHeight="1">
      <c r="A87" s="33" t="str">
        <f>IF(COSTING!A87="","",COSTING!A87)</f>
        <v/>
      </c>
      <c r="B87" s="38" t="str">
        <f>IF(A87="","",COSTING!J87)</f>
        <v/>
      </c>
      <c r="C87" s="38" t="str">
        <f>IF(A87="","",COSTING!I87)</f>
        <v/>
      </c>
      <c r="D87" s="38" t="str">
        <f t="shared" si="1"/>
        <v/>
      </c>
      <c r="E87" s="42" t="str">
        <f t="shared" si="2"/>
        <v/>
      </c>
      <c r="F87" s="42" t="str">
        <f>IF(A87="","",SETUP_RATES!$K$5)</f>
        <v/>
      </c>
      <c r="G87" s="42" t="str">
        <f t="shared" si="3"/>
        <v/>
      </c>
      <c r="H87" s="33" t="str">
        <f t="shared" si="4"/>
        <v/>
      </c>
    </row>
    <row r="88" ht="15.75" customHeight="1">
      <c r="A88" s="33" t="str">
        <f>IF(COSTING!A88="","",COSTING!A88)</f>
        <v/>
      </c>
      <c r="B88" s="38" t="str">
        <f>IF(A88="","",COSTING!J88)</f>
        <v/>
      </c>
      <c r="C88" s="38" t="str">
        <f>IF(A88="","",COSTING!I88)</f>
        <v/>
      </c>
      <c r="D88" s="38" t="str">
        <f t="shared" si="1"/>
        <v/>
      </c>
      <c r="E88" s="42" t="str">
        <f t="shared" si="2"/>
        <v/>
      </c>
      <c r="F88" s="42" t="str">
        <f>IF(A88="","",SETUP_RATES!$K$5)</f>
        <v/>
      </c>
      <c r="G88" s="42" t="str">
        <f t="shared" si="3"/>
        <v/>
      </c>
      <c r="H88" s="33" t="str">
        <f t="shared" si="4"/>
        <v/>
      </c>
    </row>
    <row r="89" ht="15.75" customHeight="1">
      <c r="A89" s="33" t="str">
        <f>IF(COSTING!A89="","",COSTING!A89)</f>
        <v/>
      </c>
      <c r="B89" s="38" t="str">
        <f>IF(A89="","",COSTING!J89)</f>
        <v/>
      </c>
      <c r="C89" s="38" t="str">
        <f>IF(A89="","",COSTING!I89)</f>
        <v/>
      </c>
      <c r="D89" s="38" t="str">
        <f t="shared" si="1"/>
        <v/>
      </c>
      <c r="E89" s="42" t="str">
        <f t="shared" si="2"/>
        <v/>
      </c>
      <c r="F89" s="42" t="str">
        <f>IF(A89="","",SETUP_RATES!$K$5)</f>
        <v/>
      </c>
      <c r="G89" s="42" t="str">
        <f t="shared" si="3"/>
        <v/>
      </c>
      <c r="H89" s="33" t="str">
        <f t="shared" si="4"/>
        <v/>
      </c>
    </row>
    <row r="90" ht="15.75" customHeight="1">
      <c r="A90" s="33" t="str">
        <f>IF(COSTING!A90="","",COSTING!A90)</f>
        <v/>
      </c>
      <c r="B90" s="38" t="str">
        <f>IF(A90="","",COSTING!J90)</f>
        <v/>
      </c>
      <c r="C90" s="38" t="str">
        <f>IF(A90="","",COSTING!I90)</f>
        <v/>
      </c>
      <c r="D90" s="38" t="str">
        <f t="shared" si="1"/>
        <v/>
      </c>
      <c r="E90" s="42" t="str">
        <f t="shared" si="2"/>
        <v/>
      </c>
      <c r="F90" s="42" t="str">
        <f>IF(A90="","",SETUP_RATES!$K$5)</f>
        <v/>
      </c>
      <c r="G90" s="42" t="str">
        <f t="shared" si="3"/>
        <v/>
      </c>
      <c r="H90" s="33" t="str">
        <f t="shared" si="4"/>
        <v/>
      </c>
    </row>
    <row r="91" ht="15.75" customHeight="1">
      <c r="A91" s="33" t="str">
        <f>IF(COSTING!A91="","",COSTING!A91)</f>
        <v/>
      </c>
      <c r="B91" s="38" t="str">
        <f>IF(A91="","",COSTING!J91)</f>
        <v/>
      </c>
      <c r="C91" s="38" t="str">
        <f>IF(A91="","",COSTING!I91)</f>
        <v/>
      </c>
      <c r="D91" s="38" t="str">
        <f t="shared" si="1"/>
        <v/>
      </c>
      <c r="E91" s="42" t="str">
        <f t="shared" si="2"/>
        <v/>
      </c>
      <c r="F91" s="42" t="str">
        <f>IF(A91="","",SETUP_RATES!$K$5)</f>
        <v/>
      </c>
      <c r="G91" s="42" t="str">
        <f t="shared" si="3"/>
        <v/>
      </c>
      <c r="H91" s="33" t="str">
        <f t="shared" si="4"/>
        <v/>
      </c>
    </row>
    <row r="92" ht="15.75" customHeight="1">
      <c r="A92" s="33" t="str">
        <f>IF(COSTING!A92="","",COSTING!A92)</f>
        <v/>
      </c>
      <c r="B92" s="38" t="str">
        <f>IF(A92="","",COSTING!J92)</f>
        <v/>
      </c>
      <c r="C92" s="38" t="str">
        <f>IF(A92="","",COSTING!I92)</f>
        <v/>
      </c>
      <c r="D92" s="38" t="str">
        <f t="shared" si="1"/>
        <v/>
      </c>
      <c r="E92" s="42" t="str">
        <f t="shared" si="2"/>
        <v/>
      </c>
      <c r="F92" s="42" t="str">
        <f>IF(A92="","",SETUP_RATES!$K$5)</f>
        <v/>
      </c>
      <c r="G92" s="42" t="str">
        <f t="shared" si="3"/>
        <v/>
      </c>
      <c r="H92" s="33" t="str">
        <f t="shared" si="4"/>
        <v/>
      </c>
    </row>
    <row r="93" ht="15.75" customHeight="1">
      <c r="A93" s="33" t="str">
        <f>IF(COSTING!A93="","",COSTING!A93)</f>
        <v/>
      </c>
      <c r="B93" s="38" t="str">
        <f>IF(A93="","",COSTING!J93)</f>
        <v/>
      </c>
      <c r="C93" s="38" t="str">
        <f>IF(A93="","",COSTING!I93)</f>
        <v/>
      </c>
      <c r="D93" s="38" t="str">
        <f t="shared" si="1"/>
        <v/>
      </c>
      <c r="E93" s="42" t="str">
        <f t="shared" si="2"/>
        <v/>
      </c>
      <c r="F93" s="42" t="str">
        <f>IF(A93="","",SETUP_RATES!$K$5)</f>
        <v/>
      </c>
      <c r="G93" s="42" t="str">
        <f t="shared" si="3"/>
        <v/>
      </c>
      <c r="H93" s="33" t="str">
        <f t="shared" si="4"/>
        <v/>
      </c>
    </row>
    <row r="94" ht="15.75" customHeight="1">
      <c r="A94" s="33" t="str">
        <f>IF(COSTING!A94="","",COSTING!A94)</f>
        <v/>
      </c>
      <c r="B94" s="38" t="str">
        <f>IF(A94="","",COSTING!J94)</f>
        <v/>
      </c>
      <c r="C94" s="38" t="str">
        <f>IF(A94="","",COSTING!I94)</f>
        <v/>
      </c>
      <c r="D94" s="38" t="str">
        <f t="shared" si="1"/>
        <v/>
      </c>
      <c r="E94" s="42" t="str">
        <f t="shared" si="2"/>
        <v/>
      </c>
      <c r="F94" s="42" t="str">
        <f>IF(A94="","",SETUP_RATES!$K$5)</f>
        <v/>
      </c>
      <c r="G94" s="42" t="str">
        <f t="shared" si="3"/>
        <v/>
      </c>
      <c r="H94" s="33" t="str">
        <f t="shared" si="4"/>
        <v/>
      </c>
    </row>
    <row r="95" ht="15.75" customHeight="1">
      <c r="A95" s="33" t="str">
        <f>IF(COSTING!A95="","",COSTING!A95)</f>
        <v/>
      </c>
      <c r="B95" s="38" t="str">
        <f>IF(A95="","",COSTING!J95)</f>
        <v/>
      </c>
      <c r="C95" s="38" t="str">
        <f>IF(A95="","",COSTING!I95)</f>
        <v/>
      </c>
      <c r="D95" s="38" t="str">
        <f t="shared" si="1"/>
        <v/>
      </c>
      <c r="E95" s="42" t="str">
        <f t="shared" si="2"/>
        <v/>
      </c>
      <c r="F95" s="42" t="str">
        <f>IF(A95="","",SETUP_RATES!$K$5)</f>
        <v/>
      </c>
      <c r="G95" s="42" t="str">
        <f t="shared" si="3"/>
        <v/>
      </c>
      <c r="H95" s="33" t="str">
        <f t="shared" si="4"/>
        <v/>
      </c>
    </row>
    <row r="96" ht="15.75" customHeight="1">
      <c r="A96" s="33" t="str">
        <f>IF(COSTING!A96="","",COSTING!A96)</f>
        <v/>
      </c>
      <c r="B96" s="38" t="str">
        <f>IF(A96="","",COSTING!J96)</f>
        <v/>
      </c>
      <c r="C96" s="38" t="str">
        <f>IF(A96="","",COSTING!I96)</f>
        <v/>
      </c>
      <c r="D96" s="38" t="str">
        <f t="shared" si="1"/>
        <v/>
      </c>
      <c r="E96" s="42" t="str">
        <f t="shared" si="2"/>
        <v/>
      </c>
      <c r="F96" s="42" t="str">
        <f>IF(A96="","",SETUP_RATES!$K$5)</f>
        <v/>
      </c>
      <c r="G96" s="42" t="str">
        <f t="shared" si="3"/>
        <v/>
      </c>
      <c r="H96" s="33" t="str">
        <f t="shared" si="4"/>
        <v/>
      </c>
    </row>
    <row r="97" ht="15.75" customHeight="1">
      <c r="A97" s="33" t="str">
        <f>IF(COSTING!A97="","",COSTING!A97)</f>
        <v/>
      </c>
      <c r="B97" s="38" t="str">
        <f>IF(A97="","",COSTING!J97)</f>
        <v/>
      </c>
      <c r="C97" s="38" t="str">
        <f>IF(A97="","",COSTING!I97)</f>
        <v/>
      </c>
      <c r="D97" s="38" t="str">
        <f t="shared" si="1"/>
        <v/>
      </c>
      <c r="E97" s="42" t="str">
        <f t="shared" si="2"/>
        <v/>
      </c>
      <c r="F97" s="42" t="str">
        <f>IF(A97="","",SETUP_RATES!$K$5)</f>
        <v/>
      </c>
      <c r="G97" s="42" t="str">
        <f t="shared" si="3"/>
        <v/>
      </c>
      <c r="H97" s="33" t="str">
        <f t="shared" si="4"/>
        <v/>
      </c>
    </row>
    <row r="98" ht="15.75" customHeight="1">
      <c r="A98" s="33" t="str">
        <f>IF(COSTING!A98="","",COSTING!A98)</f>
        <v/>
      </c>
      <c r="B98" s="38" t="str">
        <f>IF(A98="","",COSTING!J98)</f>
        <v/>
      </c>
      <c r="C98" s="38" t="str">
        <f>IF(A98="","",COSTING!I98)</f>
        <v/>
      </c>
      <c r="D98" s="38" t="str">
        <f t="shared" si="1"/>
        <v/>
      </c>
      <c r="E98" s="42" t="str">
        <f t="shared" si="2"/>
        <v/>
      </c>
      <c r="F98" s="42" t="str">
        <f>IF(A98="","",SETUP_RATES!$K$5)</f>
        <v/>
      </c>
      <c r="G98" s="42" t="str">
        <f t="shared" si="3"/>
        <v/>
      </c>
      <c r="H98" s="33" t="str">
        <f t="shared" si="4"/>
        <v/>
      </c>
    </row>
    <row r="99" ht="15.75" customHeight="1">
      <c r="A99" s="33" t="str">
        <f>IF(COSTING!A99="","",COSTING!A99)</f>
        <v/>
      </c>
      <c r="B99" s="38" t="str">
        <f>IF(A99="","",COSTING!J99)</f>
        <v/>
      </c>
      <c r="C99" s="38" t="str">
        <f>IF(A99="","",COSTING!I99)</f>
        <v/>
      </c>
      <c r="D99" s="38" t="str">
        <f t="shared" si="1"/>
        <v/>
      </c>
      <c r="E99" s="42" t="str">
        <f t="shared" si="2"/>
        <v/>
      </c>
      <c r="F99" s="42" t="str">
        <f>IF(A99="","",SETUP_RATES!$K$5)</f>
        <v/>
      </c>
      <c r="G99" s="42" t="str">
        <f t="shared" si="3"/>
        <v/>
      </c>
      <c r="H99" s="33" t="str">
        <f t="shared" si="4"/>
        <v/>
      </c>
    </row>
    <row r="100" ht="15.75" customHeight="1">
      <c r="A100" s="33" t="str">
        <f>IF(COSTING!A100="","",COSTING!A100)</f>
        <v/>
      </c>
      <c r="B100" s="38" t="str">
        <f>IF(A100="","",COSTING!J100)</f>
        <v/>
      </c>
      <c r="C100" s="38" t="str">
        <f>IF(A100="","",COSTING!I100)</f>
        <v/>
      </c>
      <c r="D100" s="38" t="str">
        <f t="shared" si="1"/>
        <v/>
      </c>
      <c r="E100" s="42" t="str">
        <f t="shared" si="2"/>
        <v/>
      </c>
      <c r="F100" s="42" t="str">
        <f>IF(A100="","",SETUP_RATES!$K$5)</f>
        <v/>
      </c>
      <c r="G100" s="42" t="str">
        <f t="shared" si="3"/>
        <v/>
      </c>
      <c r="H100" s="33" t="str">
        <f t="shared" si="4"/>
        <v/>
      </c>
    </row>
    <row r="101" ht="15.75" customHeight="1">
      <c r="A101" s="33" t="str">
        <f>IF(COSTING!A101="","",COSTING!A101)</f>
        <v/>
      </c>
      <c r="B101" s="38" t="str">
        <f>IF(A101="","",COSTING!J101)</f>
        <v/>
      </c>
      <c r="C101" s="38" t="str">
        <f>IF(A101="","",COSTING!I101)</f>
        <v/>
      </c>
      <c r="D101" s="38" t="str">
        <f t="shared" si="1"/>
        <v/>
      </c>
      <c r="E101" s="42" t="str">
        <f t="shared" si="2"/>
        <v/>
      </c>
      <c r="F101" s="42" t="str">
        <f>IF(A101="","",SETUP_RATES!$K$5)</f>
        <v/>
      </c>
      <c r="G101" s="42" t="str">
        <f t="shared" si="3"/>
        <v/>
      </c>
      <c r="H101" s="33" t="str">
        <f t="shared" si="4"/>
        <v/>
      </c>
    </row>
    <row r="102" ht="15.75" customHeight="1">
      <c r="A102" s="33" t="str">
        <f>IF(COSTING!A102="","",COSTING!A102)</f>
        <v/>
      </c>
      <c r="B102" s="38" t="str">
        <f>IF(A102="","",COSTING!J102)</f>
        <v/>
      </c>
      <c r="C102" s="38" t="str">
        <f>IF(A102="","",COSTING!I102)</f>
        <v/>
      </c>
      <c r="D102" s="38" t="str">
        <f t="shared" si="1"/>
        <v/>
      </c>
      <c r="E102" s="42" t="str">
        <f t="shared" si="2"/>
        <v/>
      </c>
      <c r="F102" s="42" t="str">
        <f>IF(A102="","",SETUP_RATES!$K$5)</f>
        <v/>
      </c>
      <c r="G102" s="42" t="str">
        <f t="shared" si="3"/>
        <v/>
      </c>
      <c r="H102" s="33" t="str">
        <f t="shared" si="4"/>
        <v/>
      </c>
    </row>
    <row r="103" ht="15.75" customHeight="1">
      <c r="A103" s="33" t="str">
        <f>IF(COSTING!A103="","",COSTING!A103)</f>
        <v/>
      </c>
      <c r="B103" s="38" t="str">
        <f>IF(A103="","",COSTING!J103)</f>
        <v/>
      </c>
      <c r="C103" s="38" t="str">
        <f>IF(A103="","",COSTING!I103)</f>
        <v/>
      </c>
      <c r="D103" s="38" t="str">
        <f t="shared" si="1"/>
        <v/>
      </c>
      <c r="E103" s="42" t="str">
        <f t="shared" si="2"/>
        <v/>
      </c>
      <c r="F103" s="42" t="str">
        <f>IF(A103="","",SETUP_RATES!$K$5)</f>
        <v/>
      </c>
      <c r="G103" s="42" t="str">
        <f t="shared" si="3"/>
        <v/>
      </c>
      <c r="H103" s="33" t="str">
        <f t="shared" si="4"/>
        <v/>
      </c>
    </row>
    <row r="104" ht="15.75" customHeight="1">
      <c r="A104" s="33" t="str">
        <f>IF(COSTING!A104="","",COSTING!A104)</f>
        <v/>
      </c>
      <c r="B104" s="38" t="str">
        <f>IF(A104="","",COSTING!J104)</f>
        <v/>
      </c>
      <c r="C104" s="38" t="str">
        <f>IF(A104="","",COSTING!I104)</f>
        <v/>
      </c>
      <c r="D104" s="38" t="str">
        <f t="shared" si="1"/>
        <v/>
      </c>
      <c r="E104" s="42" t="str">
        <f t="shared" si="2"/>
        <v/>
      </c>
      <c r="F104" s="42" t="str">
        <f>IF(A104="","",SETUP_RATES!$K$5)</f>
        <v/>
      </c>
      <c r="G104" s="42" t="str">
        <f t="shared" si="3"/>
        <v/>
      </c>
      <c r="H104" s="33" t="str">
        <f t="shared" si="4"/>
        <v/>
      </c>
    </row>
    <row r="105" ht="15.75" customHeight="1">
      <c r="A105" s="33" t="str">
        <f>IF(COSTING!A105="","",COSTING!A105)</f>
        <v/>
      </c>
      <c r="B105" s="38" t="str">
        <f>IF(A105="","",COSTING!J105)</f>
        <v/>
      </c>
      <c r="C105" s="38" t="str">
        <f>IF(A105="","",COSTING!I105)</f>
        <v/>
      </c>
      <c r="D105" s="38" t="str">
        <f t="shared" si="1"/>
        <v/>
      </c>
      <c r="E105" s="42" t="str">
        <f t="shared" si="2"/>
        <v/>
      </c>
      <c r="F105" s="42" t="str">
        <f>IF(A105="","",SETUP_RATES!$K$5)</f>
        <v/>
      </c>
      <c r="G105" s="42" t="str">
        <f t="shared" si="3"/>
        <v/>
      </c>
      <c r="H105" s="33" t="str">
        <f t="shared" si="4"/>
        <v/>
      </c>
    </row>
    <row r="106" ht="15.75" customHeight="1">
      <c r="A106" s="33" t="str">
        <f>IF(COSTING!A106="","",COSTING!A106)</f>
        <v/>
      </c>
      <c r="B106" s="38" t="str">
        <f>IF(A106="","",COSTING!J106)</f>
        <v/>
      </c>
      <c r="C106" s="38" t="str">
        <f>IF(A106="","",COSTING!I106)</f>
        <v/>
      </c>
      <c r="D106" s="38" t="str">
        <f t="shared" si="1"/>
        <v/>
      </c>
      <c r="E106" s="42" t="str">
        <f t="shared" si="2"/>
        <v/>
      </c>
      <c r="F106" s="42" t="str">
        <f>IF(A106="","",SETUP_RATES!$K$5)</f>
        <v/>
      </c>
      <c r="G106" s="42" t="str">
        <f t="shared" si="3"/>
        <v/>
      </c>
      <c r="H106" s="33" t="str">
        <f t="shared" si="4"/>
        <v/>
      </c>
    </row>
    <row r="107" ht="15.75" customHeight="1">
      <c r="A107" s="33" t="str">
        <f>IF(COSTING!A107="","",COSTING!A107)</f>
        <v/>
      </c>
      <c r="B107" s="38" t="str">
        <f>IF(A107="","",COSTING!J107)</f>
        <v/>
      </c>
      <c r="C107" s="38" t="str">
        <f>IF(A107="","",COSTING!I107)</f>
        <v/>
      </c>
      <c r="D107" s="38" t="str">
        <f t="shared" si="1"/>
        <v/>
      </c>
      <c r="E107" s="42" t="str">
        <f t="shared" si="2"/>
        <v/>
      </c>
      <c r="F107" s="42" t="str">
        <f>IF(A107="","",SETUP_RATES!$K$5)</f>
        <v/>
      </c>
      <c r="G107" s="42" t="str">
        <f t="shared" si="3"/>
        <v/>
      </c>
      <c r="H107" s="33" t="str">
        <f t="shared" si="4"/>
        <v/>
      </c>
    </row>
    <row r="108" ht="15.75" customHeight="1">
      <c r="A108" s="33" t="str">
        <f>IF(COSTING!A108="","",COSTING!A108)</f>
        <v/>
      </c>
      <c r="B108" s="38" t="str">
        <f>IF(A108="","",COSTING!J108)</f>
        <v/>
      </c>
      <c r="C108" s="38" t="str">
        <f>IF(A108="","",COSTING!I108)</f>
        <v/>
      </c>
      <c r="D108" s="38" t="str">
        <f t="shared" si="1"/>
        <v/>
      </c>
      <c r="E108" s="42" t="str">
        <f t="shared" si="2"/>
        <v/>
      </c>
      <c r="F108" s="42" t="str">
        <f>IF(A108="","",SETUP_RATES!$K$5)</f>
        <v/>
      </c>
      <c r="G108" s="42" t="str">
        <f t="shared" si="3"/>
        <v/>
      </c>
      <c r="H108" s="33" t="str">
        <f t="shared" si="4"/>
        <v/>
      </c>
    </row>
    <row r="109" ht="15.75" customHeight="1">
      <c r="A109" s="33" t="str">
        <f>IF(COSTING!A109="","",COSTING!A109)</f>
        <v/>
      </c>
      <c r="B109" s="38" t="str">
        <f>IF(A109="","",COSTING!J109)</f>
        <v/>
      </c>
      <c r="C109" s="38" t="str">
        <f>IF(A109="","",COSTING!I109)</f>
        <v/>
      </c>
      <c r="D109" s="38" t="str">
        <f t="shared" si="1"/>
        <v/>
      </c>
      <c r="E109" s="42" t="str">
        <f t="shared" si="2"/>
        <v/>
      </c>
      <c r="F109" s="42" t="str">
        <f>IF(A109="","",SETUP_RATES!$K$5)</f>
        <v/>
      </c>
      <c r="G109" s="42" t="str">
        <f t="shared" si="3"/>
        <v/>
      </c>
      <c r="H109" s="33" t="str">
        <f t="shared" si="4"/>
        <v/>
      </c>
    </row>
    <row r="110" ht="15.75" customHeight="1">
      <c r="A110" s="33" t="str">
        <f>IF(COSTING!A110="","",COSTING!A110)</f>
        <v/>
      </c>
      <c r="B110" s="38" t="str">
        <f>IF(A110="","",COSTING!J110)</f>
        <v/>
      </c>
      <c r="C110" s="38" t="str">
        <f>IF(A110="","",COSTING!I110)</f>
        <v/>
      </c>
      <c r="D110" s="38" t="str">
        <f t="shared" si="1"/>
        <v/>
      </c>
      <c r="E110" s="42" t="str">
        <f t="shared" si="2"/>
        <v/>
      </c>
      <c r="F110" s="42" t="str">
        <f>IF(A110="","",SETUP_RATES!$K$5)</f>
        <v/>
      </c>
      <c r="G110" s="42" t="str">
        <f t="shared" si="3"/>
        <v/>
      </c>
      <c r="H110" s="33" t="str">
        <f t="shared" si="4"/>
        <v/>
      </c>
    </row>
    <row r="111" ht="15.75" customHeight="1">
      <c r="A111" s="33" t="str">
        <f>IF(COSTING!A111="","",COSTING!A111)</f>
        <v/>
      </c>
      <c r="B111" s="38" t="str">
        <f>IF(A111="","",COSTING!J111)</f>
        <v/>
      </c>
      <c r="C111" s="38" t="str">
        <f>IF(A111="","",COSTING!I111)</f>
        <v/>
      </c>
      <c r="D111" s="38" t="str">
        <f t="shared" si="1"/>
        <v/>
      </c>
      <c r="E111" s="42" t="str">
        <f t="shared" si="2"/>
        <v/>
      </c>
      <c r="F111" s="42" t="str">
        <f>IF(A111="","",SETUP_RATES!$K$5)</f>
        <v/>
      </c>
      <c r="G111" s="42" t="str">
        <f t="shared" si="3"/>
        <v/>
      </c>
      <c r="H111" s="33" t="str">
        <f t="shared" si="4"/>
        <v/>
      </c>
    </row>
    <row r="112" ht="15.75" customHeight="1">
      <c r="A112" s="33" t="str">
        <f>IF(COSTING!A112="","",COSTING!A112)</f>
        <v/>
      </c>
      <c r="B112" s="38" t="str">
        <f>IF(A112="","",COSTING!J112)</f>
        <v/>
      </c>
      <c r="C112" s="38" t="str">
        <f>IF(A112="","",COSTING!I112)</f>
        <v/>
      </c>
      <c r="D112" s="38" t="str">
        <f t="shared" si="1"/>
        <v/>
      </c>
      <c r="E112" s="42" t="str">
        <f t="shared" si="2"/>
        <v/>
      </c>
      <c r="F112" s="42" t="str">
        <f>IF(A112="","",SETUP_RATES!$K$5)</f>
        <v/>
      </c>
      <c r="G112" s="42" t="str">
        <f t="shared" si="3"/>
        <v/>
      </c>
      <c r="H112" s="33" t="str">
        <f t="shared" si="4"/>
        <v/>
      </c>
    </row>
    <row r="113" ht="15.75" customHeight="1">
      <c r="A113" s="33" t="str">
        <f>IF(COSTING!A113="","",COSTING!A113)</f>
        <v/>
      </c>
      <c r="B113" s="38" t="str">
        <f>IF(A113="","",COSTING!J113)</f>
        <v/>
      </c>
      <c r="C113" s="38" t="str">
        <f>IF(A113="","",COSTING!I113)</f>
        <v/>
      </c>
      <c r="D113" s="38" t="str">
        <f t="shared" si="1"/>
        <v/>
      </c>
      <c r="E113" s="42" t="str">
        <f t="shared" si="2"/>
        <v/>
      </c>
      <c r="F113" s="42" t="str">
        <f>IF(A113="","",SETUP_RATES!$K$5)</f>
        <v/>
      </c>
      <c r="G113" s="42" t="str">
        <f t="shared" si="3"/>
        <v/>
      </c>
      <c r="H113" s="33" t="str">
        <f t="shared" si="4"/>
        <v/>
      </c>
    </row>
    <row r="114" ht="15.75" customHeight="1">
      <c r="A114" s="33" t="str">
        <f>IF(COSTING!A114="","",COSTING!A114)</f>
        <v/>
      </c>
      <c r="B114" s="38" t="str">
        <f>IF(A114="","",COSTING!J114)</f>
        <v/>
      </c>
      <c r="C114" s="38" t="str">
        <f>IF(A114="","",COSTING!I114)</f>
        <v/>
      </c>
      <c r="D114" s="38" t="str">
        <f t="shared" si="1"/>
        <v/>
      </c>
      <c r="E114" s="42" t="str">
        <f t="shared" si="2"/>
        <v/>
      </c>
      <c r="F114" s="42" t="str">
        <f>IF(A114="","",SETUP_RATES!$K$5)</f>
        <v/>
      </c>
      <c r="G114" s="42" t="str">
        <f t="shared" si="3"/>
        <v/>
      </c>
      <c r="H114" s="33" t="str">
        <f t="shared" si="4"/>
        <v/>
      </c>
    </row>
    <row r="115" ht="15.75" customHeight="1">
      <c r="A115" s="33" t="str">
        <f>IF(COSTING!A115="","",COSTING!A115)</f>
        <v/>
      </c>
      <c r="B115" s="38" t="str">
        <f>IF(A115="","",COSTING!J115)</f>
        <v/>
      </c>
      <c r="C115" s="38" t="str">
        <f>IF(A115="","",COSTING!I115)</f>
        <v/>
      </c>
      <c r="D115" s="38" t="str">
        <f t="shared" si="1"/>
        <v/>
      </c>
      <c r="E115" s="42" t="str">
        <f t="shared" si="2"/>
        <v/>
      </c>
      <c r="F115" s="42" t="str">
        <f>IF(A115="","",SETUP_RATES!$K$5)</f>
        <v/>
      </c>
      <c r="G115" s="42" t="str">
        <f t="shared" si="3"/>
        <v/>
      </c>
      <c r="H115" s="33" t="str">
        <f t="shared" si="4"/>
        <v/>
      </c>
    </row>
    <row r="116" ht="15.75" customHeight="1">
      <c r="A116" s="33" t="str">
        <f>IF(COSTING!A116="","",COSTING!A116)</f>
        <v/>
      </c>
      <c r="B116" s="38" t="str">
        <f>IF(A116="","",COSTING!J116)</f>
        <v/>
      </c>
      <c r="C116" s="38" t="str">
        <f>IF(A116="","",COSTING!I116)</f>
        <v/>
      </c>
      <c r="D116" s="38" t="str">
        <f t="shared" si="1"/>
        <v/>
      </c>
      <c r="E116" s="42" t="str">
        <f t="shared" si="2"/>
        <v/>
      </c>
      <c r="F116" s="42" t="str">
        <f>IF(A116="","",SETUP_RATES!$K$5)</f>
        <v/>
      </c>
      <c r="G116" s="42" t="str">
        <f t="shared" si="3"/>
        <v/>
      </c>
      <c r="H116" s="33" t="str">
        <f t="shared" si="4"/>
        <v/>
      </c>
    </row>
    <row r="117" ht="15.75" customHeight="1">
      <c r="A117" s="33" t="str">
        <f>IF(COSTING!A117="","",COSTING!A117)</f>
        <v/>
      </c>
      <c r="B117" s="38" t="str">
        <f>IF(A117="","",COSTING!J117)</f>
        <v/>
      </c>
      <c r="C117" s="38" t="str">
        <f>IF(A117="","",COSTING!I117)</f>
        <v/>
      </c>
      <c r="D117" s="38" t="str">
        <f t="shared" si="1"/>
        <v/>
      </c>
      <c r="E117" s="42" t="str">
        <f t="shared" si="2"/>
        <v/>
      </c>
      <c r="F117" s="42" t="str">
        <f>IF(A117="","",SETUP_RATES!$K$5)</f>
        <v/>
      </c>
      <c r="G117" s="42" t="str">
        <f t="shared" si="3"/>
        <v/>
      </c>
      <c r="H117" s="33" t="str">
        <f t="shared" si="4"/>
        <v/>
      </c>
    </row>
    <row r="118" ht="15.75" customHeight="1">
      <c r="A118" s="33" t="str">
        <f>IF(COSTING!A118="","",COSTING!A118)</f>
        <v/>
      </c>
      <c r="B118" s="38" t="str">
        <f>IF(A118="","",COSTING!J118)</f>
        <v/>
      </c>
      <c r="C118" s="38" t="str">
        <f>IF(A118="","",COSTING!I118)</f>
        <v/>
      </c>
      <c r="D118" s="38" t="str">
        <f t="shared" si="1"/>
        <v/>
      </c>
      <c r="E118" s="42" t="str">
        <f t="shared" si="2"/>
        <v/>
      </c>
      <c r="F118" s="42" t="str">
        <f>IF(A118="","",SETUP_RATES!$K$5)</f>
        <v/>
      </c>
      <c r="G118" s="42" t="str">
        <f t="shared" si="3"/>
        <v/>
      </c>
      <c r="H118" s="33" t="str">
        <f t="shared" si="4"/>
        <v/>
      </c>
    </row>
    <row r="119" ht="15.75" customHeight="1">
      <c r="A119" s="33" t="str">
        <f>IF(COSTING!A119="","",COSTING!A119)</f>
        <v/>
      </c>
      <c r="B119" s="38" t="str">
        <f>IF(A119="","",COSTING!J119)</f>
        <v/>
      </c>
      <c r="C119" s="38" t="str">
        <f>IF(A119="","",COSTING!I119)</f>
        <v/>
      </c>
      <c r="D119" s="38" t="str">
        <f t="shared" si="1"/>
        <v/>
      </c>
      <c r="E119" s="42" t="str">
        <f t="shared" si="2"/>
        <v/>
      </c>
      <c r="F119" s="42" t="str">
        <f>IF(A119="","",SETUP_RATES!$K$5)</f>
        <v/>
      </c>
      <c r="G119" s="42" t="str">
        <f t="shared" si="3"/>
        <v/>
      </c>
      <c r="H119" s="33" t="str">
        <f t="shared" si="4"/>
        <v/>
      </c>
    </row>
    <row r="120" ht="15.75" customHeight="1">
      <c r="A120" s="33" t="str">
        <f>IF(COSTING!A120="","",COSTING!A120)</f>
        <v/>
      </c>
      <c r="B120" s="38" t="str">
        <f>IF(A120="","",COSTING!J120)</f>
        <v/>
      </c>
      <c r="C120" s="38" t="str">
        <f>IF(A120="","",COSTING!I120)</f>
        <v/>
      </c>
      <c r="D120" s="38" t="str">
        <f t="shared" si="1"/>
        <v/>
      </c>
      <c r="E120" s="42" t="str">
        <f t="shared" si="2"/>
        <v/>
      </c>
      <c r="F120" s="42" t="str">
        <f>IF(A120="","",SETUP_RATES!$K$5)</f>
        <v/>
      </c>
      <c r="G120" s="42" t="str">
        <f t="shared" si="3"/>
        <v/>
      </c>
      <c r="H120" s="33" t="str">
        <f t="shared" si="4"/>
        <v/>
      </c>
    </row>
    <row r="121" ht="15.75" customHeight="1">
      <c r="A121" s="33" t="str">
        <f>IF(COSTING!A121="","",COSTING!A121)</f>
        <v/>
      </c>
      <c r="B121" s="38" t="str">
        <f>IF(A121="","",COSTING!J121)</f>
        <v/>
      </c>
      <c r="C121" s="38" t="str">
        <f>IF(A121="","",COSTING!I121)</f>
        <v/>
      </c>
      <c r="D121" s="38" t="str">
        <f t="shared" si="1"/>
        <v/>
      </c>
      <c r="E121" s="42" t="str">
        <f t="shared" si="2"/>
        <v/>
      </c>
      <c r="F121" s="42" t="str">
        <f>IF(A121="","",SETUP_RATES!$K$5)</f>
        <v/>
      </c>
      <c r="G121" s="42" t="str">
        <f t="shared" si="3"/>
        <v/>
      </c>
      <c r="H121" s="33" t="str">
        <f t="shared" si="4"/>
        <v/>
      </c>
    </row>
    <row r="122" ht="15.75" customHeight="1">
      <c r="A122" s="33" t="str">
        <f>IF(COSTING!A122="","",COSTING!A122)</f>
        <v/>
      </c>
      <c r="B122" s="38" t="str">
        <f>IF(A122="","",COSTING!J122)</f>
        <v/>
      </c>
      <c r="C122" s="38" t="str">
        <f>IF(A122="","",COSTING!I122)</f>
        <v/>
      </c>
      <c r="D122" s="38" t="str">
        <f t="shared" si="1"/>
        <v/>
      </c>
      <c r="E122" s="42" t="str">
        <f t="shared" si="2"/>
        <v/>
      </c>
      <c r="F122" s="42" t="str">
        <f>IF(A122="","",SETUP_RATES!$K$5)</f>
        <v/>
      </c>
      <c r="G122" s="42" t="str">
        <f t="shared" si="3"/>
        <v/>
      </c>
      <c r="H122" s="33" t="str">
        <f t="shared" si="4"/>
        <v/>
      </c>
    </row>
    <row r="123" ht="15.75" customHeight="1">
      <c r="A123" s="33" t="str">
        <f>IF(COSTING!A123="","",COSTING!A123)</f>
        <v/>
      </c>
      <c r="B123" s="38" t="str">
        <f>IF(A123="","",COSTING!J123)</f>
        <v/>
      </c>
      <c r="C123" s="38" t="str">
        <f>IF(A123="","",COSTING!I123)</f>
        <v/>
      </c>
      <c r="D123" s="38" t="str">
        <f t="shared" si="1"/>
        <v/>
      </c>
      <c r="E123" s="42" t="str">
        <f t="shared" si="2"/>
        <v/>
      </c>
      <c r="F123" s="42" t="str">
        <f>IF(A123="","",SETUP_RATES!$K$5)</f>
        <v/>
      </c>
      <c r="G123" s="42" t="str">
        <f t="shared" si="3"/>
        <v/>
      </c>
      <c r="H123" s="33" t="str">
        <f t="shared" si="4"/>
        <v/>
      </c>
    </row>
    <row r="124" ht="15.75" customHeight="1">
      <c r="A124" s="33" t="str">
        <f>IF(COSTING!A124="","",COSTING!A124)</f>
        <v/>
      </c>
      <c r="B124" s="38" t="str">
        <f>IF(A124="","",COSTING!J124)</f>
        <v/>
      </c>
      <c r="C124" s="38" t="str">
        <f>IF(A124="","",COSTING!I124)</f>
        <v/>
      </c>
      <c r="D124" s="38" t="str">
        <f t="shared" si="1"/>
        <v/>
      </c>
      <c r="E124" s="42" t="str">
        <f t="shared" si="2"/>
        <v/>
      </c>
      <c r="F124" s="42" t="str">
        <f>IF(A124="","",SETUP_RATES!$K$5)</f>
        <v/>
      </c>
      <c r="G124" s="42" t="str">
        <f t="shared" si="3"/>
        <v/>
      </c>
      <c r="H124" s="33" t="str">
        <f t="shared" si="4"/>
        <v/>
      </c>
    </row>
    <row r="125" ht="15.75" customHeight="1">
      <c r="A125" s="33" t="str">
        <f>IF(COSTING!A125="","",COSTING!A125)</f>
        <v/>
      </c>
      <c r="B125" s="38" t="str">
        <f>IF(A125="","",COSTING!J125)</f>
        <v/>
      </c>
      <c r="C125" s="38" t="str">
        <f>IF(A125="","",COSTING!I125)</f>
        <v/>
      </c>
      <c r="D125" s="38" t="str">
        <f t="shared" si="1"/>
        <v/>
      </c>
      <c r="E125" s="42" t="str">
        <f t="shared" si="2"/>
        <v/>
      </c>
      <c r="F125" s="42" t="str">
        <f>IF(A125="","",SETUP_RATES!$K$5)</f>
        <v/>
      </c>
      <c r="G125" s="42" t="str">
        <f t="shared" si="3"/>
        <v/>
      </c>
      <c r="H125" s="33" t="str">
        <f t="shared" si="4"/>
        <v/>
      </c>
    </row>
    <row r="126" ht="15.75" customHeight="1">
      <c r="A126" s="33" t="str">
        <f>IF(COSTING!A126="","",COSTING!A126)</f>
        <v/>
      </c>
      <c r="B126" s="38" t="str">
        <f>IF(A126="","",COSTING!J126)</f>
        <v/>
      </c>
      <c r="C126" s="38" t="str">
        <f>IF(A126="","",COSTING!I126)</f>
        <v/>
      </c>
      <c r="D126" s="38" t="str">
        <f t="shared" si="1"/>
        <v/>
      </c>
      <c r="E126" s="42" t="str">
        <f t="shared" si="2"/>
        <v/>
      </c>
      <c r="F126" s="42" t="str">
        <f>IF(A126="","",SETUP_RATES!$K$5)</f>
        <v/>
      </c>
      <c r="G126" s="42" t="str">
        <f t="shared" si="3"/>
        <v/>
      </c>
      <c r="H126" s="33" t="str">
        <f t="shared" si="4"/>
        <v/>
      </c>
    </row>
    <row r="127" ht="15.75" customHeight="1">
      <c r="A127" s="33" t="str">
        <f>IF(COSTING!A127="","",COSTING!A127)</f>
        <v/>
      </c>
      <c r="B127" s="38" t="str">
        <f>IF(A127="","",COSTING!J127)</f>
        <v/>
      </c>
      <c r="C127" s="38" t="str">
        <f>IF(A127="","",COSTING!I127)</f>
        <v/>
      </c>
      <c r="D127" s="38" t="str">
        <f t="shared" si="1"/>
        <v/>
      </c>
      <c r="E127" s="42" t="str">
        <f t="shared" si="2"/>
        <v/>
      </c>
      <c r="F127" s="42" t="str">
        <f>IF(A127="","",SETUP_RATES!$K$5)</f>
        <v/>
      </c>
      <c r="G127" s="42" t="str">
        <f t="shared" si="3"/>
        <v/>
      </c>
      <c r="H127" s="33" t="str">
        <f t="shared" si="4"/>
        <v/>
      </c>
    </row>
    <row r="128" ht="15.75" customHeight="1">
      <c r="A128" s="33" t="str">
        <f>IF(COSTING!A128="","",COSTING!A128)</f>
        <v/>
      </c>
      <c r="B128" s="38" t="str">
        <f>IF(A128="","",COSTING!J128)</f>
        <v/>
      </c>
      <c r="C128" s="38" t="str">
        <f>IF(A128="","",COSTING!I128)</f>
        <v/>
      </c>
      <c r="D128" s="38" t="str">
        <f t="shared" si="1"/>
        <v/>
      </c>
      <c r="E128" s="42" t="str">
        <f t="shared" si="2"/>
        <v/>
      </c>
      <c r="F128" s="42" t="str">
        <f>IF(A128="","",SETUP_RATES!$K$5)</f>
        <v/>
      </c>
      <c r="G128" s="42" t="str">
        <f t="shared" si="3"/>
        <v/>
      </c>
      <c r="H128" s="33" t="str">
        <f t="shared" si="4"/>
        <v/>
      </c>
    </row>
    <row r="129" ht="15.75" customHeight="1">
      <c r="A129" s="33" t="str">
        <f>IF(COSTING!A129="","",COSTING!A129)</f>
        <v/>
      </c>
      <c r="B129" s="38" t="str">
        <f>IF(A129="","",COSTING!J129)</f>
        <v/>
      </c>
      <c r="C129" s="38" t="str">
        <f>IF(A129="","",COSTING!I129)</f>
        <v/>
      </c>
      <c r="D129" s="38" t="str">
        <f t="shared" si="1"/>
        <v/>
      </c>
      <c r="E129" s="42" t="str">
        <f t="shared" si="2"/>
        <v/>
      </c>
      <c r="F129" s="42" t="str">
        <f>IF(A129="","",SETUP_RATES!$K$5)</f>
        <v/>
      </c>
      <c r="G129" s="42" t="str">
        <f t="shared" si="3"/>
        <v/>
      </c>
      <c r="H129" s="33" t="str">
        <f t="shared" si="4"/>
        <v/>
      </c>
    </row>
    <row r="130" ht="15.75" customHeight="1">
      <c r="A130" s="33" t="str">
        <f>IF(COSTING!A130="","",COSTING!A130)</f>
        <v/>
      </c>
      <c r="B130" s="38" t="str">
        <f>IF(A130="","",COSTING!J130)</f>
        <v/>
      </c>
      <c r="C130" s="38" t="str">
        <f>IF(A130="","",COSTING!I130)</f>
        <v/>
      </c>
      <c r="D130" s="38" t="str">
        <f t="shared" si="1"/>
        <v/>
      </c>
      <c r="E130" s="42" t="str">
        <f t="shared" si="2"/>
        <v/>
      </c>
      <c r="F130" s="42" t="str">
        <f>IF(A130="","",SETUP_RATES!$K$5)</f>
        <v/>
      </c>
      <c r="G130" s="42" t="str">
        <f t="shared" si="3"/>
        <v/>
      </c>
      <c r="H130" s="33" t="str">
        <f t="shared" si="4"/>
        <v/>
      </c>
    </row>
    <row r="131" ht="15.75" customHeight="1">
      <c r="A131" s="33" t="str">
        <f>IF(COSTING!A131="","",COSTING!A131)</f>
        <v/>
      </c>
      <c r="B131" s="38" t="str">
        <f>IF(A131="","",COSTING!J131)</f>
        <v/>
      </c>
      <c r="C131" s="38" t="str">
        <f>IF(A131="","",COSTING!I131)</f>
        <v/>
      </c>
      <c r="D131" s="38" t="str">
        <f t="shared" si="1"/>
        <v/>
      </c>
      <c r="E131" s="42" t="str">
        <f t="shared" si="2"/>
        <v/>
      </c>
      <c r="F131" s="42" t="str">
        <f>IF(A131="","",SETUP_RATES!$K$5)</f>
        <v/>
      </c>
      <c r="G131" s="42" t="str">
        <f t="shared" si="3"/>
        <v/>
      </c>
      <c r="H131" s="33" t="str">
        <f t="shared" si="4"/>
        <v/>
      </c>
    </row>
    <row r="132" ht="15.75" customHeight="1">
      <c r="A132" s="33" t="str">
        <f>IF(COSTING!A132="","",COSTING!A132)</f>
        <v/>
      </c>
      <c r="B132" s="38" t="str">
        <f>IF(A132="","",COSTING!J132)</f>
        <v/>
      </c>
      <c r="C132" s="38" t="str">
        <f>IF(A132="","",COSTING!I132)</f>
        <v/>
      </c>
      <c r="D132" s="38" t="str">
        <f t="shared" si="1"/>
        <v/>
      </c>
      <c r="E132" s="42" t="str">
        <f t="shared" si="2"/>
        <v/>
      </c>
      <c r="F132" s="42" t="str">
        <f>IF(A132="","",SETUP_RATES!$K$5)</f>
        <v/>
      </c>
      <c r="G132" s="42" t="str">
        <f t="shared" si="3"/>
        <v/>
      </c>
      <c r="H132" s="33" t="str">
        <f t="shared" si="4"/>
        <v/>
      </c>
    </row>
    <row r="133" ht="15.75" customHeight="1">
      <c r="A133" s="33" t="str">
        <f>IF(COSTING!A133="","",COSTING!A133)</f>
        <v/>
      </c>
      <c r="B133" s="38" t="str">
        <f>IF(A133="","",COSTING!J133)</f>
        <v/>
      </c>
      <c r="C133" s="38" t="str">
        <f>IF(A133="","",COSTING!I133)</f>
        <v/>
      </c>
      <c r="D133" s="38" t="str">
        <f t="shared" si="1"/>
        <v/>
      </c>
      <c r="E133" s="42" t="str">
        <f t="shared" si="2"/>
        <v/>
      </c>
      <c r="F133" s="42" t="str">
        <f>IF(A133="","",SETUP_RATES!$K$5)</f>
        <v/>
      </c>
      <c r="G133" s="42" t="str">
        <f t="shared" si="3"/>
        <v/>
      </c>
      <c r="H133" s="33" t="str">
        <f t="shared" si="4"/>
        <v/>
      </c>
    </row>
    <row r="134" ht="15.75" customHeight="1">
      <c r="A134" s="33" t="str">
        <f>IF(COSTING!A134="","",COSTING!A134)</f>
        <v/>
      </c>
      <c r="B134" s="38" t="str">
        <f>IF(A134="","",COSTING!J134)</f>
        <v/>
      </c>
      <c r="C134" s="38" t="str">
        <f>IF(A134="","",COSTING!I134)</f>
        <v/>
      </c>
      <c r="D134" s="38" t="str">
        <f t="shared" si="1"/>
        <v/>
      </c>
      <c r="E134" s="42" t="str">
        <f t="shared" si="2"/>
        <v/>
      </c>
      <c r="F134" s="42" t="str">
        <f>IF(A134="","",SETUP_RATES!$K$5)</f>
        <v/>
      </c>
      <c r="G134" s="42" t="str">
        <f t="shared" si="3"/>
        <v/>
      </c>
      <c r="H134" s="33" t="str">
        <f t="shared" si="4"/>
        <v/>
      </c>
    </row>
    <row r="135" ht="15.75" customHeight="1">
      <c r="A135" s="33" t="str">
        <f>IF(COSTING!A135="","",COSTING!A135)</f>
        <v/>
      </c>
      <c r="B135" s="38" t="str">
        <f>IF(A135="","",COSTING!J135)</f>
        <v/>
      </c>
      <c r="C135" s="38" t="str">
        <f>IF(A135="","",COSTING!I135)</f>
        <v/>
      </c>
      <c r="D135" s="38" t="str">
        <f t="shared" si="1"/>
        <v/>
      </c>
      <c r="E135" s="42" t="str">
        <f t="shared" si="2"/>
        <v/>
      </c>
      <c r="F135" s="42" t="str">
        <f>IF(A135="","",SETUP_RATES!$K$5)</f>
        <v/>
      </c>
      <c r="G135" s="42" t="str">
        <f t="shared" si="3"/>
        <v/>
      </c>
      <c r="H135" s="33" t="str">
        <f t="shared" si="4"/>
        <v/>
      </c>
    </row>
    <row r="136" ht="15.75" customHeight="1">
      <c r="A136" s="33" t="str">
        <f>IF(COSTING!A136="","",COSTING!A136)</f>
        <v/>
      </c>
      <c r="B136" s="38" t="str">
        <f>IF(A136="","",COSTING!J136)</f>
        <v/>
      </c>
      <c r="C136" s="38" t="str">
        <f>IF(A136="","",COSTING!I136)</f>
        <v/>
      </c>
      <c r="D136" s="38" t="str">
        <f t="shared" si="1"/>
        <v/>
      </c>
      <c r="E136" s="42" t="str">
        <f t="shared" si="2"/>
        <v/>
      </c>
      <c r="F136" s="42" t="str">
        <f>IF(A136="","",SETUP_RATES!$K$5)</f>
        <v/>
      </c>
      <c r="G136" s="42" t="str">
        <f t="shared" si="3"/>
        <v/>
      </c>
      <c r="H136" s="33" t="str">
        <f t="shared" si="4"/>
        <v/>
      </c>
    </row>
    <row r="137" ht="15.75" customHeight="1">
      <c r="A137" s="33" t="str">
        <f>IF(COSTING!A137="","",COSTING!A137)</f>
        <v/>
      </c>
      <c r="B137" s="38" t="str">
        <f>IF(A137="","",COSTING!J137)</f>
        <v/>
      </c>
      <c r="C137" s="38" t="str">
        <f>IF(A137="","",COSTING!I137)</f>
        <v/>
      </c>
      <c r="D137" s="38" t="str">
        <f t="shared" si="1"/>
        <v/>
      </c>
      <c r="E137" s="42" t="str">
        <f t="shared" si="2"/>
        <v/>
      </c>
      <c r="F137" s="42" t="str">
        <f>IF(A137="","",SETUP_RATES!$K$5)</f>
        <v/>
      </c>
      <c r="G137" s="42" t="str">
        <f t="shared" si="3"/>
        <v/>
      </c>
      <c r="H137" s="33" t="str">
        <f t="shared" si="4"/>
        <v/>
      </c>
    </row>
    <row r="138" ht="15.75" customHeight="1">
      <c r="A138" s="33" t="str">
        <f>IF(COSTING!A138="","",COSTING!A138)</f>
        <v/>
      </c>
      <c r="B138" s="38" t="str">
        <f>IF(A138="","",COSTING!J138)</f>
        <v/>
      </c>
      <c r="C138" s="38" t="str">
        <f>IF(A138="","",COSTING!I138)</f>
        <v/>
      </c>
      <c r="D138" s="38" t="str">
        <f t="shared" si="1"/>
        <v/>
      </c>
      <c r="E138" s="42" t="str">
        <f t="shared" si="2"/>
        <v/>
      </c>
      <c r="F138" s="42" t="str">
        <f>IF(A138="","",SETUP_RATES!$K$5)</f>
        <v/>
      </c>
      <c r="G138" s="42" t="str">
        <f t="shared" si="3"/>
        <v/>
      </c>
      <c r="H138" s="33" t="str">
        <f t="shared" si="4"/>
        <v/>
      </c>
    </row>
    <row r="139" ht="15.75" customHeight="1">
      <c r="A139" s="33" t="str">
        <f>IF(COSTING!A139="","",COSTING!A139)</f>
        <v/>
      </c>
      <c r="B139" s="38" t="str">
        <f>IF(A139="","",COSTING!J139)</f>
        <v/>
      </c>
      <c r="C139" s="38" t="str">
        <f>IF(A139="","",COSTING!I139)</f>
        <v/>
      </c>
      <c r="D139" s="38" t="str">
        <f t="shared" si="1"/>
        <v/>
      </c>
      <c r="E139" s="42" t="str">
        <f t="shared" si="2"/>
        <v/>
      </c>
      <c r="F139" s="42" t="str">
        <f>IF(A139="","",SETUP_RATES!$K$5)</f>
        <v/>
      </c>
      <c r="G139" s="42" t="str">
        <f t="shared" si="3"/>
        <v/>
      </c>
      <c r="H139" s="33" t="str">
        <f t="shared" si="4"/>
        <v/>
      </c>
    </row>
    <row r="140" ht="15.75" customHeight="1">
      <c r="A140" s="33" t="str">
        <f>IF(COSTING!A140="","",COSTING!A140)</f>
        <v/>
      </c>
      <c r="B140" s="38" t="str">
        <f>IF(A140="","",COSTING!J140)</f>
        <v/>
      </c>
      <c r="C140" s="38" t="str">
        <f>IF(A140="","",COSTING!I140)</f>
        <v/>
      </c>
      <c r="D140" s="38" t="str">
        <f t="shared" si="1"/>
        <v/>
      </c>
      <c r="E140" s="42" t="str">
        <f t="shared" si="2"/>
        <v/>
      </c>
      <c r="F140" s="42" t="str">
        <f>IF(A140="","",SETUP_RATES!$K$5)</f>
        <v/>
      </c>
      <c r="G140" s="42" t="str">
        <f t="shared" si="3"/>
        <v/>
      </c>
      <c r="H140" s="33" t="str">
        <f t="shared" si="4"/>
        <v/>
      </c>
    </row>
    <row r="141" ht="15.75" customHeight="1">
      <c r="A141" s="33" t="str">
        <f>IF(COSTING!A141="","",COSTING!A141)</f>
        <v/>
      </c>
      <c r="B141" s="38" t="str">
        <f>IF(A141="","",COSTING!J141)</f>
        <v/>
      </c>
      <c r="C141" s="38" t="str">
        <f>IF(A141="","",COSTING!I141)</f>
        <v/>
      </c>
      <c r="D141" s="38" t="str">
        <f t="shared" si="1"/>
        <v/>
      </c>
      <c r="E141" s="42" t="str">
        <f t="shared" si="2"/>
        <v/>
      </c>
      <c r="F141" s="42" t="str">
        <f>IF(A141="","",SETUP_RATES!$K$5)</f>
        <v/>
      </c>
      <c r="G141" s="42" t="str">
        <f t="shared" si="3"/>
        <v/>
      </c>
      <c r="H141" s="33" t="str">
        <f t="shared" si="4"/>
        <v/>
      </c>
    </row>
    <row r="142" ht="15.75" customHeight="1">
      <c r="A142" s="33" t="str">
        <f>IF(COSTING!A142="","",COSTING!A142)</f>
        <v/>
      </c>
      <c r="B142" s="38" t="str">
        <f>IF(A142="","",COSTING!J142)</f>
        <v/>
      </c>
      <c r="C142" s="38" t="str">
        <f>IF(A142="","",COSTING!I142)</f>
        <v/>
      </c>
      <c r="D142" s="38" t="str">
        <f t="shared" si="1"/>
        <v/>
      </c>
      <c r="E142" s="42" t="str">
        <f t="shared" si="2"/>
        <v/>
      </c>
      <c r="F142" s="42" t="str">
        <f>IF(A142="","",SETUP_RATES!$K$5)</f>
        <v/>
      </c>
      <c r="G142" s="42" t="str">
        <f t="shared" si="3"/>
        <v/>
      </c>
      <c r="H142" s="33" t="str">
        <f t="shared" si="4"/>
        <v/>
      </c>
    </row>
    <row r="143" ht="15.75" customHeight="1">
      <c r="A143" s="33" t="str">
        <f>IF(COSTING!A143="","",COSTING!A143)</f>
        <v/>
      </c>
      <c r="B143" s="38" t="str">
        <f>IF(A143="","",COSTING!J143)</f>
        <v/>
      </c>
      <c r="C143" s="38" t="str">
        <f>IF(A143="","",COSTING!I143)</f>
        <v/>
      </c>
      <c r="D143" s="38" t="str">
        <f t="shared" si="1"/>
        <v/>
      </c>
      <c r="E143" s="42" t="str">
        <f t="shared" si="2"/>
        <v/>
      </c>
      <c r="F143" s="42" t="str">
        <f>IF(A143="","",SETUP_RATES!$K$5)</f>
        <v/>
      </c>
      <c r="G143" s="42" t="str">
        <f t="shared" si="3"/>
        <v/>
      </c>
      <c r="H143" s="33" t="str">
        <f t="shared" si="4"/>
        <v/>
      </c>
    </row>
    <row r="144" ht="15.75" customHeight="1">
      <c r="A144" s="33" t="str">
        <f>IF(COSTING!A144="","",COSTING!A144)</f>
        <v/>
      </c>
      <c r="B144" s="38" t="str">
        <f>IF(A144="","",COSTING!J144)</f>
        <v/>
      </c>
      <c r="C144" s="38" t="str">
        <f>IF(A144="","",COSTING!I144)</f>
        <v/>
      </c>
      <c r="D144" s="38" t="str">
        <f t="shared" si="1"/>
        <v/>
      </c>
      <c r="E144" s="42" t="str">
        <f t="shared" si="2"/>
        <v/>
      </c>
      <c r="F144" s="42" t="str">
        <f>IF(A144="","",SETUP_RATES!$K$5)</f>
        <v/>
      </c>
      <c r="G144" s="42" t="str">
        <f t="shared" si="3"/>
        <v/>
      </c>
      <c r="H144" s="33" t="str">
        <f t="shared" si="4"/>
        <v/>
      </c>
    </row>
    <row r="145" ht="15.75" customHeight="1">
      <c r="A145" s="33" t="str">
        <f>IF(COSTING!A145="","",COSTING!A145)</f>
        <v/>
      </c>
      <c r="B145" s="38" t="str">
        <f>IF(A145="","",COSTING!J145)</f>
        <v/>
      </c>
      <c r="C145" s="38" t="str">
        <f>IF(A145="","",COSTING!I145)</f>
        <v/>
      </c>
      <c r="D145" s="38" t="str">
        <f t="shared" si="1"/>
        <v/>
      </c>
      <c r="E145" s="42" t="str">
        <f t="shared" si="2"/>
        <v/>
      </c>
      <c r="F145" s="42" t="str">
        <f>IF(A145="","",SETUP_RATES!$K$5)</f>
        <v/>
      </c>
      <c r="G145" s="42" t="str">
        <f t="shared" si="3"/>
        <v/>
      </c>
      <c r="H145" s="33" t="str">
        <f t="shared" si="4"/>
        <v/>
      </c>
    </row>
    <row r="146" ht="15.75" customHeight="1">
      <c r="A146" s="33" t="str">
        <f>IF(COSTING!A146="","",COSTING!A146)</f>
        <v/>
      </c>
      <c r="B146" s="38" t="str">
        <f>IF(A146="","",COSTING!J146)</f>
        <v/>
      </c>
      <c r="C146" s="38" t="str">
        <f>IF(A146="","",COSTING!I146)</f>
        <v/>
      </c>
      <c r="D146" s="38" t="str">
        <f t="shared" si="1"/>
        <v/>
      </c>
      <c r="E146" s="42" t="str">
        <f t="shared" si="2"/>
        <v/>
      </c>
      <c r="F146" s="42" t="str">
        <f>IF(A146="","",SETUP_RATES!$K$5)</f>
        <v/>
      </c>
      <c r="G146" s="42" t="str">
        <f t="shared" si="3"/>
        <v/>
      </c>
      <c r="H146" s="33" t="str">
        <f t="shared" si="4"/>
        <v/>
      </c>
    </row>
    <row r="147" ht="15.75" customHeight="1">
      <c r="A147" s="33" t="str">
        <f>IF(COSTING!A147="","",COSTING!A147)</f>
        <v/>
      </c>
      <c r="B147" s="38" t="str">
        <f>IF(A147="","",COSTING!J147)</f>
        <v/>
      </c>
      <c r="C147" s="38" t="str">
        <f>IF(A147="","",COSTING!I147)</f>
        <v/>
      </c>
      <c r="D147" s="38" t="str">
        <f t="shared" si="1"/>
        <v/>
      </c>
      <c r="E147" s="42" t="str">
        <f t="shared" si="2"/>
        <v/>
      </c>
      <c r="F147" s="42" t="str">
        <f>IF(A147="","",SETUP_RATES!$K$5)</f>
        <v/>
      </c>
      <c r="G147" s="42" t="str">
        <f t="shared" si="3"/>
        <v/>
      </c>
      <c r="H147" s="33" t="str">
        <f t="shared" si="4"/>
        <v/>
      </c>
    </row>
    <row r="148" ht="15.75" customHeight="1">
      <c r="A148" s="33" t="str">
        <f>IF(COSTING!A148="","",COSTING!A148)</f>
        <v/>
      </c>
      <c r="B148" s="38" t="str">
        <f>IF(A148="","",COSTING!J148)</f>
        <v/>
      </c>
      <c r="C148" s="38" t="str">
        <f>IF(A148="","",COSTING!I148)</f>
        <v/>
      </c>
      <c r="D148" s="38" t="str">
        <f t="shared" si="1"/>
        <v/>
      </c>
      <c r="E148" s="42" t="str">
        <f t="shared" si="2"/>
        <v/>
      </c>
      <c r="F148" s="42" t="str">
        <f>IF(A148="","",SETUP_RATES!$K$5)</f>
        <v/>
      </c>
      <c r="G148" s="42" t="str">
        <f t="shared" si="3"/>
        <v/>
      </c>
      <c r="H148" s="33" t="str">
        <f t="shared" si="4"/>
        <v/>
      </c>
    </row>
    <row r="149" ht="15.75" customHeight="1">
      <c r="A149" s="33" t="str">
        <f>IF(COSTING!A149="","",COSTING!A149)</f>
        <v/>
      </c>
      <c r="B149" s="38" t="str">
        <f>IF(A149="","",COSTING!J149)</f>
        <v/>
      </c>
      <c r="C149" s="38" t="str">
        <f>IF(A149="","",COSTING!I149)</f>
        <v/>
      </c>
      <c r="D149" s="38" t="str">
        <f t="shared" si="1"/>
        <v/>
      </c>
      <c r="E149" s="42" t="str">
        <f t="shared" si="2"/>
        <v/>
      </c>
      <c r="F149" s="42" t="str">
        <f>IF(A149="","",SETUP_RATES!$K$5)</f>
        <v/>
      </c>
      <c r="G149" s="42" t="str">
        <f t="shared" si="3"/>
        <v/>
      </c>
      <c r="H149" s="33" t="str">
        <f t="shared" si="4"/>
        <v/>
      </c>
    </row>
    <row r="150" ht="15.75" customHeight="1">
      <c r="A150" s="33" t="str">
        <f>IF(COSTING!A150="","",COSTING!A150)</f>
        <v/>
      </c>
      <c r="B150" s="38" t="str">
        <f>IF(A150="","",COSTING!J150)</f>
        <v/>
      </c>
      <c r="C150" s="38" t="str">
        <f>IF(A150="","",COSTING!I150)</f>
        <v/>
      </c>
      <c r="D150" s="38" t="str">
        <f t="shared" si="1"/>
        <v/>
      </c>
      <c r="E150" s="42" t="str">
        <f t="shared" si="2"/>
        <v/>
      </c>
      <c r="F150" s="42" t="str">
        <f>IF(A150="","",SETUP_RATES!$K$5)</f>
        <v/>
      </c>
      <c r="G150" s="42" t="str">
        <f t="shared" si="3"/>
        <v/>
      </c>
      <c r="H150" s="33" t="str">
        <f t="shared" si="4"/>
        <v/>
      </c>
    </row>
    <row r="151" ht="15.75" customHeight="1">
      <c r="A151" s="33" t="str">
        <f>IF(COSTING!A151="","",COSTING!A151)</f>
        <v/>
      </c>
      <c r="B151" s="38" t="str">
        <f>IF(A151="","",COSTING!J151)</f>
        <v/>
      </c>
      <c r="C151" s="38" t="str">
        <f>IF(A151="","",COSTING!I151)</f>
        <v/>
      </c>
      <c r="D151" s="38" t="str">
        <f t="shared" si="1"/>
        <v/>
      </c>
      <c r="E151" s="42" t="str">
        <f t="shared" si="2"/>
        <v/>
      </c>
      <c r="F151" s="42" t="str">
        <f>IF(A151="","",SETUP_RATES!$K$5)</f>
        <v/>
      </c>
      <c r="G151" s="42" t="str">
        <f t="shared" si="3"/>
        <v/>
      </c>
      <c r="H151" s="33" t="str">
        <f t="shared" si="4"/>
        <v/>
      </c>
    </row>
    <row r="152" ht="15.75" customHeight="1">
      <c r="A152" s="33" t="str">
        <f>IF(COSTING!A152="","",COSTING!A152)</f>
        <v/>
      </c>
      <c r="B152" s="38" t="str">
        <f>IF(A152="","",COSTING!J152)</f>
        <v/>
      </c>
      <c r="C152" s="38" t="str">
        <f>IF(A152="","",COSTING!I152)</f>
        <v/>
      </c>
      <c r="D152" s="38" t="str">
        <f t="shared" si="1"/>
        <v/>
      </c>
      <c r="E152" s="42" t="str">
        <f t="shared" si="2"/>
        <v/>
      </c>
      <c r="F152" s="42" t="str">
        <f>IF(A152="","",SETUP_RATES!$K$5)</f>
        <v/>
      </c>
      <c r="G152" s="42" t="str">
        <f t="shared" si="3"/>
        <v/>
      </c>
      <c r="H152" s="33" t="str">
        <f t="shared" si="4"/>
        <v/>
      </c>
    </row>
    <row r="153" ht="15.75" customHeight="1">
      <c r="A153" s="33" t="str">
        <f>IF(COSTING!A153="","",COSTING!A153)</f>
        <v/>
      </c>
      <c r="B153" s="38" t="str">
        <f>IF(A153="","",COSTING!J153)</f>
        <v/>
      </c>
      <c r="C153" s="38" t="str">
        <f>IF(A153="","",COSTING!I153)</f>
        <v/>
      </c>
      <c r="D153" s="38" t="str">
        <f t="shared" si="1"/>
        <v/>
      </c>
      <c r="E153" s="42" t="str">
        <f t="shared" si="2"/>
        <v/>
      </c>
      <c r="F153" s="42" t="str">
        <f>IF(A153="","",SETUP_RATES!$K$5)</f>
        <v/>
      </c>
      <c r="G153" s="42" t="str">
        <f t="shared" si="3"/>
        <v/>
      </c>
      <c r="H153" s="33" t="str">
        <f t="shared" si="4"/>
        <v/>
      </c>
    </row>
    <row r="154" ht="15.75" customHeight="1">
      <c r="A154" s="33" t="str">
        <f>IF(COSTING!A154="","",COSTING!A154)</f>
        <v/>
      </c>
      <c r="B154" s="38" t="str">
        <f>IF(A154="","",COSTING!J154)</f>
        <v/>
      </c>
      <c r="C154" s="38" t="str">
        <f>IF(A154="","",COSTING!I154)</f>
        <v/>
      </c>
      <c r="D154" s="38" t="str">
        <f t="shared" si="1"/>
        <v/>
      </c>
      <c r="E154" s="42" t="str">
        <f t="shared" si="2"/>
        <v/>
      </c>
      <c r="F154" s="42" t="str">
        <f>IF(A154="","",SETUP_RATES!$K$5)</f>
        <v/>
      </c>
      <c r="G154" s="42" t="str">
        <f t="shared" si="3"/>
        <v/>
      </c>
      <c r="H154" s="33" t="str">
        <f t="shared" si="4"/>
        <v/>
      </c>
    </row>
    <row r="155" ht="15.75" customHeight="1">
      <c r="A155" s="33" t="str">
        <f>IF(COSTING!A155="","",COSTING!A155)</f>
        <v/>
      </c>
      <c r="B155" s="38" t="str">
        <f>IF(A155="","",COSTING!J155)</f>
        <v/>
      </c>
      <c r="C155" s="38" t="str">
        <f>IF(A155="","",COSTING!I155)</f>
        <v/>
      </c>
      <c r="D155" s="38" t="str">
        <f t="shared" si="1"/>
        <v/>
      </c>
      <c r="E155" s="42" t="str">
        <f t="shared" si="2"/>
        <v/>
      </c>
      <c r="F155" s="42" t="str">
        <f>IF(A155="","",SETUP_RATES!$K$5)</f>
        <v/>
      </c>
      <c r="G155" s="42" t="str">
        <f t="shared" si="3"/>
        <v/>
      </c>
      <c r="H155" s="33" t="str">
        <f t="shared" si="4"/>
        <v/>
      </c>
    </row>
    <row r="156" ht="15.75" customHeight="1">
      <c r="A156" s="33" t="str">
        <f>IF(COSTING!A156="","",COSTING!A156)</f>
        <v/>
      </c>
      <c r="B156" s="38" t="str">
        <f>IF(A156="","",COSTING!J156)</f>
        <v/>
      </c>
      <c r="C156" s="38" t="str">
        <f>IF(A156="","",COSTING!I156)</f>
        <v/>
      </c>
      <c r="D156" s="38" t="str">
        <f t="shared" si="1"/>
        <v/>
      </c>
      <c r="E156" s="42" t="str">
        <f t="shared" si="2"/>
        <v/>
      </c>
      <c r="F156" s="42" t="str">
        <f>IF(A156="","",SETUP_RATES!$K$5)</f>
        <v/>
      </c>
      <c r="G156" s="42" t="str">
        <f t="shared" si="3"/>
        <v/>
      </c>
      <c r="H156" s="33" t="str">
        <f t="shared" si="4"/>
        <v/>
      </c>
    </row>
    <row r="157" ht="15.75" customHeight="1">
      <c r="A157" s="33" t="str">
        <f>IF(COSTING!A157="","",COSTING!A157)</f>
        <v/>
      </c>
      <c r="B157" s="38" t="str">
        <f>IF(A157="","",COSTING!J157)</f>
        <v/>
      </c>
      <c r="C157" s="38" t="str">
        <f>IF(A157="","",COSTING!I157)</f>
        <v/>
      </c>
      <c r="D157" s="38" t="str">
        <f t="shared" si="1"/>
        <v/>
      </c>
      <c r="E157" s="42" t="str">
        <f t="shared" si="2"/>
        <v/>
      </c>
      <c r="F157" s="42" t="str">
        <f>IF(A157="","",SETUP_RATES!$K$5)</f>
        <v/>
      </c>
      <c r="G157" s="42" t="str">
        <f t="shared" si="3"/>
        <v/>
      </c>
      <c r="H157" s="33" t="str">
        <f t="shared" si="4"/>
        <v/>
      </c>
    </row>
    <row r="158" ht="15.75" customHeight="1">
      <c r="A158" s="33" t="str">
        <f>IF(COSTING!A158="","",COSTING!A158)</f>
        <v/>
      </c>
      <c r="B158" s="38" t="str">
        <f>IF(A158="","",COSTING!J158)</f>
        <v/>
      </c>
      <c r="C158" s="38" t="str">
        <f>IF(A158="","",COSTING!I158)</f>
        <v/>
      </c>
      <c r="D158" s="38" t="str">
        <f t="shared" si="1"/>
        <v/>
      </c>
      <c r="E158" s="42" t="str">
        <f t="shared" si="2"/>
        <v/>
      </c>
      <c r="F158" s="42" t="str">
        <f>IF(A158="","",SETUP_RATES!$K$5)</f>
        <v/>
      </c>
      <c r="G158" s="42" t="str">
        <f t="shared" si="3"/>
        <v/>
      </c>
      <c r="H158" s="33" t="str">
        <f t="shared" si="4"/>
        <v/>
      </c>
    </row>
    <row r="159" ht="15.75" customHeight="1">
      <c r="A159" s="33" t="str">
        <f>IF(COSTING!A159="","",COSTING!A159)</f>
        <v/>
      </c>
      <c r="B159" s="38" t="str">
        <f>IF(A159="","",COSTING!J159)</f>
        <v/>
      </c>
      <c r="C159" s="38" t="str">
        <f>IF(A159="","",COSTING!I159)</f>
        <v/>
      </c>
      <c r="D159" s="38" t="str">
        <f t="shared" si="1"/>
        <v/>
      </c>
      <c r="E159" s="42" t="str">
        <f t="shared" si="2"/>
        <v/>
      </c>
      <c r="F159" s="42" t="str">
        <f>IF(A159="","",SETUP_RATES!$K$5)</f>
        <v/>
      </c>
      <c r="G159" s="42" t="str">
        <f t="shared" si="3"/>
        <v/>
      </c>
      <c r="H159" s="33" t="str">
        <f t="shared" si="4"/>
        <v/>
      </c>
    </row>
    <row r="160" ht="15.75" customHeight="1">
      <c r="A160" s="33" t="str">
        <f>IF(COSTING!A160="","",COSTING!A160)</f>
        <v/>
      </c>
      <c r="B160" s="38" t="str">
        <f>IF(A160="","",COSTING!J160)</f>
        <v/>
      </c>
      <c r="C160" s="38" t="str">
        <f>IF(A160="","",COSTING!I160)</f>
        <v/>
      </c>
      <c r="D160" s="38" t="str">
        <f t="shared" si="1"/>
        <v/>
      </c>
      <c r="E160" s="42" t="str">
        <f t="shared" si="2"/>
        <v/>
      </c>
      <c r="F160" s="42" t="str">
        <f>IF(A160="","",SETUP_RATES!$K$5)</f>
        <v/>
      </c>
      <c r="G160" s="42" t="str">
        <f t="shared" si="3"/>
        <v/>
      </c>
      <c r="H160" s="33" t="str">
        <f t="shared" si="4"/>
        <v/>
      </c>
    </row>
    <row r="161" ht="15.75" customHeight="1">
      <c r="A161" s="33" t="str">
        <f>IF(COSTING!A161="","",COSTING!A161)</f>
        <v/>
      </c>
      <c r="B161" s="38" t="str">
        <f>IF(A161="","",COSTING!J161)</f>
        <v/>
      </c>
      <c r="C161" s="38" t="str">
        <f>IF(A161="","",COSTING!I161)</f>
        <v/>
      </c>
      <c r="D161" s="38" t="str">
        <f t="shared" si="1"/>
        <v/>
      </c>
      <c r="E161" s="42" t="str">
        <f t="shared" si="2"/>
        <v/>
      </c>
      <c r="F161" s="42" t="str">
        <f>IF(A161="","",SETUP_RATES!$K$5)</f>
        <v/>
      </c>
      <c r="G161" s="42" t="str">
        <f t="shared" si="3"/>
        <v/>
      </c>
      <c r="H161" s="33" t="str">
        <f t="shared" si="4"/>
        <v/>
      </c>
    </row>
    <row r="162" ht="15.75" customHeight="1">
      <c r="A162" s="33" t="str">
        <f>IF(COSTING!A162="","",COSTING!A162)</f>
        <v/>
      </c>
      <c r="B162" s="38" t="str">
        <f>IF(A162="","",COSTING!J162)</f>
        <v/>
      </c>
      <c r="C162" s="38" t="str">
        <f>IF(A162="","",COSTING!I162)</f>
        <v/>
      </c>
      <c r="D162" s="38" t="str">
        <f t="shared" si="1"/>
        <v/>
      </c>
      <c r="E162" s="42" t="str">
        <f t="shared" si="2"/>
        <v/>
      </c>
      <c r="F162" s="42" t="str">
        <f>IF(A162="","",SETUP_RATES!$K$5)</f>
        <v/>
      </c>
      <c r="G162" s="42" t="str">
        <f t="shared" si="3"/>
        <v/>
      </c>
      <c r="H162" s="33" t="str">
        <f t="shared" si="4"/>
        <v/>
      </c>
    </row>
    <row r="163" ht="15.75" customHeight="1">
      <c r="A163" s="33" t="str">
        <f>IF(COSTING!A163="","",COSTING!A163)</f>
        <v/>
      </c>
      <c r="B163" s="38" t="str">
        <f>IF(A163="","",COSTING!J163)</f>
        <v/>
      </c>
      <c r="C163" s="38" t="str">
        <f>IF(A163="","",COSTING!I163)</f>
        <v/>
      </c>
      <c r="D163" s="38" t="str">
        <f t="shared" si="1"/>
        <v/>
      </c>
      <c r="E163" s="42" t="str">
        <f t="shared" si="2"/>
        <v/>
      </c>
      <c r="F163" s="42" t="str">
        <f>IF(A163="","",SETUP_RATES!$K$5)</f>
        <v/>
      </c>
      <c r="G163" s="42" t="str">
        <f t="shared" si="3"/>
        <v/>
      </c>
      <c r="H163" s="33" t="str">
        <f t="shared" si="4"/>
        <v/>
      </c>
    </row>
    <row r="164" ht="15.75" customHeight="1">
      <c r="A164" s="33" t="str">
        <f>IF(COSTING!A164="","",COSTING!A164)</f>
        <v/>
      </c>
      <c r="B164" s="38" t="str">
        <f>IF(A164="","",COSTING!J164)</f>
        <v/>
      </c>
      <c r="C164" s="38" t="str">
        <f>IF(A164="","",COSTING!I164)</f>
        <v/>
      </c>
      <c r="D164" s="38" t="str">
        <f t="shared" si="1"/>
        <v/>
      </c>
      <c r="E164" s="42" t="str">
        <f t="shared" si="2"/>
        <v/>
      </c>
      <c r="F164" s="42" t="str">
        <f>IF(A164="","",SETUP_RATES!$K$5)</f>
        <v/>
      </c>
      <c r="G164" s="42" t="str">
        <f t="shared" si="3"/>
        <v/>
      </c>
      <c r="H164" s="33" t="str">
        <f t="shared" si="4"/>
        <v/>
      </c>
    </row>
    <row r="165" ht="15.75" customHeight="1">
      <c r="A165" s="33" t="str">
        <f>IF(COSTING!A165="","",COSTING!A165)</f>
        <v/>
      </c>
      <c r="B165" s="38" t="str">
        <f>IF(A165="","",COSTING!J165)</f>
        <v/>
      </c>
      <c r="C165" s="38" t="str">
        <f>IF(A165="","",COSTING!I165)</f>
        <v/>
      </c>
      <c r="D165" s="38" t="str">
        <f t="shared" si="1"/>
        <v/>
      </c>
      <c r="E165" s="42" t="str">
        <f t="shared" si="2"/>
        <v/>
      </c>
      <c r="F165" s="42" t="str">
        <f>IF(A165="","",SETUP_RATES!$K$5)</f>
        <v/>
      </c>
      <c r="G165" s="42" t="str">
        <f t="shared" si="3"/>
        <v/>
      </c>
      <c r="H165" s="33" t="str">
        <f t="shared" si="4"/>
        <v/>
      </c>
    </row>
    <row r="166" ht="15.75" customHeight="1">
      <c r="A166" s="33" t="str">
        <f>IF(COSTING!A166="","",COSTING!A166)</f>
        <v/>
      </c>
      <c r="B166" s="38" t="str">
        <f>IF(A166="","",COSTING!J166)</f>
        <v/>
      </c>
      <c r="C166" s="38" t="str">
        <f>IF(A166="","",COSTING!I166)</f>
        <v/>
      </c>
      <c r="D166" s="38" t="str">
        <f t="shared" si="1"/>
        <v/>
      </c>
      <c r="E166" s="42" t="str">
        <f t="shared" si="2"/>
        <v/>
      </c>
      <c r="F166" s="42" t="str">
        <f>IF(A166="","",SETUP_RATES!$K$5)</f>
        <v/>
      </c>
      <c r="G166" s="42" t="str">
        <f t="shared" si="3"/>
        <v/>
      </c>
      <c r="H166" s="33" t="str">
        <f t="shared" si="4"/>
        <v/>
      </c>
    </row>
    <row r="167" ht="15.75" customHeight="1">
      <c r="A167" s="33" t="str">
        <f>IF(COSTING!A167="","",COSTING!A167)</f>
        <v/>
      </c>
      <c r="B167" s="38" t="str">
        <f>IF(A167="","",COSTING!J167)</f>
        <v/>
      </c>
      <c r="C167" s="38" t="str">
        <f>IF(A167="","",COSTING!I167)</f>
        <v/>
      </c>
      <c r="D167" s="38" t="str">
        <f t="shared" si="1"/>
        <v/>
      </c>
      <c r="E167" s="42" t="str">
        <f t="shared" si="2"/>
        <v/>
      </c>
      <c r="F167" s="42" t="str">
        <f>IF(A167="","",SETUP_RATES!$K$5)</f>
        <v/>
      </c>
      <c r="G167" s="42" t="str">
        <f t="shared" si="3"/>
        <v/>
      </c>
      <c r="H167" s="33" t="str">
        <f t="shared" si="4"/>
        <v/>
      </c>
    </row>
    <row r="168" ht="15.75" customHeight="1">
      <c r="A168" s="33" t="str">
        <f>IF(COSTING!A168="","",COSTING!A168)</f>
        <v/>
      </c>
      <c r="B168" s="38" t="str">
        <f>IF(A168="","",COSTING!J168)</f>
        <v/>
      </c>
      <c r="C168" s="38" t="str">
        <f>IF(A168="","",COSTING!I168)</f>
        <v/>
      </c>
      <c r="D168" s="38" t="str">
        <f t="shared" si="1"/>
        <v/>
      </c>
      <c r="E168" s="42" t="str">
        <f t="shared" si="2"/>
        <v/>
      </c>
      <c r="F168" s="42" t="str">
        <f>IF(A168="","",SETUP_RATES!$K$5)</f>
        <v/>
      </c>
      <c r="G168" s="42" t="str">
        <f t="shared" si="3"/>
        <v/>
      </c>
      <c r="H168" s="33" t="str">
        <f t="shared" si="4"/>
        <v/>
      </c>
    </row>
    <row r="169" ht="15.75" customHeight="1">
      <c r="A169" s="33" t="str">
        <f>IF(COSTING!A169="","",COSTING!A169)</f>
        <v/>
      </c>
      <c r="B169" s="38" t="str">
        <f>IF(A169="","",COSTING!J169)</f>
        <v/>
      </c>
      <c r="C169" s="38" t="str">
        <f>IF(A169="","",COSTING!I169)</f>
        <v/>
      </c>
      <c r="D169" s="38" t="str">
        <f t="shared" si="1"/>
        <v/>
      </c>
      <c r="E169" s="42" t="str">
        <f t="shared" si="2"/>
        <v/>
      </c>
      <c r="F169" s="42" t="str">
        <f>IF(A169="","",SETUP_RATES!$K$5)</f>
        <v/>
      </c>
      <c r="G169" s="42" t="str">
        <f t="shared" si="3"/>
        <v/>
      </c>
      <c r="H169" s="33" t="str">
        <f t="shared" si="4"/>
        <v/>
      </c>
    </row>
    <row r="170" ht="15.75" customHeight="1">
      <c r="A170" s="33" t="str">
        <f>IF(COSTING!A170="","",COSTING!A170)</f>
        <v/>
      </c>
      <c r="B170" s="38" t="str">
        <f>IF(A170="","",COSTING!J170)</f>
        <v/>
      </c>
      <c r="C170" s="38" t="str">
        <f>IF(A170="","",COSTING!I170)</f>
        <v/>
      </c>
      <c r="D170" s="38" t="str">
        <f t="shared" si="1"/>
        <v/>
      </c>
      <c r="E170" s="42" t="str">
        <f t="shared" si="2"/>
        <v/>
      </c>
      <c r="F170" s="42" t="str">
        <f>IF(A170="","",SETUP_RATES!$K$5)</f>
        <v/>
      </c>
      <c r="G170" s="42" t="str">
        <f t="shared" si="3"/>
        <v/>
      </c>
      <c r="H170" s="33" t="str">
        <f t="shared" si="4"/>
        <v/>
      </c>
    </row>
    <row r="171" ht="15.75" customHeight="1">
      <c r="A171" s="33" t="str">
        <f>IF(COSTING!A171="","",COSTING!A171)</f>
        <v/>
      </c>
      <c r="B171" s="38" t="str">
        <f>IF(A171="","",COSTING!J171)</f>
        <v/>
      </c>
      <c r="C171" s="38" t="str">
        <f>IF(A171="","",COSTING!I171)</f>
        <v/>
      </c>
      <c r="D171" s="38" t="str">
        <f t="shared" si="1"/>
        <v/>
      </c>
      <c r="E171" s="42" t="str">
        <f t="shared" si="2"/>
        <v/>
      </c>
      <c r="F171" s="42" t="str">
        <f>IF(A171="","",SETUP_RATES!$K$5)</f>
        <v/>
      </c>
      <c r="G171" s="42" t="str">
        <f t="shared" si="3"/>
        <v/>
      </c>
      <c r="H171" s="33" t="str">
        <f t="shared" si="4"/>
        <v/>
      </c>
    </row>
    <row r="172" ht="15.75" customHeight="1">
      <c r="A172" s="33" t="str">
        <f>IF(COSTING!A172="","",COSTING!A172)</f>
        <v/>
      </c>
      <c r="B172" s="38" t="str">
        <f>IF(A172="","",COSTING!J172)</f>
        <v/>
      </c>
      <c r="C172" s="38" t="str">
        <f>IF(A172="","",COSTING!I172)</f>
        <v/>
      </c>
      <c r="D172" s="38" t="str">
        <f t="shared" si="1"/>
        <v/>
      </c>
      <c r="E172" s="42" t="str">
        <f t="shared" si="2"/>
        <v/>
      </c>
      <c r="F172" s="42" t="str">
        <f>IF(A172="","",SETUP_RATES!$K$5)</f>
        <v/>
      </c>
      <c r="G172" s="42" t="str">
        <f t="shared" si="3"/>
        <v/>
      </c>
      <c r="H172" s="33" t="str">
        <f t="shared" si="4"/>
        <v/>
      </c>
    </row>
    <row r="173" ht="15.75" customHeight="1">
      <c r="A173" s="33" t="str">
        <f>IF(COSTING!A173="","",COSTING!A173)</f>
        <v/>
      </c>
      <c r="B173" s="38" t="str">
        <f>IF(A173="","",COSTING!J173)</f>
        <v/>
      </c>
      <c r="C173" s="38" t="str">
        <f>IF(A173="","",COSTING!I173)</f>
        <v/>
      </c>
      <c r="D173" s="38" t="str">
        <f t="shared" si="1"/>
        <v/>
      </c>
      <c r="E173" s="42" t="str">
        <f t="shared" si="2"/>
        <v/>
      </c>
      <c r="F173" s="42" t="str">
        <f>IF(A173="","",SETUP_RATES!$K$5)</f>
        <v/>
      </c>
      <c r="G173" s="42" t="str">
        <f t="shared" si="3"/>
        <v/>
      </c>
      <c r="H173" s="33" t="str">
        <f t="shared" si="4"/>
        <v/>
      </c>
    </row>
    <row r="174" ht="15.75" customHeight="1">
      <c r="A174" s="33" t="str">
        <f>IF(COSTING!A174="","",COSTING!A174)</f>
        <v/>
      </c>
      <c r="B174" s="38" t="str">
        <f>IF(A174="","",COSTING!J174)</f>
        <v/>
      </c>
      <c r="C174" s="38" t="str">
        <f>IF(A174="","",COSTING!I174)</f>
        <v/>
      </c>
      <c r="D174" s="38" t="str">
        <f t="shared" si="1"/>
        <v/>
      </c>
      <c r="E174" s="42" t="str">
        <f t="shared" si="2"/>
        <v/>
      </c>
      <c r="F174" s="42" t="str">
        <f>IF(A174="","",SETUP_RATES!$K$5)</f>
        <v/>
      </c>
      <c r="G174" s="42" t="str">
        <f t="shared" si="3"/>
        <v/>
      </c>
      <c r="H174" s="33" t="str">
        <f t="shared" si="4"/>
        <v/>
      </c>
    </row>
    <row r="175" ht="15.75" customHeight="1">
      <c r="A175" s="33" t="str">
        <f>IF(COSTING!A175="","",COSTING!A175)</f>
        <v/>
      </c>
      <c r="B175" s="38" t="str">
        <f>IF(A175="","",COSTING!J175)</f>
        <v/>
      </c>
      <c r="C175" s="38" t="str">
        <f>IF(A175="","",COSTING!I175)</f>
        <v/>
      </c>
      <c r="D175" s="38" t="str">
        <f t="shared" si="1"/>
        <v/>
      </c>
      <c r="E175" s="42" t="str">
        <f t="shared" si="2"/>
        <v/>
      </c>
      <c r="F175" s="42" t="str">
        <f>IF(A175="","",SETUP_RATES!$K$5)</f>
        <v/>
      </c>
      <c r="G175" s="42" t="str">
        <f t="shared" si="3"/>
        <v/>
      </c>
      <c r="H175" s="33" t="str">
        <f t="shared" si="4"/>
        <v/>
      </c>
    </row>
    <row r="176" ht="15.75" customHeight="1">
      <c r="A176" s="33" t="str">
        <f>IF(COSTING!A176="","",COSTING!A176)</f>
        <v/>
      </c>
      <c r="B176" s="38" t="str">
        <f>IF(A176="","",COSTING!J176)</f>
        <v/>
      </c>
      <c r="C176" s="38" t="str">
        <f>IF(A176="","",COSTING!I176)</f>
        <v/>
      </c>
      <c r="D176" s="38" t="str">
        <f t="shared" si="1"/>
        <v/>
      </c>
      <c r="E176" s="42" t="str">
        <f t="shared" si="2"/>
        <v/>
      </c>
      <c r="F176" s="42" t="str">
        <f>IF(A176="","",SETUP_RATES!$K$5)</f>
        <v/>
      </c>
      <c r="G176" s="42" t="str">
        <f t="shared" si="3"/>
        <v/>
      </c>
      <c r="H176" s="33" t="str">
        <f t="shared" si="4"/>
        <v/>
      </c>
    </row>
    <row r="177" ht="15.75" customHeight="1">
      <c r="A177" s="33" t="str">
        <f>IF(COSTING!A177="","",COSTING!A177)</f>
        <v/>
      </c>
      <c r="B177" s="38" t="str">
        <f>IF(A177="","",COSTING!J177)</f>
        <v/>
      </c>
      <c r="C177" s="38" t="str">
        <f>IF(A177="","",COSTING!I177)</f>
        <v/>
      </c>
      <c r="D177" s="38" t="str">
        <f t="shared" si="1"/>
        <v/>
      </c>
      <c r="E177" s="42" t="str">
        <f t="shared" si="2"/>
        <v/>
      </c>
      <c r="F177" s="42" t="str">
        <f>IF(A177="","",SETUP_RATES!$K$5)</f>
        <v/>
      </c>
      <c r="G177" s="42" t="str">
        <f t="shared" si="3"/>
        <v/>
      </c>
      <c r="H177" s="33" t="str">
        <f t="shared" si="4"/>
        <v/>
      </c>
    </row>
    <row r="178" ht="15.75" customHeight="1">
      <c r="A178" s="33" t="str">
        <f>IF(COSTING!A178="","",COSTING!A178)</f>
        <v/>
      </c>
      <c r="B178" s="38" t="str">
        <f>IF(A178="","",COSTING!J178)</f>
        <v/>
      </c>
      <c r="C178" s="38" t="str">
        <f>IF(A178="","",COSTING!I178)</f>
        <v/>
      </c>
      <c r="D178" s="38" t="str">
        <f t="shared" si="1"/>
        <v/>
      </c>
      <c r="E178" s="42" t="str">
        <f t="shared" si="2"/>
        <v/>
      </c>
      <c r="F178" s="42" t="str">
        <f>IF(A178="","",SETUP_RATES!$K$5)</f>
        <v/>
      </c>
      <c r="G178" s="42" t="str">
        <f t="shared" si="3"/>
        <v/>
      </c>
      <c r="H178" s="33" t="str">
        <f t="shared" si="4"/>
        <v/>
      </c>
    </row>
    <row r="179" ht="15.75" customHeight="1">
      <c r="A179" s="33" t="str">
        <f>IF(COSTING!A179="","",COSTING!A179)</f>
        <v/>
      </c>
      <c r="B179" s="38" t="str">
        <f>IF(A179="","",COSTING!J179)</f>
        <v/>
      </c>
      <c r="C179" s="38" t="str">
        <f>IF(A179="","",COSTING!I179)</f>
        <v/>
      </c>
      <c r="D179" s="38" t="str">
        <f t="shared" si="1"/>
        <v/>
      </c>
      <c r="E179" s="42" t="str">
        <f t="shared" si="2"/>
        <v/>
      </c>
      <c r="F179" s="42" t="str">
        <f>IF(A179="","",SETUP_RATES!$K$5)</f>
        <v/>
      </c>
      <c r="G179" s="42" t="str">
        <f t="shared" si="3"/>
        <v/>
      </c>
      <c r="H179" s="33" t="str">
        <f t="shared" si="4"/>
        <v/>
      </c>
    </row>
    <row r="180" ht="15.75" customHeight="1">
      <c r="A180" s="33" t="str">
        <f>IF(COSTING!A180="","",COSTING!A180)</f>
        <v/>
      </c>
      <c r="B180" s="38" t="str">
        <f>IF(A180="","",COSTING!J180)</f>
        <v/>
      </c>
      <c r="C180" s="38" t="str">
        <f>IF(A180="","",COSTING!I180)</f>
        <v/>
      </c>
      <c r="D180" s="38" t="str">
        <f t="shared" si="1"/>
        <v/>
      </c>
      <c r="E180" s="42" t="str">
        <f t="shared" si="2"/>
        <v/>
      </c>
      <c r="F180" s="42" t="str">
        <f>IF(A180="","",SETUP_RATES!$K$5)</f>
        <v/>
      </c>
      <c r="G180" s="42" t="str">
        <f t="shared" si="3"/>
        <v/>
      </c>
      <c r="H180" s="33" t="str">
        <f t="shared" si="4"/>
        <v/>
      </c>
    </row>
    <row r="181" ht="15.75" customHeight="1">
      <c r="A181" s="33" t="str">
        <f>IF(COSTING!A181="","",COSTING!A181)</f>
        <v/>
      </c>
      <c r="B181" s="38" t="str">
        <f>IF(A181="","",COSTING!J181)</f>
        <v/>
      </c>
      <c r="C181" s="38" t="str">
        <f>IF(A181="","",COSTING!I181)</f>
        <v/>
      </c>
      <c r="D181" s="38" t="str">
        <f t="shared" si="1"/>
        <v/>
      </c>
      <c r="E181" s="42" t="str">
        <f t="shared" si="2"/>
        <v/>
      </c>
      <c r="F181" s="42" t="str">
        <f>IF(A181="","",SETUP_RATES!$K$5)</f>
        <v/>
      </c>
      <c r="G181" s="42" t="str">
        <f t="shared" si="3"/>
        <v/>
      </c>
      <c r="H181" s="33" t="str">
        <f t="shared" si="4"/>
        <v/>
      </c>
    </row>
    <row r="182" ht="15.75" customHeight="1">
      <c r="A182" s="33" t="str">
        <f>IF(COSTING!A182="","",COSTING!A182)</f>
        <v/>
      </c>
      <c r="B182" s="38" t="str">
        <f>IF(A182="","",COSTING!J182)</f>
        <v/>
      </c>
      <c r="C182" s="38" t="str">
        <f>IF(A182="","",COSTING!I182)</f>
        <v/>
      </c>
      <c r="D182" s="38" t="str">
        <f t="shared" si="1"/>
        <v/>
      </c>
      <c r="E182" s="42" t="str">
        <f t="shared" si="2"/>
        <v/>
      </c>
      <c r="F182" s="42" t="str">
        <f>IF(A182="","",SETUP_RATES!$K$5)</f>
        <v/>
      </c>
      <c r="G182" s="42" t="str">
        <f t="shared" si="3"/>
        <v/>
      </c>
      <c r="H182" s="33" t="str">
        <f t="shared" si="4"/>
        <v/>
      </c>
    </row>
    <row r="183" ht="15.75" customHeight="1">
      <c r="A183" s="33" t="str">
        <f>IF(COSTING!A183="","",COSTING!A183)</f>
        <v/>
      </c>
      <c r="B183" s="38" t="str">
        <f>IF(A183="","",COSTING!J183)</f>
        <v/>
      </c>
      <c r="C183" s="38" t="str">
        <f>IF(A183="","",COSTING!I183)</f>
        <v/>
      </c>
      <c r="D183" s="38" t="str">
        <f t="shared" si="1"/>
        <v/>
      </c>
      <c r="E183" s="42" t="str">
        <f t="shared" si="2"/>
        <v/>
      </c>
      <c r="F183" s="42" t="str">
        <f>IF(A183="","",SETUP_RATES!$K$5)</f>
        <v/>
      </c>
      <c r="G183" s="42" t="str">
        <f t="shared" si="3"/>
        <v/>
      </c>
      <c r="H183" s="33" t="str">
        <f t="shared" si="4"/>
        <v/>
      </c>
    </row>
    <row r="184" ht="15.75" customHeight="1">
      <c r="A184" s="33" t="str">
        <f>IF(COSTING!A184="","",COSTING!A184)</f>
        <v/>
      </c>
      <c r="B184" s="38" t="str">
        <f>IF(A184="","",COSTING!J184)</f>
        <v/>
      </c>
      <c r="C184" s="38" t="str">
        <f>IF(A184="","",COSTING!I184)</f>
        <v/>
      </c>
      <c r="D184" s="38" t="str">
        <f t="shared" si="1"/>
        <v/>
      </c>
      <c r="E184" s="42" t="str">
        <f t="shared" si="2"/>
        <v/>
      </c>
      <c r="F184" s="42" t="str">
        <f>IF(A184="","",SETUP_RATES!$K$5)</f>
        <v/>
      </c>
      <c r="G184" s="42" t="str">
        <f t="shared" si="3"/>
        <v/>
      </c>
      <c r="H184" s="33" t="str">
        <f t="shared" si="4"/>
        <v/>
      </c>
    </row>
    <row r="185" ht="15.75" customHeight="1">
      <c r="A185" s="33" t="str">
        <f>IF(COSTING!A185="","",COSTING!A185)</f>
        <v/>
      </c>
      <c r="B185" s="38" t="str">
        <f>IF(A185="","",COSTING!J185)</f>
        <v/>
      </c>
      <c r="C185" s="38" t="str">
        <f>IF(A185="","",COSTING!I185)</f>
        <v/>
      </c>
      <c r="D185" s="38" t="str">
        <f t="shared" si="1"/>
        <v/>
      </c>
      <c r="E185" s="42" t="str">
        <f t="shared" si="2"/>
        <v/>
      </c>
      <c r="F185" s="42" t="str">
        <f>IF(A185="","",SETUP_RATES!$K$5)</f>
        <v/>
      </c>
      <c r="G185" s="42" t="str">
        <f t="shared" si="3"/>
        <v/>
      </c>
      <c r="H185" s="33" t="str">
        <f t="shared" si="4"/>
        <v/>
      </c>
    </row>
    <row r="186" ht="15.75" customHeight="1">
      <c r="A186" s="33" t="str">
        <f>IF(COSTING!A186="","",COSTING!A186)</f>
        <v/>
      </c>
      <c r="B186" s="38" t="str">
        <f>IF(A186="","",COSTING!J186)</f>
        <v/>
      </c>
      <c r="C186" s="38" t="str">
        <f>IF(A186="","",COSTING!I186)</f>
        <v/>
      </c>
      <c r="D186" s="38" t="str">
        <f t="shared" si="1"/>
        <v/>
      </c>
      <c r="E186" s="42" t="str">
        <f t="shared" si="2"/>
        <v/>
      </c>
      <c r="F186" s="42" t="str">
        <f>IF(A186="","",SETUP_RATES!$K$5)</f>
        <v/>
      </c>
      <c r="G186" s="42" t="str">
        <f t="shared" si="3"/>
        <v/>
      </c>
      <c r="H186" s="33" t="str">
        <f t="shared" si="4"/>
        <v/>
      </c>
    </row>
    <row r="187" ht="15.75" customHeight="1">
      <c r="A187" s="33" t="str">
        <f>IF(COSTING!A187="","",COSTING!A187)</f>
        <v/>
      </c>
      <c r="B187" s="38" t="str">
        <f>IF(A187="","",COSTING!J187)</f>
        <v/>
      </c>
      <c r="C187" s="38" t="str">
        <f>IF(A187="","",COSTING!I187)</f>
        <v/>
      </c>
      <c r="D187" s="38" t="str">
        <f t="shared" si="1"/>
        <v/>
      </c>
      <c r="E187" s="42" t="str">
        <f t="shared" si="2"/>
        <v/>
      </c>
      <c r="F187" s="42" t="str">
        <f>IF(A187="","",SETUP_RATES!$K$5)</f>
        <v/>
      </c>
      <c r="G187" s="42" t="str">
        <f t="shared" si="3"/>
        <v/>
      </c>
      <c r="H187" s="33" t="str">
        <f t="shared" si="4"/>
        <v/>
      </c>
    </row>
    <row r="188" ht="15.75" customHeight="1">
      <c r="A188" s="33" t="str">
        <f>IF(COSTING!A188="","",COSTING!A188)</f>
        <v/>
      </c>
      <c r="B188" s="38" t="str">
        <f>IF(A188="","",COSTING!J188)</f>
        <v/>
      </c>
      <c r="C188" s="38" t="str">
        <f>IF(A188="","",COSTING!I188)</f>
        <v/>
      </c>
      <c r="D188" s="38" t="str">
        <f t="shared" si="1"/>
        <v/>
      </c>
      <c r="E188" s="42" t="str">
        <f t="shared" si="2"/>
        <v/>
      </c>
      <c r="F188" s="42" t="str">
        <f>IF(A188="","",SETUP_RATES!$K$5)</f>
        <v/>
      </c>
      <c r="G188" s="42" t="str">
        <f t="shared" si="3"/>
        <v/>
      </c>
      <c r="H188" s="33" t="str">
        <f t="shared" si="4"/>
        <v/>
      </c>
    </row>
    <row r="189" ht="15.75" customHeight="1">
      <c r="A189" s="33" t="str">
        <f>IF(COSTING!A189="","",COSTING!A189)</f>
        <v/>
      </c>
      <c r="B189" s="38" t="str">
        <f>IF(A189="","",COSTING!J189)</f>
        <v/>
      </c>
      <c r="C189" s="38" t="str">
        <f>IF(A189="","",COSTING!I189)</f>
        <v/>
      </c>
      <c r="D189" s="38" t="str">
        <f t="shared" si="1"/>
        <v/>
      </c>
      <c r="E189" s="42" t="str">
        <f t="shared" si="2"/>
        <v/>
      </c>
      <c r="F189" s="42" t="str">
        <f>IF(A189="","",SETUP_RATES!$K$5)</f>
        <v/>
      </c>
      <c r="G189" s="42" t="str">
        <f t="shared" si="3"/>
        <v/>
      </c>
      <c r="H189" s="33" t="str">
        <f t="shared" si="4"/>
        <v/>
      </c>
    </row>
    <row r="190" ht="15.75" customHeight="1">
      <c r="A190" s="33" t="str">
        <f>IF(COSTING!A190="","",COSTING!A190)</f>
        <v/>
      </c>
      <c r="B190" s="38" t="str">
        <f>IF(A190="","",COSTING!J190)</f>
        <v/>
      </c>
      <c r="C190" s="38" t="str">
        <f>IF(A190="","",COSTING!I190)</f>
        <v/>
      </c>
      <c r="D190" s="38" t="str">
        <f t="shared" si="1"/>
        <v/>
      </c>
      <c r="E190" s="42" t="str">
        <f t="shared" si="2"/>
        <v/>
      </c>
      <c r="F190" s="42" t="str">
        <f>IF(A190="","",SETUP_RATES!$K$5)</f>
        <v/>
      </c>
      <c r="G190" s="42" t="str">
        <f t="shared" si="3"/>
        <v/>
      </c>
      <c r="H190" s="33" t="str">
        <f t="shared" si="4"/>
        <v/>
      </c>
    </row>
    <row r="191" ht="15.75" customHeight="1">
      <c r="A191" s="33" t="str">
        <f>IF(COSTING!A191="","",COSTING!A191)</f>
        <v/>
      </c>
      <c r="B191" s="38" t="str">
        <f>IF(A191="","",COSTING!J191)</f>
        <v/>
      </c>
      <c r="C191" s="38" t="str">
        <f>IF(A191="","",COSTING!I191)</f>
        <v/>
      </c>
      <c r="D191" s="38" t="str">
        <f t="shared" si="1"/>
        <v/>
      </c>
      <c r="E191" s="42" t="str">
        <f t="shared" si="2"/>
        <v/>
      </c>
      <c r="F191" s="42" t="str">
        <f>IF(A191="","",SETUP_RATES!$K$5)</f>
        <v/>
      </c>
      <c r="G191" s="42" t="str">
        <f t="shared" si="3"/>
        <v/>
      </c>
      <c r="H191" s="33" t="str">
        <f t="shared" si="4"/>
        <v/>
      </c>
    </row>
    <row r="192" ht="15.75" customHeight="1">
      <c r="A192" s="33" t="str">
        <f>IF(COSTING!A192="","",COSTING!A192)</f>
        <v/>
      </c>
      <c r="B192" s="38" t="str">
        <f>IF(A192="","",COSTING!J192)</f>
        <v/>
      </c>
      <c r="C192" s="38" t="str">
        <f>IF(A192="","",COSTING!I192)</f>
        <v/>
      </c>
      <c r="D192" s="38" t="str">
        <f t="shared" si="1"/>
        <v/>
      </c>
      <c r="E192" s="42" t="str">
        <f t="shared" si="2"/>
        <v/>
      </c>
      <c r="F192" s="42" t="str">
        <f>IF(A192="","",SETUP_RATES!$K$5)</f>
        <v/>
      </c>
      <c r="G192" s="42" t="str">
        <f t="shared" si="3"/>
        <v/>
      </c>
      <c r="H192" s="33" t="str">
        <f t="shared" si="4"/>
        <v/>
      </c>
    </row>
    <row r="193" ht="15.75" customHeight="1">
      <c r="A193" s="33" t="str">
        <f>IF(COSTING!A193="","",COSTING!A193)</f>
        <v/>
      </c>
      <c r="B193" s="38" t="str">
        <f>IF(A193="","",COSTING!J193)</f>
        <v/>
      </c>
      <c r="C193" s="38" t="str">
        <f>IF(A193="","",COSTING!I193)</f>
        <v/>
      </c>
      <c r="D193" s="38" t="str">
        <f t="shared" si="1"/>
        <v/>
      </c>
      <c r="E193" s="42" t="str">
        <f t="shared" si="2"/>
        <v/>
      </c>
      <c r="F193" s="42" t="str">
        <f>IF(A193="","",SETUP_RATES!$K$5)</f>
        <v/>
      </c>
      <c r="G193" s="42" t="str">
        <f t="shared" si="3"/>
        <v/>
      </c>
      <c r="H193" s="33" t="str">
        <f t="shared" si="4"/>
        <v/>
      </c>
    </row>
    <row r="194" ht="15.75" customHeight="1">
      <c r="A194" s="33" t="str">
        <f>IF(COSTING!A194="","",COSTING!A194)</f>
        <v/>
      </c>
      <c r="B194" s="38" t="str">
        <f>IF(A194="","",COSTING!J194)</f>
        <v/>
      </c>
      <c r="C194" s="38" t="str">
        <f>IF(A194="","",COSTING!I194)</f>
        <v/>
      </c>
      <c r="D194" s="38" t="str">
        <f t="shared" si="1"/>
        <v/>
      </c>
      <c r="E194" s="42" t="str">
        <f t="shared" si="2"/>
        <v/>
      </c>
      <c r="F194" s="42" t="str">
        <f>IF(A194="","",SETUP_RATES!$K$5)</f>
        <v/>
      </c>
      <c r="G194" s="42" t="str">
        <f t="shared" si="3"/>
        <v/>
      </c>
      <c r="H194" s="33" t="str">
        <f t="shared" si="4"/>
        <v/>
      </c>
    </row>
    <row r="195" ht="15.75" customHeight="1">
      <c r="A195" s="33" t="str">
        <f>IF(COSTING!A195="","",COSTING!A195)</f>
        <v/>
      </c>
      <c r="B195" s="38" t="str">
        <f>IF(A195="","",COSTING!J195)</f>
        <v/>
      </c>
      <c r="C195" s="38" t="str">
        <f>IF(A195="","",COSTING!I195)</f>
        <v/>
      </c>
      <c r="D195" s="38" t="str">
        <f t="shared" si="1"/>
        <v/>
      </c>
      <c r="E195" s="42" t="str">
        <f t="shared" si="2"/>
        <v/>
      </c>
      <c r="F195" s="42" t="str">
        <f>IF(A195="","",SETUP_RATES!$K$5)</f>
        <v/>
      </c>
      <c r="G195" s="42" t="str">
        <f t="shared" si="3"/>
        <v/>
      </c>
      <c r="H195" s="33" t="str">
        <f t="shared" si="4"/>
        <v/>
      </c>
    </row>
    <row r="196" ht="15.75" customHeight="1">
      <c r="A196" s="33" t="str">
        <f>IF(COSTING!A196="","",COSTING!A196)</f>
        <v/>
      </c>
      <c r="B196" s="38" t="str">
        <f>IF(A196="","",COSTING!J196)</f>
        <v/>
      </c>
      <c r="C196" s="38" t="str">
        <f>IF(A196="","",COSTING!I196)</f>
        <v/>
      </c>
      <c r="D196" s="38" t="str">
        <f t="shared" si="1"/>
        <v/>
      </c>
      <c r="E196" s="42" t="str">
        <f t="shared" si="2"/>
        <v/>
      </c>
      <c r="F196" s="42" t="str">
        <f>IF(A196="","",SETUP_RATES!$K$5)</f>
        <v/>
      </c>
      <c r="G196" s="42" t="str">
        <f t="shared" si="3"/>
        <v/>
      </c>
      <c r="H196" s="33" t="str">
        <f t="shared" si="4"/>
        <v/>
      </c>
    </row>
    <row r="197" ht="15.75" customHeight="1">
      <c r="A197" s="33" t="str">
        <f>IF(COSTING!A197="","",COSTING!A197)</f>
        <v/>
      </c>
      <c r="B197" s="38" t="str">
        <f>IF(A197="","",COSTING!J197)</f>
        <v/>
      </c>
      <c r="C197" s="38" t="str">
        <f>IF(A197="","",COSTING!I197)</f>
        <v/>
      </c>
      <c r="D197" s="38" t="str">
        <f t="shared" si="1"/>
        <v/>
      </c>
      <c r="E197" s="42" t="str">
        <f t="shared" si="2"/>
        <v/>
      </c>
      <c r="F197" s="42" t="str">
        <f>IF(A197="","",SETUP_RATES!$K$5)</f>
        <v/>
      </c>
      <c r="G197" s="42" t="str">
        <f t="shared" si="3"/>
        <v/>
      </c>
      <c r="H197" s="33" t="str">
        <f t="shared" si="4"/>
        <v/>
      </c>
    </row>
    <row r="198" ht="15.75" customHeight="1">
      <c r="A198" s="33" t="str">
        <f>IF(COSTING!A198="","",COSTING!A198)</f>
        <v/>
      </c>
      <c r="B198" s="38" t="str">
        <f>IF(A198="","",COSTING!J198)</f>
        <v/>
      </c>
      <c r="C198" s="38" t="str">
        <f>IF(A198="","",COSTING!I198)</f>
        <v/>
      </c>
      <c r="D198" s="38" t="str">
        <f t="shared" si="1"/>
        <v/>
      </c>
      <c r="E198" s="42" t="str">
        <f t="shared" si="2"/>
        <v/>
      </c>
      <c r="F198" s="42" t="str">
        <f>IF(A198="","",SETUP_RATES!$K$5)</f>
        <v/>
      </c>
      <c r="G198" s="42" t="str">
        <f t="shared" si="3"/>
        <v/>
      </c>
      <c r="H198" s="33" t="str">
        <f t="shared" si="4"/>
        <v/>
      </c>
    </row>
    <row r="199" ht="15.75" customHeight="1">
      <c r="A199" s="33" t="str">
        <f>IF(COSTING!A199="","",COSTING!A199)</f>
        <v/>
      </c>
      <c r="B199" s="38" t="str">
        <f>IF(A199="","",COSTING!J199)</f>
        <v/>
      </c>
      <c r="C199" s="38" t="str">
        <f>IF(A199="","",COSTING!I199)</f>
        <v/>
      </c>
      <c r="D199" s="38" t="str">
        <f t="shared" si="1"/>
        <v/>
      </c>
      <c r="E199" s="42" t="str">
        <f t="shared" si="2"/>
        <v/>
      </c>
      <c r="F199" s="42" t="str">
        <f>IF(A199="","",SETUP_RATES!$K$5)</f>
        <v/>
      </c>
      <c r="G199" s="42" t="str">
        <f t="shared" si="3"/>
        <v/>
      </c>
      <c r="H199" s="33" t="str">
        <f t="shared" si="4"/>
        <v/>
      </c>
    </row>
    <row r="200" ht="15.75" customHeight="1">
      <c r="A200" s="33" t="str">
        <f>IF(COSTING!A200="","",COSTING!A200)</f>
        <v/>
      </c>
      <c r="B200" s="38" t="str">
        <f>IF(A200="","",COSTING!J200)</f>
        <v/>
      </c>
      <c r="C200" s="38" t="str">
        <f>IF(A200="","",COSTING!I200)</f>
        <v/>
      </c>
      <c r="D200" s="38" t="str">
        <f t="shared" si="1"/>
        <v/>
      </c>
      <c r="E200" s="42" t="str">
        <f t="shared" si="2"/>
        <v/>
      </c>
      <c r="F200" s="42" t="str">
        <f>IF(A200="","",SETUP_RATES!$K$5)</f>
        <v/>
      </c>
      <c r="G200" s="42" t="str">
        <f t="shared" si="3"/>
        <v/>
      </c>
      <c r="H200" s="33" t="str">
        <f t="shared" si="4"/>
        <v/>
      </c>
    </row>
    <row r="201" ht="15.75" customHeight="1">
      <c r="A201" s="33" t="str">
        <f>IF(COSTING!A201="","",COSTING!A201)</f>
        <v/>
      </c>
      <c r="B201" s="38" t="str">
        <f>IF(A201="","",COSTING!J201)</f>
        <v/>
      </c>
      <c r="C201" s="38" t="str">
        <f>IF(A201="","",COSTING!I201)</f>
        <v/>
      </c>
      <c r="D201" s="38" t="str">
        <f t="shared" si="1"/>
        <v/>
      </c>
      <c r="E201" s="42" t="str">
        <f t="shared" si="2"/>
        <v/>
      </c>
      <c r="F201" s="42" t="str">
        <f>IF(A201="","",SETUP_RATES!$K$5)</f>
        <v/>
      </c>
      <c r="G201" s="42" t="str">
        <f t="shared" si="3"/>
        <v/>
      </c>
      <c r="H201" s="33" t="str">
        <f t="shared" si="4"/>
        <v/>
      </c>
    </row>
    <row r="202" ht="15.75" customHeight="1">
      <c r="A202" s="33" t="str">
        <f>IF(COSTING!A202="","",COSTING!A202)</f>
        <v/>
      </c>
      <c r="B202" s="38" t="str">
        <f>IF(A202="","",COSTING!J202)</f>
        <v/>
      </c>
      <c r="C202" s="38" t="str">
        <f>IF(A202="","",COSTING!I202)</f>
        <v/>
      </c>
      <c r="D202" s="38" t="str">
        <f t="shared" si="1"/>
        <v/>
      </c>
      <c r="E202" s="42" t="str">
        <f t="shared" si="2"/>
        <v/>
      </c>
      <c r="F202" s="42" t="str">
        <f>IF(A202="","",SETUP_RATES!$K$5)</f>
        <v/>
      </c>
      <c r="G202" s="42" t="str">
        <f t="shared" si="3"/>
        <v/>
      </c>
      <c r="H202" s="33" t="str">
        <f t="shared" si="4"/>
        <v/>
      </c>
    </row>
    <row r="203" ht="15.75" customHeight="1">
      <c r="A203" s="33" t="str">
        <f>IF(COSTING!A203="","",COSTING!A203)</f>
        <v/>
      </c>
      <c r="B203" s="38" t="str">
        <f>IF(A203="","",COSTING!J203)</f>
        <v/>
      </c>
      <c r="C203" s="38" t="str">
        <f>IF(A203="","",COSTING!I203)</f>
        <v/>
      </c>
      <c r="D203" s="38" t="str">
        <f t="shared" si="1"/>
        <v/>
      </c>
      <c r="E203" s="42" t="str">
        <f t="shared" si="2"/>
        <v/>
      </c>
      <c r="F203" s="42" t="str">
        <f>IF(A203="","",SETUP_RATES!$K$5)</f>
        <v/>
      </c>
      <c r="G203" s="42" t="str">
        <f t="shared" si="3"/>
        <v/>
      </c>
      <c r="H203" s="33" t="str">
        <f t="shared" si="4"/>
        <v/>
      </c>
    </row>
    <row r="204" ht="15.75" customHeight="1">
      <c r="A204" s="33" t="str">
        <f>IF(COSTING!A204="","",COSTING!A204)</f>
        <v/>
      </c>
      <c r="B204" s="38" t="str">
        <f>IF(A204="","",COSTING!J204)</f>
        <v/>
      </c>
      <c r="C204" s="38" t="str">
        <f>IF(A204="","",COSTING!I204)</f>
        <v/>
      </c>
      <c r="D204" s="38" t="str">
        <f t="shared" si="1"/>
        <v/>
      </c>
      <c r="E204" s="42" t="str">
        <f t="shared" si="2"/>
        <v/>
      </c>
      <c r="F204" s="42" t="str">
        <f>IF(A204="","",SETUP_RATES!$K$5)</f>
        <v/>
      </c>
      <c r="G204" s="42" t="str">
        <f t="shared" si="3"/>
        <v/>
      </c>
      <c r="H204" s="33" t="str">
        <f t="shared" si="4"/>
        <v/>
      </c>
    </row>
    <row r="205" ht="15.75" customHeight="1">
      <c r="A205" s="33" t="str">
        <f>IF(COSTING!A205="","",COSTING!A205)</f>
        <v/>
      </c>
      <c r="B205" s="38" t="str">
        <f>IF(A205="","",COSTING!J205)</f>
        <v/>
      </c>
      <c r="C205" s="38" t="str">
        <f>IF(A205="","",COSTING!I205)</f>
        <v/>
      </c>
      <c r="D205" s="38" t="str">
        <f t="shared" si="1"/>
        <v/>
      </c>
      <c r="E205" s="42" t="str">
        <f t="shared" si="2"/>
        <v/>
      </c>
      <c r="F205" s="42" t="str">
        <f>IF(A205="","",SETUP_RATES!$K$5)</f>
        <v/>
      </c>
      <c r="G205" s="42" t="str">
        <f t="shared" si="3"/>
        <v/>
      </c>
      <c r="H205" s="33" t="str">
        <f t="shared" si="4"/>
        <v/>
      </c>
    </row>
    <row r="206" ht="15.75" customHeight="1">
      <c r="A206" s="33" t="str">
        <f>IF(COSTING!A206="","",COSTING!A206)</f>
        <v/>
      </c>
      <c r="B206" s="38" t="str">
        <f>IF(A206="","",COSTING!J206)</f>
        <v/>
      </c>
      <c r="C206" s="38" t="str">
        <f>IF(A206="","",COSTING!I206)</f>
        <v/>
      </c>
      <c r="D206" s="38" t="str">
        <f t="shared" si="1"/>
        <v/>
      </c>
      <c r="E206" s="42" t="str">
        <f t="shared" si="2"/>
        <v/>
      </c>
      <c r="F206" s="42" t="str">
        <f>IF(A206="","",SETUP_RATES!$K$5)</f>
        <v/>
      </c>
      <c r="G206" s="42" t="str">
        <f t="shared" si="3"/>
        <v/>
      </c>
      <c r="H206" s="33" t="str">
        <f t="shared" si="4"/>
        <v/>
      </c>
    </row>
    <row r="207" ht="15.75" customHeight="1">
      <c r="A207" s="33" t="str">
        <f>IF(COSTING!A207="","",COSTING!A207)</f>
        <v/>
      </c>
      <c r="B207" s="38" t="str">
        <f>IF(A207="","",COSTING!J207)</f>
        <v/>
      </c>
      <c r="C207" s="38" t="str">
        <f>IF(A207="","",COSTING!I207)</f>
        <v/>
      </c>
      <c r="D207" s="38" t="str">
        <f t="shared" si="1"/>
        <v/>
      </c>
      <c r="E207" s="42" t="str">
        <f t="shared" si="2"/>
        <v/>
      </c>
      <c r="F207" s="42" t="str">
        <f>IF(A207="","",SETUP_RATES!$K$5)</f>
        <v/>
      </c>
      <c r="G207" s="42" t="str">
        <f t="shared" si="3"/>
        <v/>
      </c>
      <c r="H207" s="33" t="str">
        <f t="shared" si="4"/>
        <v/>
      </c>
    </row>
    <row r="208" ht="15.75" customHeight="1">
      <c r="A208" s="33" t="str">
        <f>IF(COSTING!A208="","",COSTING!A208)</f>
        <v/>
      </c>
      <c r="B208" s="38" t="str">
        <f>IF(A208="","",COSTING!J208)</f>
        <v/>
      </c>
      <c r="C208" s="38" t="str">
        <f>IF(A208="","",COSTING!I208)</f>
        <v/>
      </c>
      <c r="D208" s="38" t="str">
        <f t="shared" si="1"/>
        <v/>
      </c>
      <c r="E208" s="42" t="str">
        <f t="shared" si="2"/>
        <v/>
      </c>
      <c r="F208" s="42" t="str">
        <f>IF(A208="","",SETUP_RATES!$K$5)</f>
        <v/>
      </c>
      <c r="G208" s="42" t="str">
        <f t="shared" si="3"/>
        <v/>
      </c>
      <c r="H208" s="33" t="str">
        <f t="shared" si="4"/>
        <v/>
      </c>
    </row>
    <row r="209" ht="15.75" customHeight="1">
      <c r="A209" s="33" t="str">
        <f>IF(COSTING!A209="","",COSTING!A209)</f>
        <v/>
      </c>
      <c r="B209" s="38" t="str">
        <f>IF(A209="","",COSTING!J209)</f>
        <v/>
      </c>
      <c r="C209" s="38" t="str">
        <f>IF(A209="","",COSTING!I209)</f>
        <v/>
      </c>
      <c r="D209" s="38" t="str">
        <f t="shared" si="1"/>
        <v/>
      </c>
      <c r="E209" s="42" t="str">
        <f t="shared" si="2"/>
        <v/>
      </c>
      <c r="F209" s="42" t="str">
        <f>IF(A209="","",SETUP_RATES!$K$5)</f>
        <v/>
      </c>
      <c r="G209" s="42" t="str">
        <f t="shared" si="3"/>
        <v/>
      </c>
      <c r="H209" s="33" t="str">
        <f t="shared" si="4"/>
        <v/>
      </c>
    </row>
    <row r="210" ht="15.75" customHeight="1">
      <c r="A210" s="33" t="str">
        <f>IF(COSTING!A210="","",COSTING!A210)</f>
        <v/>
      </c>
      <c r="B210" s="38" t="str">
        <f>IF(A210="","",COSTING!J210)</f>
        <v/>
      </c>
      <c r="C210" s="38" t="str">
        <f>IF(A210="","",COSTING!I210)</f>
        <v/>
      </c>
      <c r="D210" s="38" t="str">
        <f t="shared" si="1"/>
        <v/>
      </c>
      <c r="E210" s="42" t="str">
        <f t="shared" si="2"/>
        <v/>
      </c>
      <c r="F210" s="42" t="str">
        <f>IF(A210="","",SETUP_RATES!$K$5)</f>
        <v/>
      </c>
      <c r="G210" s="42" t="str">
        <f t="shared" si="3"/>
        <v/>
      </c>
      <c r="H210" s="33" t="str">
        <f t="shared" si="4"/>
        <v/>
      </c>
    </row>
    <row r="211" ht="15.75" customHeight="1">
      <c r="A211" s="33" t="str">
        <f>IF(COSTING!A211="","",COSTING!A211)</f>
        <v/>
      </c>
      <c r="B211" s="38" t="str">
        <f>IF(A211="","",COSTING!J211)</f>
        <v/>
      </c>
      <c r="C211" s="38" t="str">
        <f>IF(A211="","",COSTING!I211)</f>
        <v/>
      </c>
      <c r="D211" s="38" t="str">
        <f t="shared" si="1"/>
        <v/>
      </c>
      <c r="E211" s="42" t="str">
        <f t="shared" si="2"/>
        <v/>
      </c>
      <c r="F211" s="42" t="str">
        <f>IF(A211="","",SETUP_RATES!$K$5)</f>
        <v/>
      </c>
      <c r="G211" s="42" t="str">
        <f t="shared" si="3"/>
        <v/>
      </c>
      <c r="H211" s="33" t="str">
        <f t="shared" si="4"/>
        <v/>
      </c>
    </row>
    <row r="212" ht="15.75" customHeight="1">
      <c r="A212" s="33" t="str">
        <f>IF(COSTING!A212="","",COSTING!A212)</f>
        <v/>
      </c>
      <c r="B212" s="38" t="str">
        <f>IF(A212="","",COSTING!J212)</f>
        <v/>
      </c>
      <c r="C212" s="38" t="str">
        <f>IF(A212="","",COSTING!I212)</f>
        <v/>
      </c>
      <c r="D212" s="38" t="str">
        <f t="shared" si="1"/>
        <v/>
      </c>
      <c r="E212" s="42" t="str">
        <f t="shared" si="2"/>
        <v/>
      </c>
      <c r="F212" s="42" t="str">
        <f>IF(A212="","",SETUP_RATES!$K$5)</f>
        <v/>
      </c>
      <c r="G212" s="42" t="str">
        <f t="shared" si="3"/>
        <v/>
      </c>
      <c r="H212" s="33" t="str">
        <f t="shared" si="4"/>
        <v/>
      </c>
    </row>
    <row r="213" ht="15.75" customHeight="1">
      <c r="A213" s="33" t="str">
        <f>IF(COSTING!A213="","",COSTING!A213)</f>
        <v/>
      </c>
      <c r="B213" s="38" t="str">
        <f>IF(A213="","",COSTING!J213)</f>
        <v/>
      </c>
      <c r="C213" s="38" t="str">
        <f>IF(A213="","",COSTING!I213)</f>
        <v/>
      </c>
      <c r="D213" s="38" t="str">
        <f t="shared" si="1"/>
        <v/>
      </c>
      <c r="E213" s="42" t="str">
        <f t="shared" si="2"/>
        <v/>
      </c>
      <c r="F213" s="42" t="str">
        <f>IF(A213="","",SETUP_RATES!$K$5)</f>
        <v/>
      </c>
      <c r="G213" s="42" t="str">
        <f t="shared" si="3"/>
        <v/>
      </c>
      <c r="H213" s="33" t="str">
        <f t="shared" si="4"/>
        <v/>
      </c>
    </row>
    <row r="214" ht="15.75" customHeight="1">
      <c r="A214" s="33" t="str">
        <f>IF(COSTING!A214="","",COSTING!A214)</f>
        <v/>
      </c>
      <c r="B214" s="38" t="str">
        <f>IF(A214="","",COSTING!J214)</f>
        <v/>
      </c>
      <c r="C214" s="38" t="str">
        <f>IF(A214="","",COSTING!I214)</f>
        <v/>
      </c>
      <c r="D214" s="38" t="str">
        <f t="shared" si="1"/>
        <v/>
      </c>
      <c r="E214" s="42" t="str">
        <f t="shared" si="2"/>
        <v/>
      </c>
      <c r="F214" s="42" t="str">
        <f>IF(A214="","",SETUP_RATES!$K$5)</f>
        <v/>
      </c>
      <c r="G214" s="42" t="str">
        <f t="shared" si="3"/>
        <v/>
      </c>
      <c r="H214" s="33" t="str">
        <f t="shared" si="4"/>
        <v/>
      </c>
    </row>
    <row r="215" ht="15.75" customHeight="1">
      <c r="A215" s="33" t="str">
        <f>IF(COSTING!A215="","",COSTING!A215)</f>
        <v/>
      </c>
      <c r="B215" s="38" t="str">
        <f>IF(A215="","",COSTING!J215)</f>
        <v/>
      </c>
      <c r="C215" s="38" t="str">
        <f>IF(A215="","",COSTING!I215)</f>
        <v/>
      </c>
      <c r="D215" s="38" t="str">
        <f t="shared" si="1"/>
        <v/>
      </c>
      <c r="E215" s="42" t="str">
        <f t="shared" si="2"/>
        <v/>
      </c>
      <c r="F215" s="42" t="str">
        <f>IF(A215="","",SETUP_RATES!$K$5)</f>
        <v/>
      </c>
      <c r="G215" s="42" t="str">
        <f t="shared" si="3"/>
        <v/>
      </c>
      <c r="H215" s="33" t="str">
        <f t="shared" si="4"/>
        <v/>
      </c>
    </row>
    <row r="216" ht="15.75" customHeight="1">
      <c r="A216" s="33" t="str">
        <f>IF(COSTING!A216="","",COSTING!A216)</f>
        <v/>
      </c>
      <c r="B216" s="38" t="str">
        <f>IF(A216="","",COSTING!J216)</f>
        <v/>
      </c>
      <c r="C216" s="38" t="str">
        <f>IF(A216="","",COSTING!I216)</f>
        <v/>
      </c>
      <c r="D216" s="38" t="str">
        <f t="shared" si="1"/>
        <v/>
      </c>
      <c r="E216" s="42" t="str">
        <f t="shared" si="2"/>
        <v/>
      </c>
      <c r="F216" s="42" t="str">
        <f>IF(A216="","",SETUP_RATES!$K$5)</f>
        <v/>
      </c>
      <c r="G216" s="42" t="str">
        <f t="shared" si="3"/>
        <v/>
      </c>
      <c r="H216" s="33" t="str">
        <f t="shared" si="4"/>
        <v/>
      </c>
    </row>
    <row r="217" ht="15.75" customHeight="1">
      <c r="A217" s="33" t="str">
        <f>IF(COSTING!A217="","",COSTING!A217)</f>
        <v/>
      </c>
      <c r="B217" s="38" t="str">
        <f>IF(A217="","",COSTING!J217)</f>
        <v/>
      </c>
      <c r="C217" s="38" t="str">
        <f>IF(A217="","",COSTING!I217)</f>
        <v/>
      </c>
      <c r="D217" s="38" t="str">
        <f t="shared" si="1"/>
        <v/>
      </c>
      <c r="E217" s="42" t="str">
        <f t="shared" si="2"/>
        <v/>
      </c>
      <c r="F217" s="42" t="str">
        <f>IF(A217="","",SETUP_RATES!$K$5)</f>
        <v/>
      </c>
      <c r="G217" s="42" t="str">
        <f t="shared" si="3"/>
        <v/>
      </c>
      <c r="H217" s="33" t="str">
        <f t="shared" si="4"/>
        <v/>
      </c>
    </row>
    <row r="218" ht="15.75" customHeight="1">
      <c r="A218" s="33" t="str">
        <f>IF(COSTING!A218="","",COSTING!A218)</f>
        <v/>
      </c>
      <c r="B218" s="38" t="str">
        <f>IF(A218="","",COSTING!J218)</f>
        <v/>
      </c>
      <c r="C218" s="38" t="str">
        <f>IF(A218="","",COSTING!I218)</f>
        <v/>
      </c>
      <c r="D218" s="38" t="str">
        <f t="shared" si="1"/>
        <v/>
      </c>
      <c r="E218" s="42" t="str">
        <f t="shared" si="2"/>
        <v/>
      </c>
      <c r="F218" s="42" t="str">
        <f>IF(A218="","",SETUP_RATES!$K$5)</f>
        <v/>
      </c>
      <c r="G218" s="42" t="str">
        <f t="shared" si="3"/>
        <v/>
      </c>
      <c r="H218" s="33" t="str">
        <f t="shared" si="4"/>
        <v/>
      </c>
    </row>
    <row r="219" ht="15.75" customHeight="1">
      <c r="A219" s="33" t="str">
        <f>IF(COSTING!A219="","",COSTING!A219)</f>
        <v/>
      </c>
      <c r="B219" s="38" t="str">
        <f>IF(A219="","",COSTING!J219)</f>
        <v/>
      </c>
      <c r="C219" s="38" t="str">
        <f>IF(A219="","",COSTING!I219)</f>
        <v/>
      </c>
      <c r="D219" s="38" t="str">
        <f t="shared" si="1"/>
        <v/>
      </c>
      <c r="E219" s="42" t="str">
        <f t="shared" si="2"/>
        <v/>
      </c>
      <c r="F219" s="42" t="str">
        <f>IF(A219="","",SETUP_RATES!$K$5)</f>
        <v/>
      </c>
      <c r="G219" s="42" t="str">
        <f t="shared" si="3"/>
        <v/>
      </c>
      <c r="H219" s="33" t="str">
        <f t="shared" si="4"/>
        <v/>
      </c>
    </row>
    <row r="220" ht="15.75" customHeight="1">
      <c r="A220" s="33" t="str">
        <f>IF(COSTING!A220="","",COSTING!A220)</f>
        <v/>
      </c>
      <c r="B220" s="38" t="str">
        <f>IF(A220="","",COSTING!J220)</f>
        <v/>
      </c>
      <c r="C220" s="38" t="str">
        <f>IF(A220="","",COSTING!I220)</f>
        <v/>
      </c>
      <c r="D220" s="38" t="str">
        <f t="shared" si="1"/>
        <v/>
      </c>
      <c r="E220" s="42" t="str">
        <f t="shared" si="2"/>
        <v/>
      </c>
      <c r="F220" s="42" t="str">
        <f>IF(A220="","",SETUP_RATES!$K$5)</f>
        <v/>
      </c>
      <c r="G220" s="42" t="str">
        <f t="shared" si="3"/>
        <v/>
      </c>
      <c r="H220" s="33" t="str">
        <f t="shared" si="4"/>
        <v/>
      </c>
    </row>
    <row r="221" ht="15.75" customHeight="1">
      <c r="A221" s="33" t="str">
        <f>IF(COSTING!A221="","",COSTING!A221)</f>
        <v/>
      </c>
      <c r="B221" s="38" t="str">
        <f>IF(A221="","",COSTING!J221)</f>
        <v/>
      </c>
      <c r="C221" s="38" t="str">
        <f>IF(A221="","",COSTING!I221)</f>
        <v/>
      </c>
      <c r="D221" s="38" t="str">
        <f t="shared" si="1"/>
        <v/>
      </c>
      <c r="E221" s="42" t="str">
        <f t="shared" si="2"/>
        <v/>
      </c>
      <c r="F221" s="42" t="str">
        <f>IF(A221="","",SETUP_RATES!$K$5)</f>
        <v/>
      </c>
      <c r="G221" s="42" t="str">
        <f t="shared" si="3"/>
        <v/>
      </c>
      <c r="H221" s="33" t="str">
        <f t="shared" si="4"/>
        <v/>
      </c>
    </row>
    <row r="222" ht="15.75" customHeight="1">
      <c r="A222" s="33" t="str">
        <f>IF(COSTING!A222="","",COSTING!A222)</f>
        <v/>
      </c>
      <c r="B222" s="38" t="str">
        <f>IF(A222="","",COSTING!J222)</f>
        <v/>
      </c>
      <c r="C222" s="38" t="str">
        <f>IF(A222="","",COSTING!I222)</f>
        <v/>
      </c>
      <c r="D222" s="38" t="str">
        <f t="shared" si="1"/>
        <v/>
      </c>
      <c r="E222" s="42" t="str">
        <f t="shared" si="2"/>
        <v/>
      </c>
      <c r="F222" s="42" t="str">
        <f>IF(A222="","",SETUP_RATES!$K$5)</f>
        <v/>
      </c>
      <c r="G222" s="42" t="str">
        <f t="shared" si="3"/>
        <v/>
      </c>
      <c r="H222" s="33" t="str">
        <f t="shared" si="4"/>
        <v/>
      </c>
    </row>
    <row r="223" ht="15.75" customHeight="1">
      <c r="A223" s="33" t="str">
        <f>IF(COSTING!A223="","",COSTING!A223)</f>
        <v/>
      </c>
      <c r="B223" s="38" t="str">
        <f>IF(A223="","",COSTING!J223)</f>
        <v/>
      </c>
      <c r="C223" s="38" t="str">
        <f>IF(A223="","",COSTING!I223)</f>
        <v/>
      </c>
      <c r="D223" s="38" t="str">
        <f t="shared" si="1"/>
        <v/>
      </c>
      <c r="E223" s="42" t="str">
        <f t="shared" si="2"/>
        <v/>
      </c>
      <c r="F223" s="42" t="str">
        <f>IF(A223="","",SETUP_RATES!$K$5)</f>
        <v/>
      </c>
      <c r="G223" s="42" t="str">
        <f t="shared" si="3"/>
        <v/>
      </c>
      <c r="H223" s="33" t="str">
        <f t="shared" si="4"/>
        <v/>
      </c>
    </row>
    <row r="224" ht="15.75" customHeight="1">
      <c r="A224" s="33" t="str">
        <f>IF(COSTING!A224="","",COSTING!A224)</f>
        <v/>
      </c>
      <c r="B224" s="38" t="str">
        <f>IF(A224="","",COSTING!J224)</f>
        <v/>
      </c>
      <c r="C224" s="38" t="str">
        <f>IF(A224="","",COSTING!I224)</f>
        <v/>
      </c>
      <c r="D224" s="38" t="str">
        <f t="shared" si="1"/>
        <v/>
      </c>
      <c r="E224" s="42" t="str">
        <f t="shared" si="2"/>
        <v/>
      </c>
      <c r="F224" s="42" t="str">
        <f>IF(A224="","",SETUP_RATES!$K$5)</f>
        <v/>
      </c>
      <c r="G224" s="42" t="str">
        <f t="shared" si="3"/>
        <v/>
      </c>
      <c r="H224" s="33" t="str">
        <f t="shared" si="4"/>
        <v/>
      </c>
    </row>
    <row r="225" ht="15.75" customHeight="1">
      <c r="A225" s="33" t="str">
        <f>IF(COSTING!A225="","",COSTING!A225)</f>
        <v/>
      </c>
      <c r="B225" s="38" t="str">
        <f>IF(A225="","",COSTING!J225)</f>
        <v/>
      </c>
      <c r="C225" s="38" t="str">
        <f>IF(A225="","",COSTING!I225)</f>
        <v/>
      </c>
      <c r="D225" s="38" t="str">
        <f t="shared" si="1"/>
        <v/>
      </c>
      <c r="E225" s="42" t="str">
        <f t="shared" si="2"/>
        <v/>
      </c>
      <c r="F225" s="42" t="str">
        <f>IF(A225="","",SETUP_RATES!$K$5)</f>
        <v/>
      </c>
      <c r="G225" s="42" t="str">
        <f t="shared" si="3"/>
        <v/>
      </c>
      <c r="H225" s="33" t="str">
        <f t="shared" si="4"/>
        <v/>
      </c>
    </row>
    <row r="226" ht="15.75" customHeight="1">
      <c r="A226" s="33" t="str">
        <f>IF(COSTING!A226="","",COSTING!A226)</f>
        <v/>
      </c>
      <c r="B226" s="38" t="str">
        <f>IF(A226="","",COSTING!J226)</f>
        <v/>
      </c>
      <c r="C226" s="38" t="str">
        <f>IF(A226="","",COSTING!I226)</f>
        <v/>
      </c>
      <c r="D226" s="38" t="str">
        <f t="shared" si="1"/>
        <v/>
      </c>
      <c r="E226" s="42" t="str">
        <f t="shared" si="2"/>
        <v/>
      </c>
      <c r="F226" s="42" t="str">
        <f>IF(A226="","",SETUP_RATES!$K$5)</f>
        <v/>
      </c>
      <c r="G226" s="42" t="str">
        <f t="shared" si="3"/>
        <v/>
      </c>
      <c r="H226" s="33" t="str">
        <f t="shared" si="4"/>
        <v/>
      </c>
    </row>
    <row r="227" ht="15.75" customHeight="1">
      <c r="A227" s="33" t="str">
        <f>IF(COSTING!A227="","",COSTING!A227)</f>
        <v/>
      </c>
      <c r="B227" s="38" t="str">
        <f>IF(A227="","",COSTING!J227)</f>
        <v/>
      </c>
      <c r="C227" s="38" t="str">
        <f>IF(A227="","",COSTING!I227)</f>
        <v/>
      </c>
      <c r="D227" s="38" t="str">
        <f t="shared" si="1"/>
        <v/>
      </c>
      <c r="E227" s="42" t="str">
        <f t="shared" si="2"/>
        <v/>
      </c>
      <c r="F227" s="42" t="str">
        <f>IF(A227="","",SETUP_RATES!$K$5)</f>
        <v/>
      </c>
      <c r="G227" s="42" t="str">
        <f t="shared" si="3"/>
        <v/>
      </c>
      <c r="H227" s="33" t="str">
        <f t="shared" si="4"/>
        <v/>
      </c>
    </row>
    <row r="228" ht="15.75" customHeight="1">
      <c r="A228" s="33" t="str">
        <f>IF(COSTING!A228="","",COSTING!A228)</f>
        <v/>
      </c>
      <c r="B228" s="38" t="str">
        <f>IF(A228="","",COSTING!J228)</f>
        <v/>
      </c>
      <c r="C228" s="38" t="str">
        <f>IF(A228="","",COSTING!I228)</f>
        <v/>
      </c>
      <c r="D228" s="38" t="str">
        <f t="shared" si="1"/>
        <v/>
      </c>
      <c r="E228" s="42" t="str">
        <f t="shared" si="2"/>
        <v/>
      </c>
      <c r="F228" s="42" t="str">
        <f>IF(A228="","",SETUP_RATES!$K$5)</f>
        <v/>
      </c>
      <c r="G228" s="42" t="str">
        <f t="shared" si="3"/>
        <v/>
      </c>
      <c r="H228" s="33" t="str">
        <f t="shared" si="4"/>
        <v/>
      </c>
    </row>
    <row r="229" ht="15.75" customHeight="1">
      <c r="A229" s="33" t="str">
        <f>IF(COSTING!A229="","",COSTING!A229)</f>
        <v/>
      </c>
      <c r="B229" s="38" t="str">
        <f>IF(A229="","",COSTING!J229)</f>
        <v/>
      </c>
      <c r="C229" s="38" t="str">
        <f>IF(A229="","",COSTING!I229)</f>
        <v/>
      </c>
      <c r="D229" s="38" t="str">
        <f t="shared" si="1"/>
        <v/>
      </c>
      <c r="E229" s="42" t="str">
        <f t="shared" si="2"/>
        <v/>
      </c>
      <c r="F229" s="42" t="str">
        <f>IF(A229="","",SETUP_RATES!$K$5)</f>
        <v/>
      </c>
      <c r="G229" s="42" t="str">
        <f t="shared" si="3"/>
        <v/>
      </c>
      <c r="H229" s="33" t="str">
        <f t="shared" si="4"/>
        <v/>
      </c>
    </row>
    <row r="230" ht="15.75" customHeight="1">
      <c r="A230" s="33" t="str">
        <f>IF(COSTING!A230="","",COSTING!A230)</f>
        <v/>
      </c>
      <c r="B230" s="38" t="str">
        <f>IF(A230="","",COSTING!J230)</f>
        <v/>
      </c>
      <c r="C230" s="38" t="str">
        <f>IF(A230="","",COSTING!I230)</f>
        <v/>
      </c>
      <c r="D230" s="38" t="str">
        <f t="shared" si="1"/>
        <v/>
      </c>
      <c r="E230" s="42" t="str">
        <f t="shared" si="2"/>
        <v/>
      </c>
      <c r="F230" s="42" t="str">
        <f>IF(A230="","",SETUP_RATES!$K$5)</f>
        <v/>
      </c>
      <c r="G230" s="42" t="str">
        <f t="shared" si="3"/>
        <v/>
      </c>
      <c r="H230" s="33" t="str">
        <f t="shared" si="4"/>
        <v/>
      </c>
    </row>
    <row r="231" ht="15.75" customHeight="1">
      <c r="A231" s="33" t="str">
        <f>IF(COSTING!A231="","",COSTING!A231)</f>
        <v/>
      </c>
      <c r="B231" s="38" t="str">
        <f>IF(A231="","",COSTING!J231)</f>
        <v/>
      </c>
      <c r="C231" s="38" t="str">
        <f>IF(A231="","",COSTING!I231)</f>
        <v/>
      </c>
      <c r="D231" s="38" t="str">
        <f t="shared" si="1"/>
        <v/>
      </c>
      <c r="E231" s="42" t="str">
        <f t="shared" si="2"/>
        <v/>
      </c>
      <c r="F231" s="42" t="str">
        <f>IF(A231="","",SETUP_RATES!$K$5)</f>
        <v/>
      </c>
      <c r="G231" s="42" t="str">
        <f t="shared" si="3"/>
        <v/>
      </c>
      <c r="H231" s="33" t="str">
        <f t="shared" si="4"/>
        <v/>
      </c>
    </row>
    <row r="232" ht="15.75" customHeight="1">
      <c r="A232" s="33" t="str">
        <f>IF(COSTING!A232="","",COSTING!A232)</f>
        <v/>
      </c>
      <c r="B232" s="38" t="str">
        <f>IF(A232="","",COSTING!J232)</f>
        <v/>
      </c>
      <c r="C232" s="38" t="str">
        <f>IF(A232="","",COSTING!I232)</f>
        <v/>
      </c>
      <c r="D232" s="38" t="str">
        <f t="shared" si="1"/>
        <v/>
      </c>
      <c r="E232" s="42" t="str">
        <f t="shared" si="2"/>
        <v/>
      </c>
      <c r="F232" s="42" t="str">
        <f>IF(A232="","",SETUP_RATES!$K$5)</f>
        <v/>
      </c>
      <c r="G232" s="42" t="str">
        <f t="shared" si="3"/>
        <v/>
      </c>
      <c r="H232" s="33" t="str">
        <f t="shared" si="4"/>
        <v/>
      </c>
    </row>
    <row r="233" ht="15.75" customHeight="1">
      <c r="A233" s="33" t="str">
        <f>IF(COSTING!A233="","",COSTING!A233)</f>
        <v/>
      </c>
      <c r="B233" s="38" t="str">
        <f>IF(A233="","",COSTING!J233)</f>
        <v/>
      </c>
      <c r="C233" s="38" t="str">
        <f>IF(A233="","",COSTING!I233)</f>
        <v/>
      </c>
      <c r="D233" s="38" t="str">
        <f t="shared" si="1"/>
        <v/>
      </c>
      <c r="E233" s="42" t="str">
        <f t="shared" si="2"/>
        <v/>
      </c>
      <c r="F233" s="42" t="str">
        <f>IF(A233="","",SETUP_RATES!$K$5)</f>
        <v/>
      </c>
      <c r="G233" s="42" t="str">
        <f t="shared" si="3"/>
        <v/>
      </c>
      <c r="H233" s="33" t="str">
        <f t="shared" si="4"/>
        <v/>
      </c>
    </row>
    <row r="234" ht="15.75" customHeight="1">
      <c r="A234" s="33" t="str">
        <f>IF(COSTING!A234="","",COSTING!A234)</f>
        <v/>
      </c>
      <c r="B234" s="38" t="str">
        <f>IF(A234="","",COSTING!J234)</f>
        <v/>
      </c>
      <c r="C234" s="38" t="str">
        <f>IF(A234="","",COSTING!I234)</f>
        <v/>
      </c>
      <c r="D234" s="38" t="str">
        <f t="shared" si="1"/>
        <v/>
      </c>
      <c r="E234" s="42" t="str">
        <f t="shared" si="2"/>
        <v/>
      </c>
      <c r="F234" s="42" t="str">
        <f>IF(A234="","",SETUP_RATES!$K$5)</f>
        <v/>
      </c>
      <c r="G234" s="42" t="str">
        <f t="shared" si="3"/>
        <v/>
      </c>
      <c r="H234" s="33" t="str">
        <f t="shared" si="4"/>
        <v/>
      </c>
    </row>
    <row r="235" ht="15.75" customHeight="1">
      <c r="A235" s="33" t="str">
        <f>IF(COSTING!A235="","",COSTING!A235)</f>
        <v/>
      </c>
      <c r="B235" s="38" t="str">
        <f>IF(A235="","",COSTING!J235)</f>
        <v/>
      </c>
      <c r="C235" s="38" t="str">
        <f>IF(A235="","",COSTING!I235)</f>
        <v/>
      </c>
      <c r="D235" s="38" t="str">
        <f t="shared" si="1"/>
        <v/>
      </c>
      <c r="E235" s="42" t="str">
        <f t="shared" si="2"/>
        <v/>
      </c>
      <c r="F235" s="42" t="str">
        <f>IF(A235="","",SETUP_RATES!$K$5)</f>
        <v/>
      </c>
      <c r="G235" s="42" t="str">
        <f t="shared" si="3"/>
        <v/>
      </c>
      <c r="H235" s="33" t="str">
        <f t="shared" si="4"/>
        <v/>
      </c>
    </row>
    <row r="236" ht="15.75" customHeight="1">
      <c r="A236" s="33" t="str">
        <f>IF(COSTING!A236="","",COSTING!A236)</f>
        <v/>
      </c>
      <c r="B236" s="38" t="str">
        <f>IF(A236="","",COSTING!J236)</f>
        <v/>
      </c>
      <c r="C236" s="38" t="str">
        <f>IF(A236="","",COSTING!I236)</f>
        <v/>
      </c>
      <c r="D236" s="38" t="str">
        <f t="shared" si="1"/>
        <v/>
      </c>
      <c r="E236" s="42" t="str">
        <f t="shared" si="2"/>
        <v/>
      </c>
      <c r="F236" s="42" t="str">
        <f>IF(A236="","",SETUP_RATES!$K$5)</f>
        <v/>
      </c>
      <c r="G236" s="42" t="str">
        <f t="shared" si="3"/>
        <v/>
      </c>
      <c r="H236" s="33" t="str">
        <f t="shared" si="4"/>
        <v/>
      </c>
    </row>
    <row r="237" ht="15.75" customHeight="1">
      <c r="A237" s="33" t="str">
        <f>IF(COSTING!A237="","",COSTING!A237)</f>
        <v/>
      </c>
      <c r="B237" s="38" t="str">
        <f>IF(A237="","",COSTING!J237)</f>
        <v/>
      </c>
      <c r="C237" s="38" t="str">
        <f>IF(A237="","",COSTING!I237)</f>
        <v/>
      </c>
      <c r="D237" s="38" t="str">
        <f t="shared" si="1"/>
        <v/>
      </c>
      <c r="E237" s="42" t="str">
        <f t="shared" si="2"/>
        <v/>
      </c>
      <c r="F237" s="42" t="str">
        <f>IF(A237="","",SETUP_RATES!$K$5)</f>
        <v/>
      </c>
      <c r="G237" s="42" t="str">
        <f t="shared" si="3"/>
        <v/>
      </c>
      <c r="H237" s="33" t="str">
        <f t="shared" si="4"/>
        <v/>
      </c>
    </row>
    <row r="238" ht="15.75" customHeight="1">
      <c r="A238" s="33" t="str">
        <f>IF(COSTING!A238="","",COSTING!A238)</f>
        <v/>
      </c>
      <c r="B238" s="38" t="str">
        <f>IF(A238="","",COSTING!J238)</f>
        <v/>
      </c>
      <c r="C238" s="38" t="str">
        <f>IF(A238="","",COSTING!I238)</f>
        <v/>
      </c>
      <c r="D238" s="38" t="str">
        <f t="shared" si="1"/>
        <v/>
      </c>
      <c r="E238" s="42" t="str">
        <f t="shared" si="2"/>
        <v/>
      </c>
      <c r="F238" s="42" t="str">
        <f>IF(A238="","",SETUP_RATES!$K$5)</f>
        <v/>
      </c>
      <c r="G238" s="42" t="str">
        <f t="shared" si="3"/>
        <v/>
      </c>
      <c r="H238" s="33" t="str">
        <f t="shared" si="4"/>
        <v/>
      </c>
    </row>
    <row r="239" ht="15.75" customHeight="1">
      <c r="A239" s="33" t="str">
        <f>IF(COSTING!A239="","",COSTING!A239)</f>
        <v/>
      </c>
      <c r="B239" s="38" t="str">
        <f>IF(A239="","",COSTING!J239)</f>
        <v/>
      </c>
      <c r="C239" s="38" t="str">
        <f>IF(A239="","",COSTING!I239)</f>
        <v/>
      </c>
      <c r="D239" s="38" t="str">
        <f t="shared" si="1"/>
        <v/>
      </c>
      <c r="E239" s="42" t="str">
        <f t="shared" si="2"/>
        <v/>
      </c>
      <c r="F239" s="42" t="str">
        <f>IF(A239="","",SETUP_RATES!$K$5)</f>
        <v/>
      </c>
      <c r="G239" s="42" t="str">
        <f t="shared" si="3"/>
        <v/>
      </c>
      <c r="H239" s="33" t="str">
        <f t="shared" si="4"/>
        <v/>
      </c>
    </row>
    <row r="240" ht="15.75" customHeight="1">
      <c r="A240" s="33" t="str">
        <f>IF(COSTING!A240="","",COSTING!A240)</f>
        <v/>
      </c>
      <c r="B240" s="38" t="str">
        <f>IF(A240="","",COSTING!J240)</f>
        <v/>
      </c>
      <c r="C240" s="38" t="str">
        <f>IF(A240="","",COSTING!I240)</f>
        <v/>
      </c>
      <c r="D240" s="38" t="str">
        <f t="shared" si="1"/>
        <v/>
      </c>
      <c r="E240" s="42" t="str">
        <f t="shared" si="2"/>
        <v/>
      </c>
      <c r="F240" s="42" t="str">
        <f>IF(A240="","",SETUP_RATES!$K$5)</f>
        <v/>
      </c>
      <c r="G240" s="42" t="str">
        <f t="shared" si="3"/>
        <v/>
      </c>
      <c r="H240" s="33" t="str">
        <f t="shared" si="4"/>
        <v/>
      </c>
    </row>
    <row r="241" ht="15.75" customHeight="1">
      <c r="A241" s="33" t="str">
        <f>IF(COSTING!A241="","",COSTING!A241)</f>
        <v/>
      </c>
      <c r="B241" s="38" t="str">
        <f>IF(A241="","",COSTING!J241)</f>
        <v/>
      </c>
      <c r="C241" s="38" t="str">
        <f>IF(A241="","",COSTING!I241)</f>
        <v/>
      </c>
      <c r="D241" s="38" t="str">
        <f t="shared" si="1"/>
        <v/>
      </c>
      <c r="E241" s="42" t="str">
        <f t="shared" si="2"/>
        <v/>
      </c>
      <c r="F241" s="42" t="str">
        <f>IF(A241="","",SETUP_RATES!$K$5)</f>
        <v/>
      </c>
      <c r="G241" s="42" t="str">
        <f t="shared" si="3"/>
        <v/>
      </c>
      <c r="H241" s="33" t="str">
        <f t="shared" si="4"/>
        <v/>
      </c>
    </row>
    <row r="242" ht="15.75" customHeight="1">
      <c r="A242" s="33" t="str">
        <f>IF(COSTING!A242="","",COSTING!A242)</f>
        <v/>
      </c>
      <c r="B242" s="38" t="str">
        <f>IF(A242="","",COSTING!J242)</f>
        <v/>
      </c>
      <c r="C242" s="38" t="str">
        <f>IF(A242="","",COSTING!I242)</f>
        <v/>
      </c>
      <c r="D242" s="38" t="str">
        <f t="shared" si="1"/>
        <v/>
      </c>
      <c r="E242" s="42" t="str">
        <f t="shared" si="2"/>
        <v/>
      </c>
      <c r="F242" s="42" t="str">
        <f>IF(A242="","",SETUP_RATES!$K$5)</f>
        <v/>
      </c>
      <c r="G242" s="42" t="str">
        <f t="shared" si="3"/>
        <v/>
      </c>
      <c r="H242" s="33" t="str">
        <f t="shared" si="4"/>
        <v/>
      </c>
    </row>
    <row r="243" ht="15.75" customHeight="1">
      <c r="A243" s="33" t="str">
        <f>IF(COSTING!A243="","",COSTING!A243)</f>
        <v/>
      </c>
      <c r="B243" s="38" t="str">
        <f>IF(A243="","",COSTING!J243)</f>
        <v/>
      </c>
      <c r="C243" s="38" t="str">
        <f>IF(A243="","",COSTING!I243)</f>
        <v/>
      </c>
      <c r="D243" s="38" t="str">
        <f t="shared" si="1"/>
        <v/>
      </c>
      <c r="E243" s="42" t="str">
        <f t="shared" si="2"/>
        <v/>
      </c>
      <c r="F243" s="42" t="str">
        <f>IF(A243="","",SETUP_RATES!$K$5)</f>
        <v/>
      </c>
      <c r="G243" s="42" t="str">
        <f t="shared" si="3"/>
        <v/>
      </c>
      <c r="H243" s="33" t="str">
        <f t="shared" si="4"/>
        <v/>
      </c>
    </row>
    <row r="244" ht="15.75" customHeight="1">
      <c r="A244" s="33" t="str">
        <f>IF(COSTING!A244="","",COSTING!A244)</f>
        <v/>
      </c>
      <c r="B244" s="38" t="str">
        <f>IF(A244="","",COSTING!J244)</f>
        <v/>
      </c>
      <c r="C244" s="38" t="str">
        <f>IF(A244="","",COSTING!I244)</f>
        <v/>
      </c>
      <c r="D244" s="38" t="str">
        <f t="shared" si="1"/>
        <v/>
      </c>
      <c r="E244" s="42" t="str">
        <f t="shared" si="2"/>
        <v/>
      </c>
      <c r="F244" s="42" t="str">
        <f>IF(A244="","",SETUP_RATES!$K$5)</f>
        <v/>
      </c>
      <c r="G244" s="42" t="str">
        <f t="shared" si="3"/>
        <v/>
      </c>
      <c r="H244" s="33" t="str">
        <f t="shared" si="4"/>
        <v/>
      </c>
    </row>
    <row r="245" ht="15.75" customHeight="1">
      <c r="A245" s="33" t="str">
        <f>IF(COSTING!A245="","",COSTING!A245)</f>
        <v/>
      </c>
      <c r="B245" s="38" t="str">
        <f>IF(A245="","",COSTING!J245)</f>
        <v/>
      </c>
      <c r="C245" s="38" t="str">
        <f>IF(A245="","",COSTING!I245)</f>
        <v/>
      </c>
      <c r="D245" s="38" t="str">
        <f t="shared" si="1"/>
        <v/>
      </c>
      <c r="E245" s="42" t="str">
        <f t="shared" si="2"/>
        <v/>
      </c>
      <c r="F245" s="42" t="str">
        <f>IF(A245="","",SETUP_RATES!$K$5)</f>
        <v/>
      </c>
      <c r="G245" s="42" t="str">
        <f t="shared" si="3"/>
        <v/>
      </c>
      <c r="H245" s="33" t="str">
        <f t="shared" si="4"/>
        <v/>
      </c>
    </row>
    <row r="246" ht="15.75" customHeight="1">
      <c r="A246" s="33" t="str">
        <f>IF(COSTING!A246="","",COSTING!A246)</f>
        <v/>
      </c>
      <c r="B246" s="38" t="str">
        <f>IF(A246="","",COSTING!J246)</f>
        <v/>
      </c>
      <c r="C246" s="38" t="str">
        <f>IF(A246="","",COSTING!I246)</f>
        <v/>
      </c>
      <c r="D246" s="38" t="str">
        <f t="shared" si="1"/>
        <v/>
      </c>
      <c r="E246" s="42" t="str">
        <f t="shared" si="2"/>
        <v/>
      </c>
      <c r="F246" s="42" t="str">
        <f>IF(A246="","",SETUP_RATES!$K$5)</f>
        <v/>
      </c>
      <c r="G246" s="42" t="str">
        <f t="shared" si="3"/>
        <v/>
      </c>
      <c r="H246" s="33" t="str">
        <f t="shared" si="4"/>
        <v/>
      </c>
    </row>
    <row r="247" ht="15.75" customHeight="1">
      <c r="A247" s="33" t="str">
        <f>IF(COSTING!A247="","",COSTING!A247)</f>
        <v/>
      </c>
      <c r="B247" s="38" t="str">
        <f>IF(A247="","",COSTING!J247)</f>
        <v/>
      </c>
      <c r="C247" s="38" t="str">
        <f>IF(A247="","",COSTING!I247)</f>
        <v/>
      </c>
      <c r="D247" s="38" t="str">
        <f t="shared" si="1"/>
        <v/>
      </c>
      <c r="E247" s="42" t="str">
        <f t="shared" si="2"/>
        <v/>
      </c>
      <c r="F247" s="42" t="str">
        <f>IF(A247="","",SETUP_RATES!$K$5)</f>
        <v/>
      </c>
      <c r="G247" s="42" t="str">
        <f t="shared" si="3"/>
        <v/>
      </c>
      <c r="H247" s="33" t="str">
        <f t="shared" si="4"/>
        <v/>
      </c>
    </row>
    <row r="248" ht="15.75" customHeight="1">
      <c r="A248" s="33" t="str">
        <f>IF(COSTING!A248="","",COSTING!A248)</f>
        <v/>
      </c>
      <c r="B248" s="38" t="str">
        <f>IF(A248="","",COSTING!J248)</f>
        <v/>
      </c>
      <c r="C248" s="38" t="str">
        <f>IF(A248="","",COSTING!I248)</f>
        <v/>
      </c>
      <c r="D248" s="38" t="str">
        <f t="shared" si="1"/>
        <v/>
      </c>
      <c r="E248" s="42" t="str">
        <f t="shared" si="2"/>
        <v/>
      </c>
      <c r="F248" s="42" t="str">
        <f>IF(A248="","",SETUP_RATES!$K$5)</f>
        <v/>
      </c>
      <c r="G248" s="42" t="str">
        <f t="shared" si="3"/>
        <v/>
      </c>
      <c r="H248" s="33" t="str">
        <f t="shared" si="4"/>
        <v/>
      </c>
    </row>
    <row r="249" ht="15.75" customHeight="1">
      <c r="A249" s="33" t="str">
        <f>IF(COSTING!A249="","",COSTING!A249)</f>
        <v/>
      </c>
      <c r="B249" s="38" t="str">
        <f>IF(A249="","",COSTING!J249)</f>
        <v/>
      </c>
      <c r="C249" s="38" t="str">
        <f>IF(A249="","",COSTING!I249)</f>
        <v/>
      </c>
      <c r="D249" s="38" t="str">
        <f t="shared" si="1"/>
        <v/>
      </c>
      <c r="E249" s="42" t="str">
        <f t="shared" si="2"/>
        <v/>
      </c>
      <c r="F249" s="42" t="str">
        <f>IF(A249="","",SETUP_RATES!$K$5)</f>
        <v/>
      </c>
      <c r="G249" s="42" t="str">
        <f t="shared" si="3"/>
        <v/>
      </c>
      <c r="H249" s="33" t="str">
        <f t="shared" si="4"/>
        <v/>
      </c>
    </row>
    <row r="250" ht="15.75" customHeight="1">
      <c r="A250" s="33" t="str">
        <f>IF(COSTING!A250="","",COSTING!A250)</f>
        <v/>
      </c>
      <c r="B250" s="38" t="str">
        <f>IF(A250="","",COSTING!J250)</f>
        <v/>
      </c>
      <c r="C250" s="38" t="str">
        <f>IF(A250="","",COSTING!I250)</f>
        <v/>
      </c>
      <c r="D250" s="38" t="str">
        <f t="shared" si="1"/>
        <v/>
      </c>
      <c r="E250" s="42" t="str">
        <f t="shared" si="2"/>
        <v/>
      </c>
      <c r="F250" s="42" t="str">
        <f>IF(A250="","",SETUP_RATES!$K$5)</f>
        <v/>
      </c>
      <c r="G250" s="42" t="str">
        <f t="shared" si="3"/>
        <v/>
      </c>
      <c r="H250" s="33" t="str">
        <f t="shared" si="4"/>
        <v/>
      </c>
    </row>
    <row r="251" ht="15.75" customHeight="1">
      <c r="A251" s="33" t="str">
        <f>IF(COSTING!A251="","",COSTING!A251)</f>
        <v/>
      </c>
      <c r="B251" s="38" t="str">
        <f>IF(A251="","",COSTING!J251)</f>
        <v/>
      </c>
      <c r="C251" s="38" t="str">
        <f>IF(A251="","",COSTING!I251)</f>
        <v/>
      </c>
      <c r="D251" s="38" t="str">
        <f t="shared" si="1"/>
        <v/>
      </c>
      <c r="E251" s="42" t="str">
        <f t="shared" si="2"/>
        <v/>
      </c>
      <c r="F251" s="42" t="str">
        <f>IF(A251="","",SETUP_RATES!$K$5)</f>
        <v/>
      </c>
      <c r="G251" s="42" t="str">
        <f t="shared" si="3"/>
        <v/>
      </c>
      <c r="H251" s="33" t="str">
        <f t="shared" si="4"/>
        <v/>
      </c>
    </row>
    <row r="252" ht="15.75" customHeight="1">
      <c r="A252" s="33" t="str">
        <f>IF(COSTING!A252="","",COSTING!A252)</f>
        <v/>
      </c>
      <c r="B252" s="38" t="str">
        <f>IF(A252="","",COSTING!J252)</f>
        <v/>
      </c>
      <c r="C252" s="38" t="str">
        <f>IF(A252="","",COSTING!I252)</f>
        <v/>
      </c>
      <c r="D252" s="38" t="str">
        <f t="shared" si="1"/>
        <v/>
      </c>
      <c r="E252" s="42" t="str">
        <f t="shared" si="2"/>
        <v/>
      </c>
      <c r="F252" s="42" t="str">
        <f>IF(A252="","",SETUP_RATES!$K$5)</f>
        <v/>
      </c>
      <c r="G252" s="42" t="str">
        <f t="shared" si="3"/>
        <v/>
      </c>
      <c r="H252" s="33" t="str">
        <f t="shared" si="4"/>
        <v/>
      </c>
    </row>
    <row r="253" ht="15.75" customHeight="1">
      <c r="A253" s="33" t="str">
        <f>IF(COSTING!A253="","",COSTING!A253)</f>
        <v/>
      </c>
      <c r="B253" s="38" t="str">
        <f>IF(A253="","",COSTING!J253)</f>
        <v/>
      </c>
      <c r="C253" s="38" t="str">
        <f>IF(A253="","",COSTING!I253)</f>
        <v/>
      </c>
      <c r="D253" s="38" t="str">
        <f t="shared" si="1"/>
        <v/>
      </c>
      <c r="E253" s="42" t="str">
        <f t="shared" si="2"/>
        <v/>
      </c>
      <c r="F253" s="42" t="str">
        <f>IF(A253="","",SETUP_RATES!$K$5)</f>
        <v/>
      </c>
      <c r="G253" s="42" t="str">
        <f t="shared" si="3"/>
        <v/>
      </c>
      <c r="H253" s="33" t="str">
        <f t="shared" si="4"/>
        <v/>
      </c>
    </row>
    <row r="254" ht="15.75" customHeight="1">
      <c r="A254" s="33" t="str">
        <f>IF(COSTING!A254="","",COSTING!A254)</f>
        <v/>
      </c>
      <c r="B254" s="38" t="str">
        <f>IF(A254="","",COSTING!J254)</f>
        <v/>
      </c>
      <c r="C254" s="38" t="str">
        <f>IF(A254="","",COSTING!I254)</f>
        <v/>
      </c>
      <c r="D254" s="38" t="str">
        <f t="shared" si="1"/>
        <v/>
      </c>
      <c r="E254" s="42" t="str">
        <f t="shared" si="2"/>
        <v/>
      </c>
      <c r="F254" s="42" t="str">
        <f>IF(A254="","",SETUP_RATES!$K$5)</f>
        <v/>
      </c>
      <c r="G254" s="42" t="str">
        <f t="shared" si="3"/>
        <v/>
      </c>
      <c r="H254" s="33" t="str">
        <f t="shared" si="4"/>
        <v/>
      </c>
    </row>
    <row r="255" ht="15.75" customHeight="1">
      <c r="A255" s="33" t="str">
        <f>IF(COSTING!A255="","",COSTING!A255)</f>
        <v/>
      </c>
      <c r="B255" s="38" t="str">
        <f>IF(A255="","",COSTING!J255)</f>
        <v/>
      </c>
      <c r="C255" s="38" t="str">
        <f>IF(A255="","",COSTING!I255)</f>
        <v/>
      </c>
      <c r="D255" s="38" t="str">
        <f t="shared" si="1"/>
        <v/>
      </c>
      <c r="E255" s="42" t="str">
        <f t="shared" si="2"/>
        <v/>
      </c>
      <c r="F255" s="42" t="str">
        <f>IF(A255="","",SETUP_RATES!$K$5)</f>
        <v/>
      </c>
      <c r="G255" s="42" t="str">
        <f t="shared" si="3"/>
        <v/>
      </c>
      <c r="H255" s="33" t="str">
        <f t="shared" si="4"/>
        <v/>
      </c>
    </row>
    <row r="256" ht="15.75" customHeight="1">
      <c r="A256" s="33" t="str">
        <f>IF(COSTING!A256="","",COSTING!A256)</f>
        <v/>
      </c>
      <c r="B256" s="38" t="str">
        <f>IF(A256="","",COSTING!J256)</f>
        <v/>
      </c>
      <c r="C256" s="38" t="str">
        <f>IF(A256="","",COSTING!I256)</f>
        <v/>
      </c>
      <c r="D256" s="38" t="str">
        <f t="shared" si="1"/>
        <v/>
      </c>
      <c r="E256" s="42" t="str">
        <f t="shared" si="2"/>
        <v/>
      </c>
      <c r="F256" s="42" t="str">
        <f>IF(A256="","",SETUP_RATES!$K$5)</f>
        <v/>
      </c>
      <c r="G256" s="42" t="str">
        <f t="shared" si="3"/>
        <v/>
      </c>
      <c r="H256" s="33" t="str">
        <f t="shared" si="4"/>
        <v/>
      </c>
    </row>
    <row r="257" ht="15.75" customHeight="1">
      <c r="A257" s="33" t="str">
        <f>IF(COSTING!A257="","",COSTING!A257)</f>
        <v/>
      </c>
      <c r="B257" s="38" t="str">
        <f>IF(A257="","",COSTING!J257)</f>
        <v/>
      </c>
      <c r="C257" s="38" t="str">
        <f>IF(A257="","",COSTING!I257)</f>
        <v/>
      </c>
      <c r="D257" s="38" t="str">
        <f t="shared" si="1"/>
        <v/>
      </c>
      <c r="E257" s="42" t="str">
        <f t="shared" si="2"/>
        <v/>
      </c>
      <c r="F257" s="42" t="str">
        <f>IF(A257="","",SETUP_RATES!$K$5)</f>
        <v/>
      </c>
      <c r="G257" s="42" t="str">
        <f t="shared" si="3"/>
        <v/>
      </c>
      <c r="H257" s="33" t="str">
        <f t="shared" si="4"/>
        <v/>
      </c>
    </row>
    <row r="258" ht="15.75" customHeight="1">
      <c r="A258" s="33" t="str">
        <f>IF(COSTING!A258="","",COSTING!A258)</f>
        <v/>
      </c>
      <c r="B258" s="38" t="str">
        <f>IF(A258="","",COSTING!J258)</f>
        <v/>
      </c>
      <c r="C258" s="38" t="str">
        <f>IF(A258="","",COSTING!I258)</f>
        <v/>
      </c>
      <c r="D258" s="38" t="str">
        <f t="shared" si="1"/>
        <v/>
      </c>
      <c r="E258" s="42" t="str">
        <f t="shared" si="2"/>
        <v/>
      </c>
      <c r="F258" s="42" t="str">
        <f>IF(A258="","",SETUP_RATES!$K$5)</f>
        <v/>
      </c>
      <c r="G258" s="42" t="str">
        <f t="shared" si="3"/>
        <v/>
      </c>
      <c r="H258" s="33" t="str">
        <f t="shared" si="4"/>
        <v/>
      </c>
    </row>
    <row r="259" ht="15.75" customHeight="1">
      <c r="A259" s="33" t="str">
        <f>IF(COSTING!A259="","",COSTING!A259)</f>
        <v/>
      </c>
      <c r="B259" s="38" t="str">
        <f>IF(A259="","",COSTING!J259)</f>
        <v/>
      </c>
      <c r="C259" s="38" t="str">
        <f>IF(A259="","",COSTING!I259)</f>
        <v/>
      </c>
      <c r="D259" s="38" t="str">
        <f t="shared" si="1"/>
        <v/>
      </c>
      <c r="E259" s="42" t="str">
        <f t="shared" si="2"/>
        <v/>
      </c>
      <c r="F259" s="42" t="str">
        <f>IF(A259="","",SETUP_RATES!$K$5)</f>
        <v/>
      </c>
      <c r="G259" s="42" t="str">
        <f t="shared" si="3"/>
        <v/>
      </c>
      <c r="H259" s="33" t="str">
        <f t="shared" si="4"/>
        <v/>
      </c>
    </row>
    <row r="260" ht="15.75" customHeight="1">
      <c r="A260" s="33" t="str">
        <f>IF(COSTING!A260="","",COSTING!A260)</f>
        <v/>
      </c>
      <c r="B260" s="38" t="str">
        <f>IF(A260="","",COSTING!J260)</f>
        <v/>
      </c>
      <c r="C260" s="38" t="str">
        <f>IF(A260="","",COSTING!I260)</f>
        <v/>
      </c>
      <c r="D260" s="38" t="str">
        <f t="shared" si="1"/>
        <v/>
      </c>
      <c r="E260" s="42" t="str">
        <f t="shared" si="2"/>
        <v/>
      </c>
      <c r="F260" s="42" t="str">
        <f>IF(A260="","",SETUP_RATES!$K$5)</f>
        <v/>
      </c>
      <c r="G260" s="42" t="str">
        <f t="shared" si="3"/>
        <v/>
      </c>
      <c r="H260" s="33" t="str">
        <f t="shared" si="4"/>
        <v/>
      </c>
    </row>
    <row r="261" ht="15.75" customHeight="1">
      <c r="A261" s="33" t="str">
        <f>IF(COSTING!A261="","",COSTING!A261)</f>
        <v/>
      </c>
      <c r="B261" s="38" t="str">
        <f>IF(A261="","",COSTING!J261)</f>
        <v/>
      </c>
      <c r="C261" s="38" t="str">
        <f>IF(A261="","",COSTING!I261)</f>
        <v/>
      </c>
      <c r="D261" s="38" t="str">
        <f t="shared" si="1"/>
        <v/>
      </c>
      <c r="E261" s="42" t="str">
        <f t="shared" si="2"/>
        <v/>
      </c>
      <c r="F261" s="42" t="str">
        <f>IF(A261="","",SETUP_RATES!$K$5)</f>
        <v/>
      </c>
      <c r="G261" s="42" t="str">
        <f t="shared" si="3"/>
        <v/>
      </c>
      <c r="H261" s="33" t="str">
        <f t="shared" si="4"/>
        <v/>
      </c>
    </row>
    <row r="262" ht="15.75" customHeight="1">
      <c r="A262" s="33" t="str">
        <f>IF(COSTING!A262="","",COSTING!A262)</f>
        <v/>
      </c>
      <c r="B262" s="38" t="str">
        <f>IF(A262="","",COSTING!J262)</f>
        <v/>
      </c>
      <c r="C262" s="38" t="str">
        <f>IF(A262="","",COSTING!I262)</f>
        <v/>
      </c>
      <c r="D262" s="38" t="str">
        <f t="shared" si="1"/>
        <v/>
      </c>
      <c r="E262" s="42" t="str">
        <f t="shared" si="2"/>
        <v/>
      </c>
      <c r="F262" s="42" t="str">
        <f>IF(A262="","",SETUP_RATES!$K$5)</f>
        <v/>
      </c>
      <c r="G262" s="42" t="str">
        <f t="shared" si="3"/>
        <v/>
      </c>
      <c r="H262" s="33" t="str">
        <f t="shared" si="4"/>
        <v/>
      </c>
    </row>
    <row r="263" ht="15.75" customHeight="1">
      <c r="A263" s="33" t="str">
        <f>IF(COSTING!A263="","",COSTING!A263)</f>
        <v/>
      </c>
      <c r="B263" s="38" t="str">
        <f>IF(A263="","",COSTING!J263)</f>
        <v/>
      </c>
      <c r="C263" s="38" t="str">
        <f>IF(A263="","",COSTING!I263)</f>
        <v/>
      </c>
      <c r="D263" s="38" t="str">
        <f t="shared" si="1"/>
        <v/>
      </c>
      <c r="E263" s="42" t="str">
        <f t="shared" si="2"/>
        <v/>
      </c>
      <c r="F263" s="42" t="str">
        <f>IF(A263="","",SETUP_RATES!$K$5)</f>
        <v/>
      </c>
      <c r="G263" s="42" t="str">
        <f t="shared" si="3"/>
        <v/>
      </c>
      <c r="H263" s="33" t="str">
        <f t="shared" si="4"/>
        <v/>
      </c>
    </row>
    <row r="264" ht="15.75" customHeight="1">
      <c r="A264" s="33" t="str">
        <f>IF(COSTING!A264="","",COSTING!A264)</f>
        <v/>
      </c>
      <c r="B264" s="38" t="str">
        <f>IF(A264="","",COSTING!J264)</f>
        <v/>
      </c>
      <c r="C264" s="38" t="str">
        <f>IF(A264="","",COSTING!I264)</f>
        <v/>
      </c>
      <c r="D264" s="38" t="str">
        <f t="shared" si="1"/>
        <v/>
      </c>
      <c r="E264" s="42" t="str">
        <f t="shared" si="2"/>
        <v/>
      </c>
      <c r="F264" s="42" t="str">
        <f>IF(A264="","",SETUP_RATES!$K$5)</f>
        <v/>
      </c>
      <c r="G264" s="42" t="str">
        <f t="shared" si="3"/>
        <v/>
      </c>
      <c r="H264" s="33" t="str">
        <f t="shared" si="4"/>
        <v/>
      </c>
    </row>
    <row r="265" ht="15.75" customHeight="1">
      <c r="A265" s="33" t="str">
        <f>IF(COSTING!A265="","",COSTING!A265)</f>
        <v/>
      </c>
      <c r="B265" s="38" t="str">
        <f>IF(A265="","",COSTING!J265)</f>
        <v/>
      </c>
      <c r="C265" s="38" t="str">
        <f>IF(A265="","",COSTING!I265)</f>
        <v/>
      </c>
      <c r="D265" s="38" t="str">
        <f t="shared" si="1"/>
        <v/>
      </c>
      <c r="E265" s="42" t="str">
        <f t="shared" si="2"/>
        <v/>
      </c>
      <c r="F265" s="42" t="str">
        <f>IF(A265="","",SETUP_RATES!$K$5)</f>
        <v/>
      </c>
      <c r="G265" s="42" t="str">
        <f t="shared" si="3"/>
        <v/>
      </c>
      <c r="H265" s="33" t="str">
        <f t="shared" si="4"/>
        <v/>
      </c>
    </row>
    <row r="266" ht="15.75" customHeight="1">
      <c r="A266" s="33" t="str">
        <f>IF(COSTING!A266="","",COSTING!A266)</f>
        <v/>
      </c>
      <c r="B266" s="38" t="str">
        <f>IF(A266="","",COSTING!J266)</f>
        <v/>
      </c>
      <c r="C266" s="38" t="str">
        <f>IF(A266="","",COSTING!I266)</f>
        <v/>
      </c>
      <c r="D266" s="38" t="str">
        <f t="shared" si="1"/>
        <v/>
      </c>
      <c r="E266" s="42" t="str">
        <f t="shared" si="2"/>
        <v/>
      </c>
      <c r="F266" s="42" t="str">
        <f>IF(A266="","",SETUP_RATES!$K$5)</f>
        <v/>
      </c>
      <c r="G266" s="42" t="str">
        <f t="shared" si="3"/>
        <v/>
      </c>
      <c r="H266" s="33" t="str">
        <f t="shared" si="4"/>
        <v/>
      </c>
    </row>
    <row r="267" ht="15.75" customHeight="1">
      <c r="A267" s="33" t="str">
        <f>IF(COSTING!A267="","",COSTING!A267)</f>
        <v/>
      </c>
      <c r="B267" s="38" t="str">
        <f>IF(A267="","",COSTING!J267)</f>
        <v/>
      </c>
      <c r="C267" s="38" t="str">
        <f>IF(A267="","",COSTING!I267)</f>
        <v/>
      </c>
      <c r="D267" s="38" t="str">
        <f t="shared" si="1"/>
        <v/>
      </c>
      <c r="E267" s="42" t="str">
        <f t="shared" si="2"/>
        <v/>
      </c>
      <c r="F267" s="42" t="str">
        <f>IF(A267="","",SETUP_RATES!$K$5)</f>
        <v/>
      </c>
      <c r="G267" s="42" t="str">
        <f t="shared" si="3"/>
        <v/>
      </c>
      <c r="H267" s="33" t="str">
        <f t="shared" si="4"/>
        <v/>
      </c>
    </row>
    <row r="268" ht="15.75" customHeight="1">
      <c r="A268" s="33" t="str">
        <f>IF(COSTING!A268="","",COSTING!A268)</f>
        <v/>
      </c>
      <c r="B268" s="38" t="str">
        <f>IF(A268="","",COSTING!J268)</f>
        <v/>
      </c>
      <c r="C268" s="38" t="str">
        <f>IF(A268="","",COSTING!I268)</f>
        <v/>
      </c>
      <c r="D268" s="38" t="str">
        <f t="shared" si="1"/>
        <v/>
      </c>
      <c r="E268" s="42" t="str">
        <f t="shared" si="2"/>
        <v/>
      </c>
      <c r="F268" s="42" t="str">
        <f>IF(A268="","",SETUP_RATES!$K$5)</f>
        <v/>
      </c>
      <c r="G268" s="42" t="str">
        <f t="shared" si="3"/>
        <v/>
      </c>
      <c r="H268" s="33" t="str">
        <f t="shared" si="4"/>
        <v/>
      </c>
    </row>
    <row r="269" ht="15.75" customHeight="1">
      <c r="A269" s="33" t="str">
        <f>IF(COSTING!A269="","",COSTING!A269)</f>
        <v/>
      </c>
      <c r="B269" s="38" t="str">
        <f>IF(A269="","",COSTING!J269)</f>
        <v/>
      </c>
      <c r="C269" s="38" t="str">
        <f>IF(A269="","",COSTING!I269)</f>
        <v/>
      </c>
      <c r="D269" s="38" t="str">
        <f t="shared" si="1"/>
        <v/>
      </c>
      <c r="E269" s="42" t="str">
        <f t="shared" si="2"/>
        <v/>
      </c>
      <c r="F269" s="42" t="str">
        <f>IF(A269="","",SETUP_RATES!$K$5)</f>
        <v/>
      </c>
      <c r="G269" s="42" t="str">
        <f t="shared" si="3"/>
        <v/>
      </c>
      <c r="H269" s="33" t="str">
        <f t="shared" si="4"/>
        <v/>
      </c>
    </row>
    <row r="270" ht="15.75" customHeight="1">
      <c r="A270" s="33" t="str">
        <f>IF(COSTING!A270="","",COSTING!A270)</f>
        <v/>
      </c>
      <c r="B270" s="38" t="str">
        <f>IF(A270="","",COSTING!J270)</f>
        <v/>
      </c>
      <c r="C270" s="38" t="str">
        <f>IF(A270="","",COSTING!I270)</f>
        <v/>
      </c>
      <c r="D270" s="38" t="str">
        <f t="shared" si="1"/>
        <v/>
      </c>
      <c r="E270" s="42" t="str">
        <f t="shared" si="2"/>
        <v/>
      </c>
      <c r="F270" s="42" t="str">
        <f>IF(A270="","",SETUP_RATES!$K$5)</f>
        <v/>
      </c>
      <c r="G270" s="42" t="str">
        <f t="shared" si="3"/>
        <v/>
      </c>
      <c r="H270" s="33" t="str">
        <f t="shared" si="4"/>
        <v/>
      </c>
    </row>
    <row r="271" ht="15.75" customHeight="1">
      <c r="A271" s="33" t="str">
        <f>IF(COSTING!A271="","",COSTING!A271)</f>
        <v/>
      </c>
      <c r="B271" s="38" t="str">
        <f>IF(A271="","",COSTING!J271)</f>
        <v/>
      </c>
      <c r="C271" s="38" t="str">
        <f>IF(A271="","",COSTING!I271)</f>
        <v/>
      </c>
      <c r="D271" s="38" t="str">
        <f t="shared" si="1"/>
        <v/>
      </c>
      <c r="E271" s="42" t="str">
        <f t="shared" si="2"/>
        <v/>
      </c>
      <c r="F271" s="42" t="str">
        <f>IF(A271="","",SETUP_RATES!$K$5)</f>
        <v/>
      </c>
      <c r="G271" s="42" t="str">
        <f t="shared" si="3"/>
        <v/>
      </c>
      <c r="H271" s="33" t="str">
        <f t="shared" si="4"/>
        <v/>
      </c>
    </row>
    <row r="272" ht="15.75" customHeight="1">
      <c r="A272" s="33" t="str">
        <f>IF(COSTING!A272="","",COSTING!A272)</f>
        <v/>
      </c>
      <c r="B272" s="38" t="str">
        <f>IF(A272="","",COSTING!J272)</f>
        <v/>
      </c>
      <c r="C272" s="38" t="str">
        <f>IF(A272="","",COSTING!I272)</f>
        <v/>
      </c>
      <c r="D272" s="38" t="str">
        <f t="shared" si="1"/>
        <v/>
      </c>
      <c r="E272" s="42" t="str">
        <f t="shared" si="2"/>
        <v/>
      </c>
      <c r="F272" s="42" t="str">
        <f>IF(A272="","",SETUP_RATES!$K$5)</f>
        <v/>
      </c>
      <c r="G272" s="42" t="str">
        <f t="shared" si="3"/>
        <v/>
      </c>
      <c r="H272" s="33" t="str">
        <f t="shared" si="4"/>
        <v/>
      </c>
    </row>
    <row r="273" ht="15.75" customHeight="1">
      <c r="A273" s="33" t="str">
        <f>IF(COSTING!A273="","",COSTING!A273)</f>
        <v/>
      </c>
      <c r="B273" s="38" t="str">
        <f>IF(A273="","",COSTING!J273)</f>
        <v/>
      </c>
      <c r="C273" s="38" t="str">
        <f>IF(A273="","",COSTING!I273)</f>
        <v/>
      </c>
      <c r="D273" s="38" t="str">
        <f t="shared" si="1"/>
        <v/>
      </c>
      <c r="E273" s="42" t="str">
        <f t="shared" si="2"/>
        <v/>
      </c>
      <c r="F273" s="42" t="str">
        <f>IF(A273="","",SETUP_RATES!$K$5)</f>
        <v/>
      </c>
      <c r="G273" s="42" t="str">
        <f t="shared" si="3"/>
        <v/>
      </c>
      <c r="H273" s="33" t="str">
        <f t="shared" si="4"/>
        <v/>
      </c>
    </row>
    <row r="274" ht="15.75" customHeight="1">
      <c r="A274" s="33" t="str">
        <f>IF(COSTING!A274="","",COSTING!A274)</f>
        <v/>
      </c>
      <c r="B274" s="38" t="str">
        <f>IF(A274="","",COSTING!J274)</f>
        <v/>
      </c>
      <c r="C274" s="38" t="str">
        <f>IF(A274="","",COSTING!I274)</f>
        <v/>
      </c>
      <c r="D274" s="38" t="str">
        <f t="shared" si="1"/>
        <v/>
      </c>
      <c r="E274" s="42" t="str">
        <f t="shared" si="2"/>
        <v/>
      </c>
      <c r="F274" s="42" t="str">
        <f>IF(A274="","",SETUP_RATES!$K$5)</f>
        <v/>
      </c>
      <c r="G274" s="42" t="str">
        <f t="shared" si="3"/>
        <v/>
      </c>
      <c r="H274" s="33" t="str">
        <f t="shared" si="4"/>
        <v/>
      </c>
    </row>
    <row r="275" ht="15.75" customHeight="1">
      <c r="A275" s="33" t="str">
        <f>IF(COSTING!A275="","",COSTING!A275)</f>
        <v/>
      </c>
      <c r="B275" s="38" t="str">
        <f>IF(A275="","",COSTING!J275)</f>
        <v/>
      </c>
      <c r="C275" s="38" t="str">
        <f>IF(A275="","",COSTING!I275)</f>
        <v/>
      </c>
      <c r="D275" s="38" t="str">
        <f t="shared" si="1"/>
        <v/>
      </c>
      <c r="E275" s="42" t="str">
        <f t="shared" si="2"/>
        <v/>
      </c>
      <c r="F275" s="42" t="str">
        <f>IF(A275="","",SETUP_RATES!$K$5)</f>
        <v/>
      </c>
      <c r="G275" s="42" t="str">
        <f t="shared" si="3"/>
        <v/>
      </c>
      <c r="H275" s="33" t="str">
        <f t="shared" si="4"/>
        <v/>
      </c>
    </row>
    <row r="276" ht="15.75" customHeight="1">
      <c r="A276" s="33" t="str">
        <f>IF(COSTING!A276="","",COSTING!A276)</f>
        <v/>
      </c>
      <c r="B276" s="38" t="str">
        <f>IF(A276="","",COSTING!J276)</f>
        <v/>
      </c>
      <c r="C276" s="38" t="str">
        <f>IF(A276="","",COSTING!I276)</f>
        <v/>
      </c>
      <c r="D276" s="38" t="str">
        <f t="shared" si="1"/>
        <v/>
      </c>
      <c r="E276" s="42" t="str">
        <f t="shared" si="2"/>
        <v/>
      </c>
      <c r="F276" s="42" t="str">
        <f>IF(A276="","",SETUP_RATES!$K$5)</f>
        <v/>
      </c>
      <c r="G276" s="42" t="str">
        <f t="shared" si="3"/>
        <v/>
      </c>
      <c r="H276" s="33" t="str">
        <f t="shared" si="4"/>
        <v/>
      </c>
    </row>
    <row r="277" ht="15.75" customHeight="1">
      <c r="A277" s="33" t="str">
        <f>IF(COSTING!A277="","",COSTING!A277)</f>
        <v/>
      </c>
      <c r="B277" s="38" t="str">
        <f>IF(A277="","",COSTING!J277)</f>
        <v/>
      </c>
      <c r="C277" s="38" t="str">
        <f>IF(A277="","",COSTING!I277)</f>
        <v/>
      </c>
      <c r="D277" s="38" t="str">
        <f t="shared" si="1"/>
        <v/>
      </c>
      <c r="E277" s="42" t="str">
        <f t="shared" si="2"/>
        <v/>
      </c>
      <c r="F277" s="42" t="str">
        <f>IF(A277="","",SETUP_RATES!$K$5)</f>
        <v/>
      </c>
      <c r="G277" s="42" t="str">
        <f t="shared" si="3"/>
        <v/>
      </c>
      <c r="H277" s="33" t="str">
        <f t="shared" si="4"/>
        <v/>
      </c>
    </row>
    <row r="278" ht="15.75" customHeight="1">
      <c r="A278" s="33" t="str">
        <f>IF(COSTING!A278="","",COSTING!A278)</f>
        <v/>
      </c>
      <c r="B278" s="38" t="str">
        <f>IF(A278="","",COSTING!J278)</f>
        <v/>
      </c>
      <c r="C278" s="38" t="str">
        <f>IF(A278="","",COSTING!I278)</f>
        <v/>
      </c>
      <c r="D278" s="38" t="str">
        <f t="shared" si="1"/>
        <v/>
      </c>
      <c r="E278" s="42" t="str">
        <f t="shared" si="2"/>
        <v/>
      </c>
      <c r="F278" s="42" t="str">
        <f>IF(A278="","",SETUP_RATES!$K$5)</f>
        <v/>
      </c>
      <c r="G278" s="42" t="str">
        <f t="shared" si="3"/>
        <v/>
      </c>
      <c r="H278" s="33" t="str">
        <f t="shared" si="4"/>
        <v/>
      </c>
    </row>
    <row r="279" ht="15.75" customHeight="1">
      <c r="A279" s="33" t="str">
        <f>IF(COSTING!A279="","",COSTING!A279)</f>
        <v/>
      </c>
      <c r="B279" s="38" t="str">
        <f>IF(A279="","",COSTING!J279)</f>
        <v/>
      </c>
      <c r="C279" s="38" t="str">
        <f>IF(A279="","",COSTING!I279)</f>
        <v/>
      </c>
      <c r="D279" s="38" t="str">
        <f t="shared" si="1"/>
        <v/>
      </c>
      <c r="E279" s="42" t="str">
        <f t="shared" si="2"/>
        <v/>
      </c>
      <c r="F279" s="42" t="str">
        <f>IF(A279="","",SETUP_RATES!$K$5)</f>
        <v/>
      </c>
      <c r="G279" s="42" t="str">
        <f t="shared" si="3"/>
        <v/>
      </c>
      <c r="H279" s="33" t="str">
        <f t="shared" si="4"/>
        <v/>
      </c>
    </row>
    <row r="280" ht="15.75" customHeight="1">
      <c r="A280" s="33" t="str">
        <f>IF(COSTING!A280="","",COSTING!A280)</f>
        <v/>
      </c>
      <c r="B280" s="38" t="str">
        <f>IF(A280="","",COSTING!J280)</f>
        <v/>
      </c>
      <c r="C280" s="38" t="str">
        <f>IF(A280="","",COSTING!I280)</f>
        <v/>
      </c>
      <c r="D280" s="38" t="str">
        <f t="shared" si="1"/>
        <v/>
      </c>
      <c r="E280" s="42" t="str">
        <f t="shared" si="2"/>
        <v/>
      </c>
      <c r="F280" s="42" t="str">
        <f>IF(A280="","",SETUP_RATES!$K$5)</f>
        <v/>
      </c>
      <c r="G280" s="42" t="str">
        <f t="shared" si="3"/>
        <v/>
      </c>
      <c r="H280" s="33" t="str">
        <f t="shared" si="4"/>
        <v/>
      </c>
    </row>
    <row r="281" ht="15.75" customHeight="1">
      <c r="A281" s="33" t="str">
        <f>IF(COSTING!A281="","",COSTING!A281)</f>
        <v/>
      </c>
      <c r="B281" s="38" t="str">
        <f>IF(A281="","",COSTING!J281)</f>
        <v/>
      </c>
      <c r="C281" s="38" t="str">
        <f>IF(A281="","",COSTING!I281)</f>
        <v/>
      </c>
      <c r="D281" s="38" t="str">
        <f t="shared" si="1"/>
        <v/>
      </c>
      <c r="E281" s="42" t="str">
        <f t="shared" si="2"/>
        <v/>
      </c>
      <c r="F281" s="42" t="str">
        <f>IF(A281="","",SETUP_RATES!$K$5)</f>
        <v/>
      </c>
      <c r="G281" s="42" t="str">
        <f t="shared" si="3"/>
        <v/>
      </c>
      <c r="H281" s="33" t="str">
        <f t="shared" si="4"/>
        <v/>
      </c>
    </row>
    <row r="282" ht="15.75" customHeight="1">
      <c r="A282" s="33" t="str">
        <f>IF(COSTING!A282="","",COSTING!A282)</f>
        <v/>
      </c>
      <c r="B282" s="38" t="str">
        <f>IF(A282="","",COSTING!J282)</f>
        <v/>
      </c>
      <c r="C282" s="38" t="str">
        <f>IF(A282="","",COSTING!I282)</f>
        <v/>
      </c>
      <c r="D282" s="38" t="str">
        <f t="shared" si="1"/>
        <v/>
      </c>
      <c r="E282" s="42" t="str">
        <f t="shared" si="2"/>
        <v/>
      </c>
      <c r="F282" s="42" t="str">
        <f>IF(A282="","",SETUP_RATES!$K$5)</f>
        <v/>
      </c>
      <c r="G282" s="42" t="str">
        <f t="shared" si="3"/>
        <v/>
      </c>
      <c r="H282" s="33" t="str">
        <f t="shared" si="4"/>
        <v/>
      </c>
    </row>
    <row r="283" ht="15.75" customHeight="1">
      <c r="A283" s="33" t="str">
        <f>IF(COSTING!A283="","",COSTING!A283)</f>
        <v/>
      </c>
      <c r="B283" s="38" t="str">
        <f>IF(A283="","",COSTING!J283)</f>
        <v/>
      </c>
      <c r="C283" s="38" t="str">
        <f>IF(A283="","",COSTING!I283)</f>
        <v/>
      </c>
      <c r="D283" s="38" t="str">
        <f t="shared" si="1"/>
        <v/>
      </c>
      <c r="E283" s="42" t="str">
        <f t="shared" si="2"/>
        <v/>
      </c>
      <c r="F283" s="42" t="str">
        <f>IF(A283="","",SETUP_RATES!$K$5)</f>
        <v/>
      </c>
      <c r="G283" s="42" t="str">
        <f t="shared" si="3"/>
        <v/>
      </c>
      <c r="H283" s="33" t="str">
        <f t="shared" si="4"/>
        <v/>
      </c>
    </row>
    <row r="284" ht="15.75" customHeight="1">
      <c r="A284" s="33" t="str">
        <f>IF(COSTING!A284="","",COSTING!A284)</f>
        <v/>
      </c>
      <c r="B284" s="38" t="str">
        <f>IF(A284="","",COSTING!J284)</f>
        <v/>
      </c>
      <c r="C284" s="38" t="str">
        <f>IF(A284="","",COSTING!I284)</f>
        <v/>
      </c>
      <c r="D284" s="38" t="str">
        <f t="shared" si="1"/>
        <v/>
      </c>
      <c r="E284" s="42" t="str">
        <f t="shared" si="2"/>
        <v/>
      </c>
      <c r="F284" s="42" t="str">
        <f>IF(A284="","",SETUP_RATES!$K$5)</f>
        <v/>
      </c>
      <c r="G284" s="42" t="str">
        <f t="shared" si="3"/>
        <v/>
      </c>
      <c r="H284" s="33" t="str">
        <f t="shared" si="4"/>
        <v/>
      </c>
    </row>
    <row r="285" ht="15.75" customHeight="1">
      <c r="A285" s="33" t="str">
        <f>IF(COSTING!A285="","",COSTING!A285)</f>
        <v/>
      </c>
      <c r="B285" s="38" t="str">
        <f>IF(A285="","",COSTING!J285)</f>
        <v/>
      </c>
      <c r="C285" s="38" t="str">
        <f>IF(A285="","",COSTING!I285)</f>
        <v/>
      </c>
      <c r="D285" s="38" t="str">
        <f t="shared" si="1"/>
        <v/>
      </c>
      <c r="E285" s="42" t="str">
        <f t="shared" si="2"/>
        <v/>
      </c>
      <c r="F285" s="42" t="str">
        <f>IF(A285="","",SETUP_RATES!$K$5)</f>
        <v/>
      </c>
      <c r="G285" s="42" t="str">
        <f t="shared" si="3"/>
        <v/>
      </c>
      <c r="H285" s="33" t="str">
        <f t="shared" si="4"/>
        <v/>
      </c>
    </row>
    <row r="286" ht="15.75" customHeight="1">
      <c r="A286" s="33" t="str">
        <f>IF(COSTING!A286="","",COSTING!A286)</f>
        <v/>
      </c>
      <c r="B286" s="38" t="str">
        <f>IF(A286="","",COSTING!J286)</f>
        <v/>
      </c>
      <c r="C286" s="38" t="str">
        <f>IF(A286="","",COSTING!I286)</f>
        <v/>
      </c>
      <c r="D286" s="38" t="str">
        <f t="shared" si="1"/>
        <v/>
      </c>
      <c r="E286" s="42" t="str">
        <f t="shared" si="2"/>
        <v/>
      </c>
      <c r="F286" s="42" t="str">
        <f>IF(A286="","",SETUP_RATES!$K$5)</f>
        <v/>
      </c>
      <c r="G286" s="42" t="str">
        <f t="shared" si="3"/>
        <v/>
      </c>
      <c r="H286" s="33" t="str">
        <f t="shared" si="4"/>
        <v/>
      </c>
    </row>
    <row r="287" ht="15.75" customHeight="1">
      <c r="A287" s="33" t="str">
        <f>IF(COSTING!A287="","",COSTING!A287)</f>
        <v/>
      </c>
      <c r="B287" s="38" t="str">
        <f>IF(A287="","",COSTING!J287)</f>
        <v/>
      </c>
      <c r="C287" s="38" t="str">
        <f>IF(A287="","",COSTING!I287)</f>
        <v/>
      </c>
      <c r="D287" s="38" t="str">
        <f t="shared" si="1"/>
        <v/>
      </c>
      <c r="E287" s="42" t="str">
        <f t="shared" si="2"/>
        <v/>
      </c>
      <c r="F287" s="42" t="str">
        <f>IF(A287="","",SETUP_RATES!$K$5)</f>
        <v/>
      </c>
      <c r="G287" s="42" t="str">
        <f t="shared" si="3"/>
        <v/>
      </c>
      <c r="H287" s="33" t="str">
        <f t="shared" si="4"/>
        <v/>
      </c>
    </row>
    <row r="288" ht="15.75" customHeight="1">
      <c r="A288" s="33" t="str">
        <f>IF(COSTING!A288="","",COSTING!A288)</f>
        <v/>
      </c>
      <c r="B288" s="38" t="str">
        <f>IF(A288="","",COSTING!J288)</f>
        <v/>
      </c>
      <c r="C288" s="38" t="str">
        <f>IF(A288="","",COSTING!I288)</f>
        <v/>
      </c>
      <c r="D288" s="38" t="str">
        <f t="shared" si="1"/>
        <v/>
      </c>
      <c r="E288" s="42" t="str">
        <f t="shared" si="2"/>
        <v/>
      </c>
      <c r="F288" s="42" t="str">
        <f>IF(A288="","",SETUP_RATES!$K$5)</f>
        <v/>
      </c>
      <c r="G288" s="42" t="str">
        <f t="shared" si="3"/>
        <v/>
      </c>
      <c r="H288" s="33" t="str">
        <f t="shared" si="4"/>
        <v/>
      </c>
    </row>
    <row r="289" ht="15.75" customHeight="1">
      <c r="A289" s="33" t="str">
        <f>IF(COSTING!A289="","",COSTING!A289)</f>
        <v/>
      </c>
      <c r="B289" s="38" t="str">
        <f>IF(A289="","",COSTING!J289)</f>
        <v/>
      </c>
      <c r="C289" s="38" t="str">
        <f>IF(A289="","",COSTING!I289)</f>
        <v/>
      </c>
      <c r="D289" s="38" t="str">
        <f t="shared" si="1"/>
        <v/>
      </c>
      <c r="E289" s="42" t="str">
        <f t="shared" si="2"/>
        <v/>
      </c>
      <c r="F289" s="42" t="str">
        <f>IF(A289="","",SETUP_RATES!$K$5)</f>
        <v/>
      </c>
      <c r="G289" s="42" t="str">
        <f t="shared" si="3"/>
        <v/>
      </c>
      <c r="H289" s="33" t="str">
        <f t="shared" si="4"/>
        <v/>
      </c>
    </row>
    <row r="290" ht="15.75" customHeight="1">
      <c r="A290" s="33" t="str">
        <f>IF(COSTING!A290="","",COSTING!A290)</f>
        <v/>
      </c>
      <c r="B290" s="38" t="str">
        <f>IF(A290="","",COSTING!J290)</f>
        <v/>
      </c>
      <c r="C290" s="38" t="str">
        <f>IF(A290="","",COSTING!I290)</f>
        <v/>
      </c>
      <c r="D290" s="38" t="str">
        <f t="shared" si="1"/>
        <v/>
      </c>
      <c r="E290" s="42" t="str">
        <f t="shared" si="2"/>
        <v/>
      </c>
      <c r="F290" s="42" t="str">
        <f>IF(A290="","",SETUP_RATES!$K$5)</f>
        <v/>
      </c>
      <c r="G290" s="42" t="str">
        <f t="shared" si="3"/>
        <v/>
      </c>
      <c r="H290" s="33" t="str">
        <f t="shared" si="4"/>
        <v/>
      </c>
    </row>
    <row r="291" ht="15.75" customHeight="1">
      <c r="A291" s="33" t="str">
        <f>IF(COSTING!A291="","",COSTING!A291)</f>
        <v/>
      </c>
      <c r="B291" s="38" t="str">
        <f>IF(A291="","",COSTING!J291)</f>
        <v/>
      </c>
      <c r="C291" s="38" t="str">
        <f>IF(A291="","",COSTING!I291)</f>
        <v/>
      </c>
      <c r="D291" s="38" t="str">
        <f t="shared" si="1"/>
        <v/>
      </c>
      <c r="E291" s="42" t="str">
        <f t="shared" si="2"/>
        <v/>
      </c>
      <c r="F291" s="42" t="str">
        <f>IF(A291="","",SETUP_RATES!$K$5)</f>
        <v/>
      </c>
      <c r="G291" s="42" t="str">
        <f t="shared" si="3"/>
        <v/>
      </c>
      <c r="H291" s="33" t="str">
        <f t="shared" si="4"/>
        <v/>
      </c>
    </row>
    <row r="292" ht="15.75" customHeight="1">
      <c r="A292" s="33" t="str">
        <f>IF(COSTING!A292="","",COSTING!A292)</f>
        <v/>
      </c>
      <c r="B292" s="38" t="str">
        <f>IF(A292="","",COSTING!J292)</f>
        <v/>
      </c>
      <c r="C292" s="38" t="str">
        <f>IF(A292="","",COSTING!I292)</f>
        <v/>
      </c>
      <c r="D292" s="38" t="str">
        <f t="shared" si="1"/>
        <v/>
      </c>
      <c r="E292" s="42" t="str">
        <f t="shared" si="2"/>
        <v/>
      </c>
      <c r="F292" s="42" t="str">
        <f>IF(A292="","",SETUP_RATES!$K$5)</f>
        <v/>
      </c>
      <c r="G292" s="42" t="str">
        <f t="shared" si="3"/>
        <v/>
      </c>
      <c r="H292" s="33" t="str">
        <f t="shared" si="4"/>
        <v/>
      </c>
    </row>
    <row r="293" ht="15.75" customHeight="1">
      <c r="A293" s="33" t="str">
        <f>IF(COSTING!A293="","",COSTING!A293)</f>
        <v/>
      </c>
      <c r="B293" s="38" t="str">
        <f>IF(A293="","",COSTING!J293)</f>
        <v/>
      </c>
      <c r="C293" s="38" t="str">
        <f>IF(A293="","",COSTING!I293)</f>
        <v/>
      </c>
      <c r="D293" s="38" t="str">
        <f t="shared" si="1"/>
        <v/>
      </c>
      <c r="E293" s="42" t="str">
        <f t="shared" si="2"/>
        <v/>
      </c>
      <c r="F293" s="42" t="str">
        <f>IF(A293="","",SETUP_RATES!$K$5)</f>
        <v/>
      </c>
      <c r="G293" s="42" t="str">
        <f t="shared" si="3"/>
        <v/>
      </c>
      <c r="H293" s="33" t="str">
        <f t="shared" si="4"/>
        <v/>
      </c>
    </row>
    <row r="294" ht="15.75" customHeight="1">
      <c r="A294" s="33" t="str">
        <f>IF(COSTING!A294="","",COSTING!A294)</f>
        <v/>
      </c>
      <c r="B294" s="38" t="str">
        <f>IF(A294="","",COSTING!J294)</f>
        <v/>
      </c>
      <c r="C294" s="38" t="str">
        <f>IF(A294="","",COSTING!I294)</f>
        <v/>
      </c>
      <c r="D294" s="38" t="str">
        <f t="shared" si="1"/>
        <v/>
      </c>
      <c r="E294" s="42" t="str">
        <f t="shared" si="2"/>
        <v/>
      </c>
      <c r="F294" s="42" t="str">
        <f>IF(A294="","",SETUP_RATES!$K$5)</f>
        <v/>
      </c>
      <c r="G294" s="42" t="str">
        <f t="shared" si="3"/>
        <v/>
      </c>
      <c r="H294" s="33" t="str">
        <f t="shared" si="4"/>
        <v/>
      </c>
    </row>
    <row r="295" ht="15.75" customHeight="1">
      <c r="A295" s="33" t="str">
        <f>IF(COSTING!A295="","",COSTING!A295)</f>
        <v/>
      </c>
      <c r="B295" s="38" t="str">
        <f>IF(A295="","",COSTING!J295)</f>
        <v/>
      </c>
      <c r="C295" s="38" t="str">
        <f>IF(A295="","",COSTING!I295)</f>
        <v/>
      </c>
      <c r="D295" s="38" t="str">
        <f t="shared" si="1"/>
        <v/>
      </c>
      <c r="E295" s="42" t="str">
        <f t="shared" si="2"/>
        <v/>
      </c>
      <c r="F295" s="42" t="str">
        <f>IF(A295="","",SETUP_RATES!$K$5)</f>
        <v/>
      </c>
      <c r="G295" s="42" t="str">
        <f t="shared" si="3"/>
        <v/>
      </c>
      <c r="H295" s="33" t="str">
        <f t="shared" si="4"/>
        <v/>
      </c>
    </row>
    <row r="296" ht="15.75" customHeight="1">
      <c r="A296" s="33" t="str">
        <f>IF(COSTING!A296="","",COSTING!A296)</f>
        <v/>
      </c>
      <c r="B296" s="38" t="str">
        <f>IF(A296="","",COSTING!J296)</f>
        <v/>
      </c>
      <c r="C296" s="38" t="str">
        <f>IF(A296="","",COSTING!I296)</f>
        <v/>
      </c>
      <c r="D296" s="38" t="str">
        <f t="shared" si="1"/>
        <v/>
      </c>
      <c r="E296" s="42" t="str">
        <f t="shared" si="2"/>
        <v/>
      </c>
      <c r="F296" s="42" t="str">
        <f>IF(A296="","",SETUP_RATES!$K$5)</f>
        <v/>
      </c>
      <c r="G296" s="42" t="str">
        <f t="shared" si="3"/>
        <v/>
      </c>
      <c r="H296" s="33" t="str">
        <f t="shared" si="4"/>
        <v/>
      </c>
    </row>
    <row r="297" ht="15.75" customHeight="1">
      <c r="A297" s="33" t="str">
        <f>IF(COSTING!A297="","",COSTING!A297)</f>
        <v/>
      </c>
      <c r="B297" s="38" t="str">
        <f>IF(A297="","",COSTING!J297)</f>
        <v/>
      </c>
      <c r="C297" s="38" t="str">
        <f>IF(A297="","",COSTING!I297)</f>
        <v/>
      </c>
      <c r="D297" s="38" t="str">
        <f t="shared" si="1"/>
        <v/>
      </c>
      <c r="E297" s="42" t="str">
        <f t="shared" si="2"/>
        <v/>
      </c>
      <c r="F297" s="42" t="str">
        <f>IF(A297="","",SETUP_RATES!$K$5)</f>
        <v/>
      </c>
      <c r="G297" s="42" t="str">
        <f t="shared" si="3"/>
        <v/>
      </c>
      <c r="H297" s="33" t="str">
        <f t="shared" si="4"/>
        <v/>
      </c>
    </row>
    <row r="298" ht="15.75" customHeight="1">
      <c r="A298" s="33" t="str">
        <f>IF(COSTING!A298="","",COSTING!A298)</f>
        <v/>
      </c>
      <c r="B298" s="38" t="str">
        <f>IF(A298="","",COSTING!J298)</f>
        <v/>
      </c>
      <c r="C298" s="38" t="str">
        <f>IF(A298="","",COSTING!I298)</f>
        <v/>
      </c>
      <c r="D298" s="38" t="str">
        <f t="shared" si="1"/>
        <v/>
      </c>
      <c r="E298" s="42" t="str">
        <f t="shared" si="2"/>
        <v/>
      </c>
      <c r="F298" s="42" t="str">
        <f>IF(A298="","",SETUP_RATES!$K$5)</f>
        <v/>
      </c>
      <c r="G298" s="42" t="str">
        <f t="shared" si="3"/>
        <v/>
      </c>
      <c r="H298" s="33" t="str">
        <f t="shared" si="4"/>
        <v/>
      </c>
    </row>
    <row r="299" ht="15.75" customHeight="1">
      <c r="A299" s="33" t="str">
        <f>IF(COSTING!A299="","",COSTING!A299)</f>
        <v/>
      </c>
      <c r="B299" s="38" t="str">
        <f>IF(A299="","",COSTING!J299)</f>
        <v/>
      </c>
      <c r="C299" s="38" t="str">
        <f>IF(A299="","",COSTING!I299)</f>
        <v/>
      </c>
      <c r="D299" s="38" t="str">
        <f t="shared" si="1"/>
        <v/>
      </c>
      <c r="E299" s="42" t="str">
        <f t="shared" si="2"/>
        <v/>
      </c>
      <c r="F299" s="42" t="str">
        <f>IF(A299="","",SETUP_RATES!$K$5)</f>
        <v/>
      </c>
      <c r="G299" s="42" t="str">
        <f t="shared" si="3"/>
        <v/>
      </c>
      <c r="H299" s="33" t="str">
        <f t="shared" si="4"/>
        <v/>
      </c>
    </row>
    <row r="300" ht="15.75" customHeight="1">
      <c r="A300" s="33" t="str">
        <f>IF(COSTING!A300="","",COSTING!A300)</f>
        <v/>
      </c>
      <c r="B300" s="38" t="str">
        <f>IF(A300="","",COSTING!J300)</f>
        <v/>
      </c>
      <c r="C300" s="38" t="str">
        <f>IF(A300="","",COSTING!I300)</f>
        <v/>
      </c>
      <c r="D300" s="38" t="str">
        <f t="shared" si="1"/>
        <v/>
      </c>
      <c r="E300" s="42" t="str">
        <f t="shared" si="2"/>
        <v/>
      </c>
      <c r="F300" s="42" t="str">
        <f>IF(A300="","",SETUP_RATES!$K$5)</f>
        <v/>
      </c>
      <c r="G300" s="42" t="str">
        <f t="shared" si="3"/>
        <v/>
      </c>
      <c r="H300" s="33" t="str">
        <f t="shared" si="4"/>
        <v/>
      </c>
    </row>
    <row r="301" ht="15.75" customHeight="1">
      <c r="A301" s="33" t="str">
        <f>IF(COSTING!A301="","",COSTING!A301)</f>
        <v/>
      </c>
      <c r="B301" s="38" t="str">
        <f>IF(A301="","",COSTING!J301)</f>
        <v/>
      </c>
      <c r="C301" s="38" t="str">
        <f>IF(A301="","",COSTING!I301)</f>
        <v/>
      </c>
      <c r="D301" s="38" t="str">
        <f t="shared" si="1"/>
        <v/>
      </c>
      <c r="E301" s="42" t="str">
        <f t="shared" si="2"/>
        <v/>
      </c>
      <c r="F301" s="42" t="str">
        <f>IF(A301="","",SETUP_RATES!$K$5)</f>
        <v/>
      </c>
      <c r="G301" s="42" t="str">
        <f t="shared" si="3"/>
        <v/>
      </c>
      <c r="H301" s="33" t="str">
        <f t="shared" si="4"/>
        <v/>
      </c>
    </row>
    <row r="302" ht="15.75" customHeight="1">
      <c r="A302" s="33" t="str">
        <f>IF(COSTING!A302="","",COSTING!A302)</f>
        <v/>
      </c>
      <c r="B302" s="38" t="str">
        <f>IF(A302="","",COSTING!J302)</f>
        <v/>
      </c>
      <c r="C302" s="38" t="str">
        <f>IF(A302="","",COSTING!I302)</f>
        <v/>
      </c>
      <c r="D302" s="38" t="str">
        <f t="shared" si="1"/>
        <v/>
      </c>
      <c r="E302" s="42" t="str">
        <f t="shared" si="2"/>
        <v/>
      </c>
      <c r="F302" s="42" t="str">
        <f>IF(A302="","",SETUP_RATES!$K$5)</f>
        <v/>
      </c>
      <c r="G302" s="42" t="str">
        <f t="shared" si="3"/>
        <v/>
      </c>
      <c r="H302" s="33" t="str">
        <f t="shared" si="4"/>
        <v/>
      </c>
    </row>
    <row r="303" ht="15.75" customHeight="1">
      <c r="A303" s="33" t="str">
        <f>IF(COSTING!A303="","",COSTING!A303)</f>
        <v/>
      </c>
      <c r="B303" s="38" t="str">
        <f>IF(A303="","",COSTING!J303)</f>
        <v/>
      </c>
      <c r="C303" s="38" t="str">
        <f>IF(A303="","",COSTING!I303)</f>
        <v/>
      </c>
      <c r="D303" s="38" t="str">
        <f t="shared" si="1"/>
        <v/>
      </c>
      <c r="E303" s="42" t="str">
        <f t="shared" si="2"/>
        <v/>
      </c>
      <c r="F303" s="42" t="str">
        <f>IF(A303="","",SETUP_RATES!$K$5)</f>
        <v/>
      </c>
      <c r="G303" s="42" t="str">
        <f t="shared" si="3"/>
        <v/>
      </c>
      <c r="H303" s="33" t="str">
        <f t="shared" si="4"/>
        <v/>
      </c>
    </row>
    <row r="304" ht="15.75" customHeight="1">
      <c r="A304" s="33" t="str">
        <f>IF(COSTING!A304="","",COSTING!A304)</f>
        <v/>
      </c>
      <c r="B304" s="38" t="str">
        <f>IF(A304="","",COSTING!J304)</f>
        <v/>
      </c>
      <c r="C304" s="38" t="str">
        <f>IF(A304="","",COSTING!I304)</f>
        <v/>
      </c>
      <c r="D304" s="38" t="str">
        <f t="shared" si="1"/>
        <v/>
      </c>
      <c r="E304" s="42" t="str">
        <f t="shared" si="2"/>
        <v/>
      </c>
      <c r="F304" s="42" t="str">
        <f>IF(A304="","",SETUP_RATES!$K$5)</f>
        <v/>
      </c>
      <c r="G304" s="42" t="str">
        <f t="shared" si="3"/>
        <v/>
      </c>
      <c r="H304" s="33" t="str">
        <f t="shared" si="4"/>
        <v/>
      </c>
    </row>
    <row r="305" ht="15.75" customHeight="1">
      <c r="A305" s="33" t="str">
        <f>IF(COSTING!A305="","",COSTING!A305)</f>
        <v/>
      </c>
      <c r="B305" s="38" t="str">
        <f>IF(A305="","",COSTING!J305)</f>
        <v/>
      </c>
      <c r="C305" s="38" t="str">
        <f>IF(A305="","",COSTING!I305)</f>
        <v/>
      </c>
      <c r="D305" s="38" t="str">
        <f t="shared" si="1"/>
        <v/>
      </c>
      <c r="E305" s="42" t="str">
        <f t="shared" si="2"/>
        <v/>
      </c>
      <c r="F305" s="42" t="str">
        <f>IF(A305="","",SETUP_RATES!$K$5)</f>
        <v/>
      </c>
      <c r="G305" s="42" t="str">
        <f t="shared" si="3"/>
        <v/>
      </c>
      <c r="H305" s="33" t="str">
        <f t="shared" si="4"/>
        <v/>
      </c>
    </row>
    <row r="306" ht="15.75" customHeight="1">
      <c r="A306" s="33" t="str">
        <f>IF(COSTING!A306="","",COSTING!A306)</f>
        <v/>
      </c>
      <c r="B306" s="38" t="str">
        <f>IF(A306="","",COSTING!J306)</f>
        <v/>
      </c>
      <c r="C306" s="38" t="str">
        <f>IF(A306="","",COSTING!I306)</f>
        <v/>
      </c>
      <c r="D306" s="38" t="str">
        <f t="shared" si="1"/>
        <v/>
      </c>
      <c r="E306" s="42" t="str">
        <f t="shared" si="2"/>
        <v/>
      </c>
      <c r="F306" s="42" t="str">
        <f>IF(A306="","",SETUP_RATES!$K$5)</f>
        <v/>
      </c>
      <c r="G306" s="42" t="str">
        <f t="shared" si="3"/>
        <v/>
      </c>
      <c r="H306" s="33" t="str">
        <f t="shared" si="4"/>
        <v/>
      </c>
    </row>
    <row r="307" ht="15.75" customHeight="1">
      <c r="A307" s="33" t="str">
        <f>IF(COSTING!A307="","",COSTING!A307)</f>
        <v/>
      </c>
      <c r="B307" s="38" t="str">
        <f>IF(A307="","",COSTING!J307)</f>
        <v/>
      </c>
      <c r="C307" s="38" t="str">
        <f>IF(A307="","",COSTING!I307)</f>
        <v/>
      </c>
      <c r="D307" s="38" t="str">
        <f t="shared" si="1"/>
        <v/>
      </c>
      <c r="E307" s="42" t="str">
        <f t="shared" si="2"/>
        <v/>
      </c>
      <c r="F307" s="42" t="str">
        <f>IF(A307="","",SETUP_RATES!$K$5)</f>
        <v/>
      </c>
      <c r="G307" s="42" t="str">
        <f t="shared" si="3"/>
        <v/>
      </c>
      <c r="H307" s="33" t="str">
        <f t="shared" si="4"/>
        <v/>
      </c>
    </row>
    <row r="308" ht="15.75" customHeight="1">
      <c r="A308" s="33" t="str">
        <f>IF(COSTING!A308="","",COSTING!A308)</f>
        <v/>
      </c>
      <c r="B308" s="38" t="str">
        <f>IF(A308="","",COSTING!J308)</f>
        <v/>
      </c>
      <c r="C308" s="38" t="str">
        <f>IF(A308="","",COSTING!I308)</f>
        <v/>
      </c>
      <c r="D308" s="38" t="str">
        <f t="shared" si="1"/>
        <v/>
      </c>
      <c r="E308" s="42" t="str">
        <f t="shared" si="2"/>
        <v/>
      </c>
      <c r="F308" s="42" t="str">
        <f>IF(A308="","",SETUP_RATES!$K$5)</f>
        <v/>
      </c>
      <c r="G308" s="42" t="str">
        <f t="shared" si="3"/>
        <v/>
      </c>
      <c r="H308" s="33" t="str">
        <f t="shared" si="4"/>
        <v/>
      </c>
    </row>
    <row r="309" ht="15.75" customHeight="1">
      <c r="A309" s="33" t="str">
        <f>IF(COSTING!A309="","",COSTING!A309)</f>
        <v/>
      </c>
      <c r="B309" s="38" t="str">
        <f>IF(A309="","",COSTING!J309)</f>
        <v/>
      </c>
      <c r="C309" s="38" t="str">
        <f>IF(A309="","",COSTING!I309)</f>
        <v/>
      </c>
      <c r="D309" s="38" t="str">
        <f t="shared" si="1"/>
        <v/>
      </c>
      <c r="E309" s="42" t="str">
        <f t="shared" si="2"/>
        <v/>
      </c>
      <c r="F309" s="42" t="str">
        <f>IF(A309="","",SETUP_RATES!$K$5)</f>
        <v/>
      </c>
      <c r="G309" s="42" t="str">
        <f t="shared" si="3"/>
        <v/>
      </c>
      <c r="H309" s="33" t="str">
        <f t="shared" si="4"/>
        <v/>
      </c>
    </row>
    <row r="310" ht="15.75" customHeight="1">
      <c r="A310" s="33" t="str">
        <f>IF(COSTING!A310="","",COSTING!A310)</f>
        <v/>
      </c>
      <c r="B310" s="38" t="str">
        <f>IF(A310="","",COSTING!J310)</f>
        <v/>
      </c>
      <c r="C310" s="38" t="str">
        <f>IF(A310="","",COSTING!I310)</f>
        <v/>
      </c>
      <c r="D310" s="38" t="str">
        <f t="shared" si="1"/>
        <v/>
      </c>
      <c r="E310" s="42" t="str">
        <f t="shared" si="2"/>
        <v/>
      </c>
      <c r="F310" s="42" t="str">
        <f>IF(A310="","",SETUP_RATES!$K$5)</f>
        <v/>
      </c>
      <c r="G310" s="42" t="str">
        <f t="shared" si="3"/>
        <v/>
      </c>
      <c r="H310" s="33" t="str">
        <f t="shared" si="4"/>
        <v/>
      </c>
    </row>
    <row r="311" ht="15.75" customHeight="1">
      <c r="A311" s="33" t="str">
        <f>IF(COSTING!A311="","",COSTING!A311)</f>
        <v/>
      </c>
      <c r="B311" s="38" t="str">
        <f>IF(A311="","",COSTING!J311)</f>
        <v/>
      </c>
      <c r="C311" s="38" t="str">
        <f>IF(A311="","",COSTING!I311)</f>
        <v/>
      </c>
      <c r="D311" s="38" t="str">
        <f t="shared" si="1"/>
        <v/>
      </c>
      <c r="E311" s="42" t="str">
        <f t="shared" si="2"/>
        <v/>
      </c>
      <c r="F311" s="42" t="str">
        <f>IF(A311="","",SETUP_RATES!$K$5)</f>
        <v/>
      </c>
      <c r="G311" s="42" t="str">
        <f t="shared" si="3"/>
        <v/>
      </c>
      <c r="H311" s="33" t="str">
        <f t="shared" si="4"/>
        <v/>
      </c>
    </row>
    <row r="312" ht="15.75" customHeight="1">
      <c r="A312" s="33" t="str">
        <f>IF(COSTING!A312="","",COSTING!A312)</f>
        <v/>
      </c>
      <c r="B312" s="38" t="str">
        <f>IF(A312="","",COSTING!J312)</f>
        <v/>
      </c>
      <c r="C312" s="38" t="str">
        <f>IF(A312="","",COSTING!I312)</f>
        <v/>
      </c>
      <c r="D312" s="38" t="str">
        <f t="shared" si="1"/>
        <v/>
      </c>
      <c r="E312" s="42" t="str">
        <f t="shared" si="2"/>
        <v/>
      </c>
      <c r="F312" s="42" t="str">
        <f>IF(A312="","",SETUP_RATES!$K$5)</f>
        <v/>
      </c>
      <c r="G312" s="42" t="str">
        <f t="shared" si="3"/>
        <v/>
      </c>
      <c r="H312" s="33" t="str">
        <f t="shared" si="4"/>
        <v/>
      </c>
    </row>
    <row r="313" ht="15.75" customHeight="1">
      <c r="A313" s="33" t="str">
        <f>IF(COSTING!A313="","",COSTING!A313)</f>
        <v/>
      </c>
      <c r="B313" s="38" t="str">
        <f>IF(A313="","",COSTING!J313)</f>
        <v/>
      </c>
      <c r="C313" s="38" t="str">
        <f>IF(A313="","",COSTING!I313)</f>
        <v/>
      </c>
      <c r="D313" s="38" t="str">
        <f t="shared" si="1"/>
        <v/>
      </c>
      <c r="E313" s="42" t="str">
        <f t="shared" si="2"/>
        <v/>
      </c>
      <c r="F313" s="42" t="str">
        <f>IF(A313="","",SETUP_RATES!$K$5)</f>
        <v/>
      </c>
      <c r="G313" s="42" t="str">
        <f t="shared" si="3"/>
        <v/>
      </c>
      <c r="H313" s="33" t="str">
        <f t="shared" si="4"/>
        <v/>
      </c>
    </row>
    <row r="314" ht="15.75" customHeight="1">
      <c r="A314" s="33" t="str">
        <f>IF(COSTING!A314="","",COSTING!A314)</f>
        <v/>
      </c>
      <c r="B314" s="38" t="str">
        <f>IF(A314="","",COSTING!J314)</f>
        <v/>
      </c>
      <c r="C314" s="38" t="str">
        <f>IF(A314="","",COSTING!I314)</f>
        <v/>
      </c>
      <c r="D314" s="38" t="str">
        <f t="shared" si="1"/>
        <v/>
      </c>
      <c r="E314" s="42" t="str">
        <f t="shared" si="2"/>
        <v/>
      </c>
      <c r="F314" s="42" t="str">
        <f>IF(A314="","",SETUP_RATES!$K$5)</f>
        <v/>
      </c>
      <c r="G314" s="42" t="str">
        <f t="shared" si="3"/>
        <v/>
      </c>
      <c r="H314" s="33" t="str">
        <f t="shared" si="4"/>
        <v/>
      </c>
    </row>
    <row r="315" ht="15.75" customHeight="1">
      <c r="A315" s="33" t="str">
        <f>IF(COSTING!A315="","",COSTING!A315)</f>
        <v/>
      </c>
      <c r="B315" s="38" t="str">
        <f>IF(A315="","",COSTING!J315)</f>
        <v/>
      </c>
      <c r="C315" s="38" t="str">
        <f>IF(A315="","",COSTING!I315)</f>
        <v/>
      </c>
      <c r="D315" s="38" t="str">
        <f t="shared" si="1"/>
        <v/>
      </c>
      <c r="E315" s="42" t="str">
        <f t="shared" si="2"/>
        <v/>
      </c>
      <c r="F315" s="42" t="str">
        <f>IF(A315="","",SETUP_RATES!$K$5)</f>
        <v/>
      </c>
      <c r="G315" s="42" t="str">
        <f t="shared" si="3"/>
        <v/>
      </c>
      <c r="H315" s="33" t="str">
        <f t="shared" si="4"/>
        <v/>
      </c>
    </row>
    <row r="316" ht="15.75" customHeight="1">
      <c r="A316" s="33" t="str">
        <f>IF(COSTING!A316="","",COSTING!A316)</f>
        <v/>
      </c>
      <c r="B316" s="38" t="str">
        <f>IF(A316="","",COSTING!J316)</f>
        <v/>
      </c>
      <c r="C316" s="38" t="str">
        <f>IF(A316="","",COSTING!I316)</f>
        <v/>
      </c>
      <c r="D316" s="38" t="str">
        <f t="shared" si="1"/>
        <v/>
      </c>
      <c r="E316" s="42" t="str">
        <f t="shared" si="2"/>
        <v/>
      </c>
      <c r="F316" s="42" t="str">
        <f>IF(A316="","",SETUP_RATES!$K$5)</f>
        <v/>
      </c>
      <c r="G316" s="42" t="str">
        <f t="shared" si="3"/>
        <v/>
      </c>
      <c r="H316" s="33" t="str">
        <f t="shared" si="4"/>
        <v/>
      </c>
    </row>
    <row r="317" ht="15.75" customHeight="1">
      <c r="A317" s="33" t="str">
        <f>IF(COSTING!A317="","",COSTING!A317)</f>
        <v/>
      </c>
      <c r="B317" s="38" t="str">
        <f>IF(A317="","",COSTING!J317)</f>
        <v/>
      </c>
      <c r="C317" s="38" t="str">
        <f>IF(A317="","",COSTING!I317)</f>
        <v/>
      </c>
      <c r="D317" s="38" t="str">
        <f t="shared" si="1"/>
        <v/>
      </c>
      <c r="E317" s="42" t="str">
        <f t="shared" si="2"/>
        <v/>
      </c>
      <c r="F317" s="42" t="str">
        <f>IF(A317="","",SETUP_RATES!$K$5)</f>
        <v/>
      </c>
      <c r="G317" s="42" t="str">
        <f t="shared" si="3"/>
        <v/>
      </c>
      <c r="H317" s="33" t="str">
        <f t="shared" si="4"/>
        <v/>
      </c>
    </row>
    <row r="318" ht="15.75" customHeight="1">
      <c r="A318" s="33" t="str">
        <f>IF(COSTING!A318="","",COSTING!A318)</f>
        <v/>
      </c>
      <c r="B318" s="38" t="str">
        <f>IF(A318="","",COSTING!J318)</f>
        <v/>
      </c>
      <c r="C318" s="38" t="str">
        <f>IF(A318="","",COSTING!I318)</f>
        <v/>
      </c>
      <c r="D318" s="38" t="str">
        <f t="shared" si="1"/>
        <v/>
      </c>
      <c r="E318" s="42" t="str">
        <f t="shared" si="2"/>
        <v/>
      </c>
      <c r="F318" s="42" t="str">
        <f>IF(A318="","",SETUP_RATES!$K$5)</f>
        <v/>
      </c>
      <c r="G318" s="42" t="str">
        <f t="shared" si="3"/>
        <v/>
      </c>
      <c r="H318" s="33" t="str">
        <f t="shared" si="4"/>
        <v/>
      </c>
    </row>
    <row r="319" ht="15.75" customHeight="1">
      <c r="A319" s="33" t="str">
        <f>IF(COSTING!A319="","",COSTING!A319)</f>
        <v/>
      </c>
      <c r="B319" s="38" t="str">
        <f>IF(A319="","",COSTING!J319)</f>
        <v/>
      </c>
      <c r="C319" s="38" t="str">
        <f>IF(A319="","",COSTING!I319)</f>
        <v/>
      </c>
      <c r="D319" s="38" t="str">
        <f t="shared" si="1"/>
        <v/>
      </c>
      <c r="E319" s="42" t="str">
        <f t="shared" si="2"/>
        <v/>
      </c>
      <c r="F319" s="42" t="str">
        <f>IF(A319="","",SETUP_RATES!$K$5)</f>
        <v/>
      </c>
      <c r="G319" s="42" t="str">
        <f t="shared" si="3"/>
        <v/>
      </c>
      <c r="H319" s="33" t="str">
        <f t="shared" si="4"/>
        <v/>
      </c>
    </row>
    <row r="320" ht="15.75" customHeight="1">
      <c r="A320" s="33" t="str">
        <f>IF(COSTING!A320="","",COSTING!A320)</f>
        <v/>
      </c>
      <c r="B320" s="38" t="str">
        <f>IF(A320="","",COSTING!J320)</f>
        <v/>
      </c>
      <c r="C320" s="38" t="str">
        <f>IF(A320="","",COSTING!I320)</f>
        <v/>
      </c>
      <c r="D320" s="38" t="str">
        <f t="shared" si="1"/>
        <v/>
      </c>
      <c r="E320" s="42" t="str">
        <f t="shared" si="2"/>
        <v/>
      </c>
      <c r="F320" s="42" t="str">
        <f>IF(A320="","",SETUP_RATES!$K$5)</f>
        <v/>
      </c>
      <c r="G320" s="42" t="str">
        <f t="shared" si="3"/>
        <v/>
      </c>
      <c r="H320" s="33" t="str">
        <f t="shared" si="4"/>
        <v/>
      </c>
    </row>
    <row r="321" ht="15.75" customHeight="1">
      <c r="A321" s="33" t="str">
        <f>IF(COSTING!A321="","",COSTING!A321)</f>
        <v/>
      </c>
      <c r="B321" s="38" t="str">
        <f>IF(A321="","",COSTING!J321)</f>
        <v/>
      </c>
      <c r="C321" s="38" t="str">
        <f>IF(A321="","",COSTING!I321)</f>
        <v/>
      </c>
      <c r="D321" s="38" t="str">
        <f t="shared" si="1"/>
        <v/>
      </c>
      <c r="E321" s="42" t="str">
        <f t="shared" si="2"/>
        <v/>
      </c>
      <c r="F321" s="42" t="str">
        <f>IF(A321="","",SETUP_RATES!$K$5)</f>
        <v/>
      </c>
      <c r="G321" s="42" t="str">
        <f t="shared" si="3"/>
        <v/>
      </c>
      <c r="H321" s="33" t="str">
        <f t="shared" si="4"/>
        <v/>
      </c>
    </row>
    <row r="322" ht="15.75" customHeight="1">
      <c r="A322" s="33" t="str">
        <f>IF(COSTING!A322="","",COSTING!A322)</f>
        <v/>
      </c>
      <c r="B322" s="38" t="str">
        <f>IF(A322="","",COSTING!J322)</f>
        <v/>
      </c>
      <c r="C322" s="38" t="str">
        <f>IF(A322="","",COSTING!I322)</f>
        <v/>
      </c>
      <c r="D322" s="38" t="str">
        <f t="shared" si="1"/>
        <v/>
      </c>
      <c r="E322" s="42" t="str">
        <f t="shared" si="2"/>
        <v/>
      </c>
      <c r="F322" s="42" t="str">
        <f>IF(A322="","",SETUP_RATES!$K$5)</f>
        <v/>
      </c>
      <c r="G322" s="42" t="str">
        <f t="shared" si="3"/>
        <v/>
      </c>
      <c r="H322" s="33" t="str">
        <f t="shared" si="4"/>
        <v/>
      </c>
    </row>
    <row r="323" ht="15.75" customHeight="1">
      <c r="A323" s="33" t="str">
        <f>IF(COSTING!A323="","",COSTING!A323)</f>
        <v/>
      </c>
      <c r="B323" s="38" t="str">
        <f>IF(A323="","",COSTING!J323)</f>
        <v/>
      </c>
      <c r="C323" s="38" t="str">
        <f>IF(A323="","",COSTING!I323)</f>
        <v/>
      </c>
      <c r="D323" s="38" t="str">
        <f t="shared" si="1"/>
        <v/>
      </c>
      <c r="E323" s="42" t="str">
        <f t="shared" si="2"/>
        <v/>
      </c>
      <c r="F323" s="42" t="str">
        <f>IF(A323="","",SETUP_RATES!$K$5)</f>
        <v/>
      </c>
      <c r="G323" s="42" t="str">
        <f t="shared" si="3"/>
        <v/>
      </c>
      <c r="H323" s="33" t="str">
        <f t="shared" si="4"/>
        <v/>
      </c>
    </row>
    <row r="324" ht="15.75" customHeight="1">
      <c r="A324" s="33" t="str">
        <f>IF(COSTING!A324="","",COSTING!A324)</f>
        <v/>
      </c>
      <c r="B324" s="38" t="str">
        <f>IF(A324="","",COSTING!J324)</f>
        <v/>
      </c>
      <c r="C324" s="38" t="str">
        <f>IF(A324="","",COSTING!I324)</f>
        <v/>
      </c>
      <c r="D324" s="38" t="str">
        <f t="shared" si="1"/>
        <v/>
      </c>
      <c r="E324" s="42" t="str">
        <f t="shared" si="2"/>
        <v/>
      </c>
      <c r="F324" s="42" t="str">
        <f>IF(A324="","",SETUP_RATES!$K$5)</f>
        <v/>
      </c>
      <c r="G324" s="42" t="str">
        <f t="shared" si="3"/>
        <v/>
      </c>
      <c r="H324" s="33" t="str">
        <f t="shared" si="4"/>
        <v/>
      </c>
    </row>
    <row r="325" ht="15.75" customHeight="1">
      <c r="A325" s="33" t="str">
        <f>IF(COSTING!A325="","",COSTING!A325)</f>
        <v/>
      </c>
      <c r="B325" s="38" t="str">
        <f>IF(A325="","",COSTING!J325)</f>
        <v/>
      </c>
      <c r="C325" s="38" t="str">
        <f>IF(A325="","",COSTING!I325)</f>
        <v/>
      </c>
      <c r="D325" s="38" t="str">
        <f t="shared" si="1"/>
        <v/>
      </c>
      <c r="E325" s="42" t="str">
        <f t="shared" si="2"/>
        <v/>
      </c>
      <c r="F325" s="42" t="str">
        <f>IF(A325="","",SETUP_RATES!$K$5)</f>
        <v/>
      </c>
      <c r="G325" s="42" t="str">
        <f t="shared" si="3"/>
        <v/>
      </c>
      <c r="H325" s="33" t="str">
        <f t="shared" si="4"/>
        <v/>
      </c>
    </row>
    <row r="326" ht="15.75" customHeight="1">
      <c r="A326" s="33" t="str">
        <f>IF(COSTING!A326="","",COSTING!A326)</f>
        <v/>
      </c>
      <c r="B326" s="38" t="str">
        <f>IF(A326="","",COSTING!J326)</f>
        <v/>
      </c>
      <c r="C326" s="38" t="str">
        <f>IF(A326="","",COSTING!I326)</f>
        <v/>
      </c>
      <c r="D326" s="38" t="str">
        <f t="shared" si="1"/>
        <v/>
      </c>
      <c r="E326" s="42" t="str">
        <f t="shared" si="2"/>
        <v/>
      </c>
      <c r="F326" s="42" t="str">
        <f>IF(A326="","",SETUP_RATES!$K$5)</f>
        <v/>
      </c>
      <c r="G326" s="42" t="str">
        <f t="shared" si="3"/>
        <v/>
      </c>
      <c r="H326" s="33" t="str">
        <f t="shared" si="4"/>
        <v/>
      </c>
    </row>
    <row r="327" ht="15.75" customHeight="1">
      <c r="A327" s="33" t="str">
        <f>IF(COSTING!A327="","",COSTING!A327)</f>
        <v/>
      </c>
      <c r="B327" s="38" t="str">
        <f>IF(A327="","",COSTING!J327)</f>
        <v/>
      </c>
      <c r="C327" s="38" t="str">
        <f>IF(A327="","",COSTING!I327)</f>
        <v/>
      </c>
      <c r="D327" s="38" t="str">
        <f t="shared" si="1"/>
        <v/>
      </c>
      <c r="E327" s="42" t="str">
        <f t="shared" si="2"/>
        <v/>
      </c>
      <c r="F327" s="42" t="str">
        <f>IF(A327="","",SETUP_RATES!$K$5)</f>
        <v/>
      </c>
      <c r="G327" s="42" t="str">
        <f t="shared" si="3"/>
        <v/>
      </c>
      <c r="H327" s="33" t="str">
        <f t="shared" si="4"/>
        <v/>
      </c>
    </row>
    <row r="328" ht="15.75" customHeight="1">
      <c r="A328" s="33" t="str">
        <f>IF(COSTING!A328="","",COSTING!A328)</f>
        <v/>
      </c>
      <c r="B328" s="38" t="str">
        <f>IF(A328="","",COSTING!J328)</f>
        <v/>
      </c>
      <c r="C328" s="38" t="str">
        <f>IF(A328="","",COSTING!I328)</f>
        <v/>
      </c>
      <c r="D328" s="38" t="str">
        <f t="shared" si="1"/>
        <v/>
      </c>
      <c r="E328" s="42" t="str">
        <f t="shared" si="2"/>
        <v/>
      </c>
      <c r="F328" s="42" t="str">
        <f>IF(A328="","",SETUP_RATES!$K$5)</f>
        <v/>
      </c>
      <c r="G328" s="42" t="str">
        <f t="shared" si="3"/>
        <v/>
      </c>
      <c r="H328" s="33" t="str">
        <f t="shared" si="4"/>
        <v/>
      </c>
    </row>
    <row r="329" ht="15.75" customHeight="1">
      <c r="A329" s="33" t="str">
        <f>IF(COSTING!A329="","",COSTING!A329)</f>
        <v/>
      </c>
      <c r="B329" s="38" t="str">
        <f>IF(A329="","",COSTING!J329)</f>
        <v/>
      </c>
      <c r="C329" s="38" t="str">
        <f>IF(A329="","",COSTING!I329)</f>
        <v/>
      </c>
      <c r="D329" s="38" t="str">
        <f t="shared" si="1"/>
        <v/>
      </c>
      <c r="E329" s="42" t="str">
        <f t="shared" si="2"/>
        <v/>
      </c>
      <c r="F329" s="42" t="str">
        <f>IF(A329="","",SETUP_RATES!$K$5)</f>
        <v/>
      </c>
      <c r="G329" s="42" t="str">
        <f t="shared" si="3"/>
        <v/>
      </c>
      <c r="H329" s="33" t="str">
        <f t="shared" si="4"/>
        <v/>
      </c>
    </row>
    <row r="330" ht="15.75" customHeight="1">
      <c r="A330" s="33" t="str">
        <f>IF(COSTING!A330="","",COSTING!A330)</f>
        <v/>
      </c>
      <c r="B330" s="38" t="str">
        <f>IF(A330="","",COSTING!J330)</f>
        <v/>
      </c>
      <c r="C330" s="38" t="str">
        <f>IF(A330="","",COSTING!I330)</f>
        <v/>
      </c>
      <c r="D330" s="38" t="str">
        <f t="shared" si="1"/>
        <v/>
      </c>
      <c r="E330" s="42" t="str">
        <f t="shared" si="2"/>
        <v/>
      </c>
      <c r="F330" s="42" t="str">
        <f>IF(A330="","",SETUP_RATES!$K$5)</f>
        <v/>
      </c>
      <c r="G330" s="42" t="str">
        <f t="shared" si="3"/>
        <v/>
      </c>
      <c r="H330" s="33" t="str">
        <f t="shared" si="4"/>
        <v/>
      </c>
    </row>
    <row r="331" ht="15.75" customHeight="1">
      <c r="A331" s="33" t="str">
        <f>IF(COSTING!A331="","",COSTING!A331)</f>
        <v/>
      </c>
      <c r="B331" s="38" t="str">
        <f>IF(A331="","",COSTING!J331)</f>
        <v/>
      </c>
      <c r="C331" s="38" t="str">
        <f>IF(A331="","",COSTING!I331)</f>
        <v/>
      </c>
      <c r="D331" s="38" t="str">
        <f t="shared" si="1"/>
        <v/>
      </c>
      <c r="E331" s="42" t="str">
        <f t="shared" si="2"/>
        <v/>
      </c>
      <c r="F331" s="42" t="str">
        <f>IF(A331="","",SETUP_RATES!$K$5)</f>
        <v/>
      </c>
      <c r="G331" s="42" t="str">
        <f t="shared" si="3"/>
        <v/>
      </c>
      <c r="H331" s="33" t="str">
        <f t="shared" si="4"/>
        <v/>
      </c>
    </row>
    <row r="332" ht="15.75" customHeight="1">
      <c r="A332" s="33" t="str">
        <f>IF(COSTING!A332="","",COSTING!A332)</f>
        <v/>
      </c>
      <c r="B332" s="38" t="str">
        <f>IF(A332="","",COSTING!J332)</f>
        <v/>
      </c>
      <c r="C332" s="38" t="str">
        <f>IF(A332="","",COSTING!I332)</f>
        <v/>
      </c>
      <c r="D332" s="38" t="str">
        <f t="shared" si="1"/>
        <v/>
      </c>
      <c r="E332" s="42" t="str">
        <f t="shared" si="2"/>
        <v/>
      </c>
      <c r="F332" s="42" t="str">
        <f>IF(A332="","",SETUP_RATES!$K$5)</f>
        <v/>
      </c>
      <c r="G332" s="42" t="str">
        <f t="shared" si="3"/>
        <v/>
      </c>
      <c r="H332" s="33" t="str">
        <f t="shared" si="4"/>
        <v/>
      </c>
    </row>
    <row r="333" ht="15.75" customHeight="1">
      <c r="A333" s="33" t="str">
        <f>IF(COSTING!A333="","",COSTING!A333)</f>
        <v/>
      </c>
      <c r="B333" s="38" t="str">
        <f>IF(A333="","",COSTING!J333)</f>
        <v/>
      </c>
      <c r="C333" s="38" t="str">
        <f>IF(A333="","",COSTING!I333)</f>
        <v/>
      </c>
      <c r="D333" s="38" t="str">
        <f t="shared" si="1"/>
        <v/>
      </c>
      <c r="E333" s="42" t="str">
        <f t="shared" si="2"/>
        <v/>
      </c>
      <c r="F333" s="42" t="str">
        <f>IF(A333="","",SETUP_RATES!$K$5)</f>
        <v/>
      </c>
      <c r="G333" s="42" t="str">
        <f t="shared" si="3"/>
        <v/>
      </c>
      <c r="H333" s="33" t="str">
        <f t="shared" si="4"/>
        <v/>
      </c>
    </row>
    <row r="334" ht="15.75" customHeight="1">
      <c r="A334" s="33" t="str">
        <f>IF(COSTING!A334="","",COSTING!A334)</f>
        <v/>
      </c>
      <c r="B334" s="38" t="str">
        <f>IF(A334="","",COSTING!J334)</f>
        <v/>
      </c>
      <c r="C334" s="38" t="str">
        <f>IF(A334="","",COSTING!I334)</f>
        <v/>
      </c>
      <c r="D334" s="38" t="str">
        <f t="shared" si="1"/>
        <v/>
      </c>
      <c r="E334" s="42" t="str">
        <f t="shared" si="2"/>
        <v/>
      </c>
      <c r="F334" s="42" t="str">
        <f>IF(A334="","",SETUP_RATES!$K$5)</f>
        <v/>
      </c>
      <c r="G334" s="42" t="str">
        <f t="shared" si="3"/>
        <v/>
      </c>
      <c r="H334" s="33" t="str">
        <f t="shared" si="4"/>
        <v/>
      </c>
    </row>
    <row r="335" ht="15.75" customHeight="1">
      <c r="A335" s="33" t="str">
        <f>IF(COSTING!A335="","",COSTING!A335)</f>
        <v/>
      </c>
      <c r="B335" s="38" t="str">
        <f>IF(A335="","",COSTING!J335)</f>
        <v/>
      </c>
      <c r="C335" s="38" t="str">
        <f>IF(A335="","",COSTING!I335)</f>
        <v/>
      </c>
      <c r="D335" s="38" t="str">
        <f t="shared" si="1"/>
        <v/>
      </c>
      <c r="E335" s="42" t="str">
        <f t="shared" si="2"/>
        <v/>
      </c>
      <c r="F335" s="42" t="str">
        <f>IF(A335="","",SETUP_RATES!$K$5)</f>
        <v/>
      </c>
      <c r="G335" s="42" t="str">
        <f t="shared" si="3"/>
        <v/>
      </c>
      <c r="H335" s="33" t="str">
        <f t="shared" si="4"/>
        <v/>
      </c>
    </row>
    <row r="336" ht="15.75" customHeight="1">
      <c r="A336" s="33" t="str">
        <f>IF(COSTING!A336="","",COSTING!A336)</f>
        <v/>
      </c>
      <c r="B336" s="38" t="str">
        <f>IF(A336="","",COSTING!J336)</f>
        <v/>
      </c>
      <c r="C336" s="38" t="str">
        <f>IF(A336="","",COSTING!I336)</f>
        <v/>
      </c>
      <c r="D336" s="38" t="str">
        <f t="shared" si="1"/>
        <v/>
      </c>
      <c r="E336" s="42" t="str">
        <f t="shared" si="2"/>
        <v/>
      </c>
      <c r="F336" s="42" t="str">
        <f>IF(A336="","",SETUP_RATES!$K$5)</f>
        <v/>
      </c>
      <c r="G336" s="42" t="str">
        <f t="shared" si="3"/>
        <v/>
      </c>
      <c r="H336" s="33" t="str">
        <f t="shared" si="4"/>
        <v/>
      </c>
    </row>
    <row r="337" ht="15.75" customHeight="1">
      <c r="A337" s="33" t="str">
        <f>IF(COSTING!A337="","",COSTING!A337)</f>
        <v/>
      </c>
      <c r="B337" s="38" t="str">
        <f>IF(A337="","",COSTING!J337)</f>
        <v/>
      </c>
      <c r="C337" s="38" t="str">
        <f>IF(A337="","",COSTING!I337)</f>
        <v/>
      </c>
      <c r="D337" s="38" t="str">
        <f t="shared" si="1"/>
        <v/>
      </c>
      <c r="E337" s="42" t="str">
        <f t="shared" si="2"/>
        <v/>
      </c>
      <c r="F337" s="42" t="str">
        <f>IF(A337="","",SETUP_RATES!$K$5)</f>
        <v/>
      </c>
      <c r="G337" s="42" t="str">
        <f t="shared" si="3"/>
        <v/>
      </c>
      <c r="H337" s="33" t="str">
        <f t="shared" si="4"/>
        <v/>
      </c>
    </row>
    <row r="338" ht="15.75" customHeight="1">
      <c r="A338" s="33" t="str">
        <f>IF(COSTING!A338="","",COSTING!A338)</f>
        <v/>
      </c>
      <c r="B338" s="38" t="str">
        <f>IF(A338="","",COSTING!J338)</f>
        <v/>
      </c>
      <c r="C338" s="38" t="str">
        <f>IF(A338="","",COSTING!I338)</f>
        <v/>
      </c>
      <c r="D338" s="38" t="str">
        <f t="shared" si="1"/>
        <v/>
      </c>
      <c r="E338" s="42" t="str">
        <f t="shared" si="2"/>
        <v/>
      </c>
      <c r="F338" s="42" t="str">
        <f>IF(A338="","",SETUP_RATES!$K$5)</f>
        <v/>
      </c>
      <c r="G338" s="42" t="str">
        <f t="shared" si="3"/>
        <v/>
      </c>
      <c r="H338" s="33" t="str">
        <f t="shared" si="4"/>
        <v/>
      </c>
    </row>
    <row r="339" ht="15.75" customHeight="1">
      <c r="A339" s="33" t="str">
        <f>IF(COSTING!A339="","",COSTING!A339)</f>
        <v/>
      </c>
      <c r="B339" s="38" t="str">
        <f>IF(A339="","",COSTING!J339)</f>
        <v/>
      </c>
      <c r="C339" s="38" t="str">
        <f>IF(A339="","",COSTING!I339)</f>
        <v/>
      </c>
      <c r="D339" s="38" t="str">
        <f t="shared" si="1"/>
        <v/>
      </c>
      <c r="E339" s="42" t="str">
        <f t="shared" si="2"/>
        <v/>
      </c>
      <c r="F339" s="42" t="str">
        <f>IF(A339="","",SETUP_RATES!$K$5)</f>
        <v/>
      </c>
      <c r="G339" s="42" t="str">
        <f t="shared" si="3"/>
        <v/>
      </c>
      <c r="H339" s="33" t="str">
        <f t="shared" si="4"/>
        <v/>
      </c>
    </row>
    <row r="340" ht="15.75" customHeight="1">
      <c r="A340" s="33" t="str">
        <f>IF(COSTING!A340="","",COSTING!A340)</f>
        <v/>
      </c>
      <c r="B340" s="38" t="str">
        <f>IF(A340="","",COSTING!J340)</f>
        <v/>
      </c>
      <c r="C340" s="38" t="str">
        <f>IF(A340="","",COSTING!I340)</f>
        <v/>
      </c>
      <c r="D340" s="38" t="str">
        <f t="shared" si="1"/>
        <v/>
      </c>
      <c r="E340" s="42" t="str">
        <f t="shared" si="2"/>
        <v/>
      </c>
      <c r="F340" s="42" t="str">
        <f>IF(A340="","",SETUP_RATES!$K$5)</f>
        <v/>
      </c>
      <c r="G340" s="42" t="str">
        <f t="shared" si="3"/>
        <v/>
      </c>
      <c r="H340" s="33" t="str">
        <f t="shared" si="4"/>
        <v/>
      </c>
    </row>
    <row r="341" ht="15.75" customHeight="1">
      <c r="A341" s="33" t="str">
        <f>IF(COSTING!A341="","",COSTING!A341)</f>
        <v/>
      </c>
      <c r="B341" s="38" t="str">
        <f>IF(A341="","",COSTING!J341)</f>
        <v/>
      </c>
      <c r="C341" s="38" t="str">
        <f>IF(A341="","",COSTING!I341)</f>
        <v/>
      </c>
      <c r="D341" s="38" t="str">
        <f t="shared" si="1"/>
        <v/>
      </c>
      <c r="E341" s="42" t="str">
        <f t="shared" si="2"/>
        <v/>
      </c>
      <c r="F341" s="42" t="str">
        <f>IF(A341="","",SETUP_RATES!$K$5)</f>
        <v/>
      </c>
      <c r="G341" s="42" t="str">
        <f t="shared" si="3"/>
        <v/>
      </c>
      <c r="H341" s="33" t="str">
        <f t="shared" si="4"/>
        <v/>
      </c>
    </row>
    <row r="342" ht="15.75" customHeight="1">
      <c r="A342" s="33" t="str">
        <f>IF(COSTING!A342="","",COSTING!A342)</f>
        <v/>
      </c>
      <c r="B342" s="38" t="str">
        <f>IF(A342="","",COSTING!J342)</f>
        <v/>
      </c>
      <c r="C342" s="38" t="str">
        <f>IF(A342="","",COSTING!I342)</f>
        <v/>
      </c>
      <c r="D342" s="38" t="str">
        <f t="shared" si="1"/>
        <v/>
      </c>
      <c r="E342" s="42" t="str">
        <f t="shared" si="2"/>
        <v/>
      </c>
      <c r="F342" s="42" t="str">
        <f>IF(A342="","",SETUP_RATES!$K$5)</f>
        <v/>
      </c>
      <c r="G342" s="42" t="str">
        <f t="shared" si="3"/>
        <v/>
      </c>
      <c r="H342" s="33" t="str">
        <f t="shared" si="4"/>
        <v/>
      </c>
    </row>
    <row r="343" ht="15.75" customHeight="1">
      <c r="A343" s="33" t="str">
        <f>IF(COSTING!A343="","",COSTING!A343)</f>
        <v/>
      </c>
      <c r="B343" s="38" t="str">
        <f>IF(A343="","",COSTING!J343)</f>
        <v/>
      </c>
      <c r="C343" s="38" t="str">
        <f>IF(A343="","",COSTING!I343)</f>
        <v/>
      </c>
      <c r="D343" s="38" t="str">
        <f t="shared" si="1"/>
        <v/>
      </c>
      <c r="E343" s="42" t="str">
        <f t="shared" si="2"/>
        <v/>
      </c>
      <c r="F343" s="42" t="str">
        <f>IF(A343="","",SETUP_RATES!$K$5)</f>
        <v/>
      </c>
      <c r="G343" s="42" t="str">
        <f t="shared" si="3"/>
        <v/>
      </c>
      <c r="H343" s="33" t="str">
        <f t="shared" si="4"/>
        <v/>
      </c>
    </row>
    <row r="344" ht="15.75" customHeight="1">
      <c r="A344" s="33" t="str">
        <f>IF(COSTING!A344="","",COSTING!A344)</f>
        <v/>
      </c>
      <c r="B344" s="38" t="str">
        <f>IF(A344="","",COSTING!J344)</f>
        <v/>
      </c>
      <c r="C344" s="38" t="str">
        <f>IF(A344="","",COSTING!I344)</f>
        <v/>
      </c>
      <c r="D344" s="38" t="str">
        <f t="shared" si="1"/>
        <v/>
      </c>
      <c r="E344" s="42" t="str">
        <f t="shared" si="2"/>
        <v/>
      </c>
      <c r="F344" s="42" t="str">
        <f>IF(A344="","",SETUP_RATES!$K$5)</f>
        <v/>
      </c>
      <c r="G344" s="42" t="str">
        <f t="shared" si="3"/>
        <v/>
      </c>
      <c r="H344" s="33" t="str">
        <f t="shared" si="4"/>
        <v/>
      </c>
    </row>
    <row r="345" ht="15.75" customHeight="1">
      <c r="A345" s="33" t="str">
        <f>IF(COSTING!A345="","",COSTING!A345)</f>
        <v/>
      </c>
      <c r="B345" s="38" t="str">
        <f>IF(A345="","",COSTING!J345)</f>
        <v/>
      </c>
      <c r="C345" s="38" t="str">
        <f>IF(A345="","",COSTING!I345)</f>
        <v/>
      </c>
      <c r="D345" s="38" t="str">
        <f t="shared" si="1"/>
        <v/>
      </c>
      <c r="E345" s="42" t="str">
        <f t="shared" si="2"/>
        <v/>
      </c>
      <c r="F345" s="42" t="str">
        <f>IF(A345="","",SETUP_RATES!$K$5)</f>
        <v/>
      </c>
      <c r="G345" s="42" t="str">
        <f t="shared" si="3"/>
        <v/>
      </c>
      <c r="H345" s="33" t="str">
        <f t="shared" si="4"/>
        <v/>
      </c>
    </row>
    <row r="346" ht="15.75" customHeight="1">
      <c r="A346" s="33" t="str">
        <f>IF(COSTING!A346="","",COSTING!A346)</f>
        <v/>
      </c>
      <c r="B346" s="38" t="str">
        <f>IF(A346="","",COSTING!J346)</f>
        <v/>
      </c>
      <c r="C346" s="38" t="str">
        <f>IF(A346="","",COSTING!I346)</f>
        <v/>
      </c>
      <c r="D346" s="38" t="str">
        <f t="shared" si="1"/>
        <v/>
      </c>
      <c r="E346" s="42" t="str">
        <f t="shared" si="2"/>
        <v/>
      </c>
      <c r="F346" s="42" t="str">
        <f>IF(A346="","",SETUP_RATES!$K$5)</f>
        <v/>
      </c>
      <c r="G346" s="42" t="str">
        <f t="shared" si="3"/>
        <v/>
      </c>
      <c r="H346" s="33" t="str">
        <f t="shared" si="4"/>
        <v/>
      </c>
    </row>
    <row r="347" ht="15.75" customHeight="1">
      <c r="A347" s="33" t="str">
        <f>IF(COSTING!A347="","",COSTING!A347)</f>
        <v/>
      </c>
      <c r="B347" s="38" t="str">
        <f>IF(A347="","",COSTING!J347)</f>
        <v/>
      </c>
      <c r="C347" s="38" t="str">
        <f>IF(A347="","",COSTING!I347)</f>
        <v/>
      </c>
      <c r="D347" s="38" t="str">
        <f t="shared" si="1"/>
        <v/>
      </c>
      <c r="E347" s="42" t="str">
        <f t="shared" si="2"/>
        <v/>
      </c>
      <c r="F347" s="42" t="str">
        <f>IF(A347="","",SETUP_RATES!$K$5)</f>
        <v/>
      </c>
      <c r="G347" s="42" t="str">
        <f t="shared" si="3"/>
        <v/>
      </c>
      <c r="H347" s="33" t="str">
        <f t="shared" si="4"/>
        <v/>
      </c>
    </row>
    <row r="348" ht="15.75" customHeight="1">
      <c r="A348" s="33" t="str">
        <f>IF(COSTING!A348="","",COSTING!A348)</f>
        <v/>
      </c>
      <c r="B348" s="38" t="str">
        <f>IF(A348="","",COSTING!J348)</f>
        <v/>
      </c>
      <c r="C348" s="38" t="str">
        <f>IF(A348="","",COSTING!I348)</f>
        <v/>
      </c>
      <c r="D348" s="38" t="str">
        <f t="shared" si="1"/>
        <v/>
      </c>
      <c r="E348" s="42" t="str">
        <f t="shared" si="2"/>
        <v/>
      </c>
      <c r="F348" s="42" t="str">
        <f>IF(A348="","",SETUP_RATES!$K$5)</f>
        <v/>
      </c>
      <c r="G348" s="42" t="str">
        <f t="shared" si="3"/>
        <v/>
      </c>
      <c r="H348" s="33" t="str">
        <f t="shared" si="4"/>
        <v/>
      </c>
    </row>
    <row r="349" ht="15.75" customHeight="1">
      <c r="A349" s="33" t="str">
        <f>IF(COSTING!A349="","",COSTING!A349)</f>
        <v/>
      </c>
      <c r="B349" s="38" t="str">
        <f>IF(A349="","",COSTING!J349)</f>
        <v/>
      </c>
      <c r="C349" s="38" t="str">
        <f>IF(A349="","",COSTING!I349)</f>
        <v/>
      </c>
      <c r="D349" s="38" t="str">
        <f t="shared" si="1"/>
        <v/>
      </c>
      <c r="E349" s="42" t="str">
        <f t="shared" si="2"/>
        <v/>
      </c>
      <c r="F349" s="42" t="str">
        <f>IF(A349="","",SETUP_RATES!$K$5)</f>
        <v/>
      </c>
      <c r="G349" s="42" t="str">
        <f t="shared" si="3"/>
        <v/>
      </c>
      <c r="H349" s="33" t="str">
        <f t="shared" si="4"/>
        <v/>
      </c>
    </row>
    <row r="350" ht="15.75" customHeight="1">
      <c r="A350" s="33" t="str">
        <f>IF(COSTING!A350="","",COSTING!A350)</f>
        <v/>
      </c>
      <c r="B350" s="38" t="str">
        <f>IF(A350="","",COSTING!J350)</f>
        <v/>
      </c>
      <c r="C350" s="38" t="str">
        <f>IF(A350="","",COSTING!I350)</f>
        <v/>
      </c>
      <c r="D350" s="38" t="str">
        <f t="shared" si="1"/>
        <v/>
      </c>
      <c r="E350" s="42" t="str">
        <f t="shared" si="2"/>
        <v/>
      </c>
      <c r="F350" s="42" t="str">
        <f>IF(A350="","",SETUP_RATES!$K$5)</f>
        <v/>
      </c>
      <c r="G350" s="42" t="str">
        <f t="shared" si="3"/>
        <v/>
      </c>
      <c r="H350" s="33" t="str">
        <f t="shared" si="4"/>
        <v/>
      </c>
    </row>
    <row r="351" ht="15.75" customHeight="1">
      <c r="A351" s="33" t="str">
        <f>IF(COSTING!A351="","",COSTING!A351)</f>
        <v/>
      </c>
      <c r="B351" s="38" t="str">
        <f>IF(A351="","",COSTING!J351)</f>
        <v/>
      </c>
      <c r="C351" s="38" t="str">
        <f>IF(A351="","",COSTING!I351)</f>
        <v/>
      </c>
      <c r="D351" s="38" t="str">
        <f t="shared" si="1"/>
        <v/>
      </c>
      <c r="E351" s="42" t="str">
        <f t="shared" si="2"/>
        <v/>
      </c>
      <c r="F351" s="42" t="str">
        <f>IF(A351="","",SETUP_RATES!$K$5)</f>
        <v/>
      </c>
      <c r="G351" s="42" t="str">
        <f t="shared" si="3"/>
        <v/>
      </c>
      <c r="H351" s="33" t="str">
        <f t="shared" si="4"/>
        <v/>
      </c>
    </row>
    <row r="352" ht="15.75" customHeight="1">
      <c r="A352" s="33" t="str">
        <f>IF(COSTING!A352="","",COSTING!A352)</f>
        <v/>
      </c>
      <c r="B352" s="38" t="str">
        <f>IF(A352="","",COSTING!J352)</f>
        <v/>
      </c>
      <c r="C352" s="38" t="str">
        <f>IF(A352="","",COSTING!I352)</f>
        <v/>
      </c>
      <c r="D352" s="38" t="str">
        <f t="shared" si="1"/>
        <v/>
      </c>
      <c r="E352" s="42" t="str">
        <f t="shared" si="2"/>
        <v/>
      </c>
      <c r="F352" s="42" t="str">
        <f>IF(A352="","",SETUP_RATES!$K$5)</f>
        <v/>
      </c>
      <c r="G352" s="42" t="str">
        <f t="shared" si="3"/>
        <v/>
      </c>
      <c r="H352" s="33" t="str">
        <f t="shared" si="4"/>
        <v/>
      </c>
    </row>
    <row r="353" ht="15.75" customHeight="1">
      <c r="A353" s="33" t="str">
        <f>IF(COSTING!A353="","",COSTING!A353)</f>
        <v/>
      </c>
      <c r="B353" s="38" t="str">
        <f>IF(A353="","",COSTING!J353)</f>
        <v/>
      </c>
      <c r="C353" s="38" t="str">
        <f>IF(A353="","",COSTING!I353)</f>
        <v/>
      </c>
      <c r="D353" s="38" t="str">
        <f t="shared" si="1"/>
        <v/>
      </c>
      <c r="E353" s="42" t="str">
        <f t="shared" si="2"/>
        <v/>
      </c>
      <c r="F353" s="42" t="str">
        <f>IF(A353="","",SETUP_RATES!$K$5)</f>
        <v/>
      </c>
      <c r="G353" s="42" t="str">
        <f t="shared" si="3"/>
        <v/>
      </c>
      <c r="H353" s="33" t="str">
        <f t="shared" si="4"/>
        <v/>
      </c>
    </row>
    <row r="354" ht="15.75" customHeight="1">
      <c r="A354" s="33" t="str">
        <f>IF(COSTING!A354="","",COSTING!A354)</f>
        <v/>
      </c>
      <c r="B354" s="38" t="str">
        <f>IF(A354="","",COSTING!J354)</f>
        <v/>
      </c>
      <c r="C354" s="38" t="str">
        <f>IF(A354="","",COSTING!I354)</f>
        <v/>
      </c>
      <c r="D354" s="38" t="str">
        <f t="shared" si="1"/>
        <v/>
      </c>
      <c r="E354" s="42" t="str">
        <f t="shared" si="2"/>
        <v/>
      </c>
      <c r="F354" s="42" t="str">
        <f>IF(A354="","",SETUP_RATES!$K$5)</f>
        <v/>
      </c>
      <c r="G354" s="42" t="str">
        <f t="shared" si="3"/>
        <v/>
      </c>
      <c r="H354" s="33" t="str">
        <f t="shared" si="4"/>
        <v/>
      </c>
    </row>
    <row r="355" ht="15.75" customHeight="1">
      <c r="A355" s="33" t="str">
        <f>IF(COSTING!A355="","",COSTING!A355)</f>
        <v/>
      </c>
      <c r="B355" s="38" t="str">
        <f>IF(A355="","",COSTING!J355)</f>
        <v/>
      </c>
      <c r="C355" s="38" t="str">
        <f>IF(A355="","",COSTING!I355)</f>
        <v/>
      </c>
      <c r="D355" s="38" t="str">
        <f t="shared" si="1"/>
        <v/>
      </c>
      <c r="E355" s="42" t="str">
        <f t="shared" si="2"/>
        <v/>
      </c>
      <c r="F355" s="42" t="str">
        <f>IF(A355="","",SETUP_RATES!$K$5)</f>
        <v/>
      </c>
      <c r="G355" s="42" t="str">
        <f t="shared" si="3"/>
        <v/>
      </c>
      <c r="H355" s="33" t="str">
        <f t="shared" si="4"/>
        <v/>
      </c>
    </row>
    <row r="356" ht="15.75" customHeight="1">
      <c r="A356" s="33" t="str">
        <f>IF(COSTING!A356="","",COSTING!A356)</f>
        <v/>
      </c>
      <c r="B356" s="38" t="str">
        <f>IF(A356="","",COSTING!J356)</f>
        <v/>
      </c>
      <c r="C356" s="38" t="str">
        <f>IF(A356="","",COSTING!I356)</f>
        <v/>
      </c>
      <c r="D356" s="38" t="str">
        <f t="shared" si="1"/>
        <v/>
      </c>
      <c r="E356" s="42" t="str">
        <f t="shared" si="2"/>
        <v/>
      </c>
      <c r="F356" s="42" t="str">
        <f>IF(A356="","",SETUP_RATES!$K$5)</f>
        <v/>
      </c>
      <c r="G356" s="42" t="str">
        <f t="shared" si="3"/>
        <v/>
      </c>
      <c r="H356" s="33" t="str">
        <f t="shared" si="4"/>
        <v/>
      </c>
    </row>
    <row r="357" ht="15.75" customHeight="1">
      <c r="A357" s="33" t="str">
        <f>IF(COSTING!A357="","",COSTING!A357)</f>
        <v/>
      </c>
      <c r="B357" s="38" t="str">
        <f>IF(A357="","",COSTING!J357)</f>
        <v/>
      </c>
      <c r="C357" s="38" t="str">
        <f>IF(A357="","",COSTING!I357)</f>
        <v/>
      </c>
      <c r="D357" s="38" t="str">
        <f t="shared" si="1"/>
        <v/>
      </c>
      <c r="E357" s="42" t="str">
        <f t="shared" si="2"/>
        <v/>
      </c>
      <c r="F357" s="42" t="str">
        <f>IF(A357="","",SETUP_RATES!$K$5)</f>
        <v/>
      </c>
      <c r="G357" s="42" t="str">
        <f t="shared" si="3"/>
        <v/>
      </c>
      <c r="H357" s="33" t="str">
        <f t="shared" si="4"/>
        <v/>
      </c>
    </row>
    <row r="358" ht="15.75" customHeight="1">
      <c r="A358" s="33" t="str">
        <f>IF(COSTING!A358="","",COSTING!A358)</f>
        <v/>
      </c>
      <c r="B358" s="38" t="str">
        <f>IF(A358="","",COSTING!J358)</f>
        <v/>
      </c>
      <c r="C358" s="38" t="str">
        <f>IF(A358="","",COSTING!I358)</f>
        <v/>
      </c>
      <c r="D358" s="38" t="str">
        <f t="shared" si="1"/>
        <v/>
      </c>
      <c r="E358" s="42" t="str">
        <f t="shared" si="2"/>
        <v/>
      </c>
      <c r="F358" s="42" t="str">
        <f>IF(A358="","",SETUP_RATES!$K$5)</f>
        <v/>
      </c>
      <c r="G358" s="42" t="str">
        <f t="shared" si="3"/>
        <v/>
      </c>
      <c r="H358" s="33" t="str">
        <f t="shared" si="4"/>
        <v/>
      </c>
    </row>
    <row r="359" ht="15.75" customHeight="1">
      <c r="A359" s="33" t="str">
        <f>IF(COSTING!A359="","",COSTING!A359)</f>
        <v/>
      </c>
      <c r="B359" s="38" t="str">
        <f>IF(A359="","",COSTING!J359)</f>
        <v/>
      </c>
      <c r="C359" s="38" t="str">
        <f>IF(A359="","",COSTING!I359)</f>
        <v/>
      </c>
      <c r="D359" s="38" t="str">
        <f t="shared" si="1"/>
        <v/>
      </c>
      <c r="E359" s="42" t="str">
        <f t="shared" si="2"/>
        <v/>
      </c>
      <c r="F359" s="42" t="str">
        <f>IF(A359="","",SETUP_RATES!$K$5)</f>
        <v/>
      </c>
      <c r="G359" s="42" t="str">
        <f t="shared" si="3"/>
        <v/>
      </c>
      <c r="H359" s="33" t="str">
        <f t="shared" si="4"/>
        <v/>
      </c>
    </row>
    <row r="360" ht="15.75" customHeight="1">
      <c r="A360" s="33" t="str">
        <f>IF(COSTING!A360="","",COSTING!A360)</f>
        <v/>
      </c>
      <c r="B360" s="38" t="str">
        <f>IF(A360="","",COSTING!J360)</f>
        <v/>
      </c>
      <c r="C360" s="38" t="str">
        <f>IF(A360="","",COSTING!I360)</f>
        <v/>
      </c>
      <c r="D360" s="38" t="str">
        <f t="shared" si="1"/>
        <v/>
      </c>
      <c r="E360" s="42" t="str">
        <f t="shared" si="2"/>
        <v/>
      </c>
      <c r="F360" s="42" t="str">
        <f>IF(A360="","",SETUP_RATES!$K$5)</f>
        <v/>
      </c>
      <c r="G360" s="42" t="str">
        <f t="shared" si="3"/>
        <v/>
      </c>
      <c r="H360" s="33" t="str">
        <f t="shared" si="4"/>
        <v/>
      </c>
    </row>
    <row r="361" ht="15.75" customHeight="1">
      <c r="A361" s="33" t="str">
        <f>IF(COSTING!A361="","",COSTING!A361)</f>
        <v/>
      </c>
      <c r="B361" s="38" t="str">
        <f>IF(A361="","",COSTING!J361)</f>
        <v/>
      </c>
      <c r="C361" s="38" t="str">
        <f>IF(A361="","",COSTING!I361)</f>
        <v/>
      </c>
      <c r="D361" s="38" t="str">
        <f t="shared" si="1"/>
        <v/>
      </c>
      <c r="E361" s="42" t="str">
        <f t="shared" si="2"/>
        <v/>
      </c>
      <c r="F361" s="42" t="str">
        <f>IF(A361="","",SETUP_RATES!$K$5)</f>
        <v/>
      </c>
      <c r="G361" s="42" t="str">
        <f t="shared" si="3"/>
        <v/>
      </c>
      <c r="H361" s="33" t="str">
        <f t="shared" si="4"/>
        <v/>
      </c>
    </row>
    <row r="362" ht="15.75" customHeight="1">
      <c r="A362" s="33" t="str">
        <f>IF(COSTING!A362="","",COSTING!A362)</f>
        <v/>
      </c>
      <c r="B362" s="38" t="str">
        <f>IF(A362="","",COSTING!J362)</f>
        <v/>
      </c>
      <c r="C362" s="38" t="str">
        <f>IF(A362="","",COSTING!I362)</f>
        <v/>
      </c>
      <c r="D362" s="38" t="str">
        <f t="shared" si="1"/>
        <v/>
      </c>
      <c r="E362" s="42" t="str">
        <f t="shared" si="2"/>
        <v/>
      </c>
      <c r="F362" s="42" t="str">
        <f>IF(A362="","",SETUP_RATES!$K$5)</f>
        <v/>
      </c>
      <c r="G362" s="42" t="str">
        <f t="shared" si="3"/>
        <v/>
      </c>
      <c r="H362" s="33" t="str">
        <f t="shared" si="4"/>
        <v/>
      </c>
    </row>
    <row r="363" ht="15.75" customHeight="1">
      <c r="A363" s="33" t="str">
        <f>IF(COSTING!A363="","",COSTING!A363)</f>
        <v/>
      </c>
      <c r="B363" s="38" t="str">
        <f>IF(A363="","",COSTING!J363)</f>
        <v/>
      </c>
      <c r="C363" s="38" t="str">
        <f>IF(A363="","",COSTING!I363)</f>
        <v/>
      </c>
      <c r="D363" s="38" t="str">
        <f t="shared" si="1"/>
        <v/>
      </c>
      <c r="E363" s="42" t="str">
        <f t="shared" si="2"/>
        <v/>
      </c>
      <c r="F363" s="42" t="str">
        <f>IF(A363="","",SETUP_RATES!$K$5)</f>
        <v/>
      </c>
      <c r="G363" s="42" t="str">
        <f t="shared" si="3"/>
        <v/>
      </c>
      <c r="H363" s="33" t="str">
        <f t="shared" si="4"/>
        <v/>
      </c>
    </row>
    <row r="364" ht="15.75" customHeight="1">
      <c r="A364" s="33" t="str">
        <f>IF(COSTING!A364="","",COSTING!A364)</f>
        <v/>
      </c>
      <c r="B364" s="38" t="str">
        <f>IF(A364="","",COSTING!J364)</f>
        <v/>
      </c>
      <c r="C364" s="38" t="str">
        <f>IF(A364="","",COSTING!I364)</f>
        <v/>
      </c>
      <c r="D364" s="38" t="str">
        <f t="shared" si="1"/>
        <v/>
      </c>
      <c r="E364" s="42" t="str">
        <f t="shared" si="2"/>
        <v/>
      </c>
      <c r="F364" s="42" t="str">
        <f>IF(A364="","",SETUP_RATES!$K$5)</f>
        <v/>
      </c>
      <c r="G364" s="42" t="str">
        <f t="shared" si="3"/>
        <v/>
      </c>
      <c r="H364" s="33" t="str">
        <f t="shared" si="4"/>
        <v/>
      </c>
    </row>
    <row r="365" ht="15.75" customHeight="1">
      <c r="A365" s="33" t="str">
        <f>IF(COSTING!A365="","",COSTING!A365)</f>
        <v/>
      </c>
      <c r="B365" s="38" t="str">
        <f>IF(A365="","",COSTING!J365)</f>
        <v/>
      </c>
      <c r="C365" s="38" t="str">
        <f>IF(A365="","",COSTING!I365)</f>
        <v/>
      </c>
      <c r="D365" s="38" t="str">
        <f t="shared" si="1"/>
        <v/>
      </c>
      <c r="E365" s="42" t="str">
        <f t="shared" si="2"/>
        <v/>
      </c>
      <c r="F365" s="42" t="str">
        <f>IF(A365="","",SETUP_RATES!$K$5)</f>
        <v/>
      </c>
      <c r="G365" s="42" t="str">
        <f t="shared" si="3"/>
        <v/>
      </c>
      <c r="H365" s="33" t="str">
        <f t="shared" si="4"/>
        <v/>
      </c>
    </row>
    <row r="366" ht="15.75" customHeight="1">
      <c r="A366" s="33" t="str">
        <f>IF(COSTING!A366="","",COSTING!A366)</f>
        <v/>
      </c>
      <c r="B366" s="38" t="str">
        <f>IF(A366="","",COSTING!J366)</f>
        <v/>
      </c>
      <c r="C366" s="38" t="str">
        <f>IF(A366="","",COSTING!I366)</f>
        <v/>
      </c>
      <c r="D366" s="38" t="str">
        <f t="shared" si="1"/>
        <v/>
      </c>
      <c r="E366" s="42" t="str">
        <f t="shared" si="2"/>
        <v/>
      </c>
      <c r="F366" s="42" t="str">
        <f>IF(A366="","",SETUP_RATES!$K$5)</f>
        <v/>
      </c>
      <c r="G366" s="42" t="str">
        <f t="shared" si="3"/>
        <v/>
      </c>
      <c r="H366" s="33" t="str">
        <f t="shared" si="4"/>
        <v/>
      </c>
    </row>
    <row r="367" ht="15.75" customHeight="1">
      <c r="A367" s="33" t="str">
        <f>IF(COSTING!A367="","",COSTING!A367)</f>
        <v/>
      </c>
      <c r="B367" s="38" t="str">
        <f>IF(A367="","",COSTING!J367)</f>
        <v/>
      </c>
      <c r="C367" s="38" t="str">
        <f>IF(A367="","",COSTING!I367)</f>
        <v/>
      </c>
      <c r="D367" s="38" t="str">
        <f t="shared" si="1"/>
        <v/>
      </c>
      <c r="E367" s="42" t="str">
        <f t="shared" si="2"/>
        <v/>
      </c>
      <c r="F367" s="42" t="str">
        <f>IF(A367="","",SETUP_RATES!$K$5)</f>
        <v/>
      </c>
      <c r="G367" s="42" t="str">
        <f t="shared" si="3"/>
        <v/>
      </c>
      <c r="H367" s="33" t="str">
        <f t="shared" si="4"/>
        <v/>
      </c>
    </row>
    <row r="368" ht="15.75" customHeight="1">
      <c r="A368" s="33" t="str">
        <f>IF(COSTING!A368="","",COSTING!A368)</f>
        <v/>
      </c>
      <c r="B368" s="38" t="str">
        <f>IF(A368="","",COSTING!J368)</f>
        <v/>
      </c>
      <c r="C368" s="38" t="str">
        <f>IF(A368="","",COSTING!I368)</f>
        <v/>
      </c>
      <c r="D368" s="38" t="str">
        <f t="shared" si="1"/>
        <v/>
      </c>
      <c r="E368" s="42" t="str">
        <f t="shared" si="2"/>
        <v/>
      </c>
      <c r="F368" s="42" t="str">
        <f>IF(A368="","",SETUP_RATES!$K$5)</f>
        <v/>
      </c>
      <c r="G368" s="42" t="str">
        <f t="shared" si="3"/>
        <v/>
      </c>
      <c r="H368" s="33" t="str">
        <f t="shared" si="4"/>
        <v/>
      </c>
    </row>
    <row r="369" ht="15.75" customHeight="1">
      <c r="A369" s="33" t="str">
        <f>IF(COSTING!A369="","",COSTING!A369)</f>
        <v/>
      </c>
      <c r="B369" s="38" t="str">
        <f>IF(A369="","",COSTING!J369)</f>
        <v/>
      </c>
      <c r="C369" s="38" t="str">
        <f>IF(A369="","",COSTING!I369)</f>
        <v/>
      </c>
      <c r="D369" s="38" t="str">
        <f t="shared" si="1"/>
        <v/>
      </c>
      <c r="E369" s="42" t="str">
        <f t="shared" si="2"/>
        <v/>
      </c>
      <c r="F369" s="42" t="str">
        <f>IF(A369="","",SETUP_RATES!$K$5)</f>
        <v/>
      </c>
      <c r="G369" s="42" t="str">
        <f t="shared" si="3"/>
        <v/>
      </c>
      <c r="H369" s="33" t="str">
        <f t="shared" si="4"/>
        <v/>
      </c>
    </row>
    <row r="370" ht="15.75" customHeight="1">
      <c r="A370" s="33" t="str">
        <f>IF(COSTING!A370="","",COSTING!A370)</f>
        <v/>
      </c>
      <c r="B370" s="38" t="str">
        <f>IF(A370="","",COSTING!J370)</f>
        <v/>
      </c>
      <c r="C370" s="38" t="str">
        <f>IF(A370="","",COSTING!I370)</f>
        <v/>
      </c>
      <c r="D370" s="38" t="str">
        <f t="shared" si="1"/>
        <v/>
      </c>
      <c r="E370" s="42" t="str">
        <f t="shared" si="2"/>
        <v/>
      </c>
      <c r="F370" s="42" t="str">
        <f>IF(A370="","",SETUP_RATES!$K$5)</f>
        <v/>
      </c>
      <c r="G370" s="42" t="str">
        <f t="shared" si="3"/>
        <v/>
      </c>
      <c r="H370" s="33" t="str">
        <f t="shared" si="4"/>
        <v/>
      </c>
    </row>
    <row r="371" ht="15.75" customHeight="1">
      <c r="A371" s="33" t="str">
        <f>IF(COSTING!A371="","",COSTING!A371)</f>
        <v/>
      </c>
      <c r="B371" s="38" t="str">
        <f>IF(A371="","",COSTING!J371)</f>
        <v/>
      </c>
      <c r="C371" s="38" t="str">
        <f>IF(A371="","",COSTING!I371)</f>
        <v/>
      </c>
      <c r="D371" s="38" t="str">
        <f t="shared" si="1"/>
        <v/>
      </c>
      <c r="E371" s="42" t="str">
        <f t="shared" si="2"/>
        <v/>
      </c>
      <c r="F371" s="42" t="str">
        <f>IF(A371="","",SETUP_RATES!$K$5)</f>
        <v/>
      </c>
      <c r="G371" s="42" t="str">
        <f t="shared" si="3"/>
        <v/>
      </c>
      <c r="H371" s="33" t="str">
        <f t="shared" si="4"/>
        <v/>
      </c>
    </row>
    <row r="372" ht="15.75" customHeight="1">
      <c r="A372" s="33" t="str">
        <f>IF(COSTING!A372="","",COSTING!A372)</f>
        <v/>
      </c>
      <c r="B372" s="38" t="str">
        <f>IF(A372="","",COSTING!J372)</f>
        <v/>
      </c>
      <c r="C372" s="38" t="str">
        <f>IF(A372="","",COSTING!I372)</f>
        <v/>
      </c>
      <c r="D372" s="38" t="str">
        <f t="shared" si="1"/>
        <v/>
      </c>
      <c r="E372" s="42" t="str">
        <f t="shared" si="2"/>
        <v/>
      </c>
      <c r="F372" s="42" t="str">
        <f>IF(A372="","",SETUP_RATES!$K$5)</f>
        <v/>
      </c>
      <c r="G372" s="42" t="str">
        <f t="shared" si="3"/>
        <v/>
      </c>
      <c r="H372" s="33" t="str">
        <f t="shared" si="4"/>
        <v/>
      </c>
    </row>
    <row r="373" ht="15.75" customHeight="1">
      <c r="A373" s="33" t="str">
        <f>IF(COSTING!A373="","",COSTING!A373)</f>
        <v/>
      </c>
      <c r="B373" s="38" t="str">
        <f>IF(A373="","",COSTING!J373)</f>
        <v/>
      </c>
      <c r="C373" s="38" t="str">
        <f>IF(A373="","",COSTING!I373)</f>
        <v/>
      </c>
      <c r="D373" s="38" t="str">
        <f t="shared" si="1"/>
        <v/>
      </c>
      <c r="E373" s="42" t="str">
        <f t="shared" si="2"/>
        <v/>
      </c>
      <c r="F373" s="42" t="str">
        <f>IF(A373="","",SETUP_RATES!$K$5)</f>
        <v/>
      </c>
      <c r="G373" s="42" t="str">
        <f t="shared" si="3"/>
        <v/>
      </c>
      <c r="H373" s="33" t="str">
        <f t="shared" si="4"/>
        <v/>
      </c>
    </row>
    <row r="374" ht="15.75" customHeight="1">
      <c r="A374" s="33" t="str">
        <f>IF(COSTING!A374="","",COSTING!A374)</f>
        <v/>
      </c>
      <c r="B374" s="38" t="str">
        <f>IF(A374="","",COSTING!J374)</f>
        <v/>
      </c>
      <c r="C374" s="38" t="str">
        <f>IF(A374="","",COSTING!I374)</f>
        <v/>
      </c>
      <c r="D374" s="38" t="str">
        <f t="shared" si="1"/>
        <v/>
      </c>
      <c r="E374" s="42" t="str">
        <f t="shared" si="2"/>
        <v/>
      </c>
      <c r="F374" s="42" t="str">
        <f>IF(A374="","",SETUP_RATES!$K$5)</f>
        <v/>
      </c>
      <c r="G374" s="42" t="str">
        <f t="shared" si="3"/>
        <v/>
      </c>
      <c r="H374" s="33" t="str">
        <f t="shared" si="4"/>
        <v/>
      </c>
    </row>
    <row r="375" ht="15.75" customHeight="1">
      <c r="A375" s="33" t="str">
        <f>IF(COSTING!A375="","",COSTING!A375)</f>
        <v/>
      </c>
      <c r="B375" s="38" t="str">
        <f>IF(A375="","",COSTING!J375)</f>
        <v/>
      </c>
      <c r="C375" s="38" t="str">
        <f>IF(A375="","",COSTING!I375)</f>
        <v/>
      </c>
      <c r="D375" s="38" t="str">
        <f t="shared" si="1"/>
        <v/>
      </c>
      <c r="E375" s="42" t="str">
        <f t="shared" si="2"/>
        <v/>
      </c>
      <c r="F375" s="42" t="str">
        <f>IF(A375="","",SETUP_RATES!$K$5)</f>
        <v/>
      </c>
      <c r="G375" s="42" t="str">
        <f t="shared" si="3"/>
        <v/>
      </c>
      <c r="H375" s="33" t="str">
        <f t="shared" si="4"/>
        <v/>
      </c>
    </row>
    <row r="376" ht="15.75" customHeight="1">
      <c r="A376" s="33" t="str">
        <f>IF(COSTING!A376="","",COSTING!A376)</f>
        <v/>
      </c>
      <c r="B376" s="38" t="str">
        <f>IF(A376="","",COSTING!J376)</f>
        <v/>
      </c>
      <c r="C376" s="38" t="str">
        <f>IF(A376="","",COSTING!I376)</f>
        <v/>
      </c>
      <c r="D376" s="38" t="str">
        <f t="shared" si="1"/>
        <v/>
      </c>
      <c r="E376" s="42" t="str">
        <f t="shared" si="2"/>
        <v/>
      </c>
      <c r="F376" s="42" t="str">
        <f>IF(A376="","",SETUP_RATES!$K$5)</f>
        <v/>
      </c>
      <c r="G376" s="42" t="str">
        <f t="shared" si="3"/>
        <v/>
      </c>
      <c r="H376" s="33" t="str">
        <f t="shared" si="4"/>
        <v/>
      </c>
    </row>
    <row r="377" ht="15.75" customHeight="1">
      <c r="A377" s="33" t="str">
        <f>IF(COSTING!A377="","",COSTING!A377)</f>
        <v/>
      </c>
      <c r="B377" s="38" t="str">
        <f>IF(A377="","",COSTING!J377)</f>
        <v/>
      </c>
      <c r="C377" s="38" t="str">
        <f>IF(A377="","",COSTING!I377)</f>
        <v/>
      </c>
      <c r="D377" s="38" t="str">
        <f t="shared" si="1"/>
        <v/>
      </c>
      <c r="E377" s="42" t="str">
        <f t="shared" si="2"/>
        <v/>
      </c>
      <c r="F377" s="42" t="str">
        <f>IF(A377="","",SETUP_RATES!$K$5)</f>
        <v/>
      </c>
      <c r="G377" s="42" t="str">
        <f t="shared" si="3"/>
        <v/>
      </c>
      <c r="H377" s="33" t="str">
        <f t="shared" si="4"/>
        <v/>
      </c>
    </row>
    <row r="378" ht="15.75" customHeight="1">
      <c r="A378" s="33" t="str">
        <f>IF(COSTING!A378="","",COSTING!A378)</f>
        <v/>
      </c>
      <c r="B378" s="38" t="str">
        <f>IF(A378="","",COSTING!J378)</f>
        <v/>
      </c>
      <c r="C378" s="38" t="str">
        <f>IF(A378="","",COSTING!I378)</f>
        <v/>
      </c>
      <c r="D378" s="38" t="str">
        <f t="shared" si="1"/>
        <v/>
      </c>
      <c r="E378" s="42" t="str">
        <f t="shared" si="2"/>
        <v/>
      </c>
      <c r="F378" s="42" t="str">
        <f>IF(A378="","",SETUP_RATES!$K$5)</f>
        <v/>
      </c>
      <c r="G378" s="42" t="str">
        <f t="shared" si="3"/>
        <v/>
      </c>
      <c r="H378" s="33" t="str">
        <f t="shared" si="4"/>
        <v/>
      </c>
    </row>
    <row r="379" ht="15.75" customHeight="1">
      <c r="A379" s="33" t="str">
        <f>IF(COSTING!A379="","",COSTING!A379)</f>
        <v/>
      </c>
      <c r="B379" s="38" t="str">
        <f>IF(A379="","",COSTING!J379)</f>
        <v/>
      </c>
      <c r="C379" s="38" t="str">
        <f>IF(A379="","",COSTING!I379)</f>
        <v/>
      </c>
      <c r="D379" s="38" t="str">
        <f t="shared" si="1"/>
        <v/>
      </c>
      <c r="E379" s="42" t="str">
        <f t="shared" si="2"/>
        <v/>
      </c>
      <c r="F379" s="42" t="str">
        <f>IF(A379="","",SETUP_RATES!$K$5)</f>
        <v/>
      </c>
      <c r="G379" s="42" t="str">
        <f t="shared" si="3"/>
        <v/>
      </c>
      <c r="H379" s="33" t="str">
        <f t="shared" si="4"/>
        <v/>
      </c>
    </row>
    <row r="380" ht="15.75" customHeight="1">
      <c r="A380" s="33" t="str">
        <f>IF(COSTING!A380="","",COSTING!A380)</f>
        <v/>
      </c>
      <c r="B380" s="38" t="str">
        <f>IF(A380="","",COSTING!J380)</f>
        <v/>
      </c>
      <c r="C380" s="38" t="str">
        <f>IF(A380="","",COSTING!I380)</f>
        <v/>
      </c>
      <c r="D380" s="38" t="str">
        <f t="shared" si="1"/>
        <v/>
      </c>
      <c r="E380" s="42" t="str">
        <f t="shared" si="2"/>
        <v/>
      </c>
      <c r="F380" s="42" t="str">
        <f>IF(A380="","",SETUP_RATES!$K$5)</f>
        <v/>
      </c>
      <c r="G380" s="42" t="str">
        <f t="shared" si="3"/>
        <v/>
      </c>
      <c r="H380" s="33" t="str">
        <f t="shared" si="4"/>
        <v/>
      </c>
    </row>
    <row r="381" ht="15.75" customHeight="1">
      <c r="A381" s="33" t="str">
        <f>IF(COSTING!A381="","",COSTING!A381)</f>
        <v/>
      </c>
      <c r="B381" s="38" t="str">
        <f>IF(A381="","",COSTING!J381)</f>
        <v/>
      </c>
      <c r="C381" s="38" t="str">
        <f>IF(A381="","",COSTING!I381)</f>
        <v/>
      </c>
      <c r="D381" s="38" t="str">
        <f t="shared" si="1"/>
        <v/>
      </c>
      <c r="E381" s="42" t="str">
        <f t="shared" si="2"/>
        <v/>
      </c>
      <c r="F381" s="42" t="str">
        <f>IF(A381="","",SETUP_RATES!$K$5)</f>
        <v/>
      </c>
      <c r="G381" s="42" t="str">
        <f t="shared" si="3"/>
        <v/>
      </c>
      <c r="H381" s="33" t="str">
        <f t="shared" si="4"/>
        <v/>
      </c>
    </row>
    <row r="382" ht="15.75" customHeight="1">
      <c r="A382" s="33" t="str">
        <f>IF(COSTING!A382="","",COSTING!A382)</f>
        <v/>
      </c>
      <c r="B382" s="38" t="str">
        <f>IF(A382="","",COSTING!J382)</f>
        <v/>
      </c>
      <c r="C382" s="38" t="str">
        <f>IF(A382="","",COSTING!I382)</f>
        <v/>
      </c>
      <c r="D382" s="38" t="str">
        <f t="shared" si="1"/>
        <v/>
      </c>
      <c r="E382" s="42" t="str">
        <f t="shared" si="2"/>
        <v/>
      </c>
      <c r="F382" s="42" t="str">
        <f>IF(A382="","",SETUP_RATES!$K$5)</f>
        <v/>
      </c>
      <c r="G382" s="42" t="str">
        <f t="shared" si="3"/>
        <v/>
      </c>
      <c r="H382" s="33" t="str">
        <f t="shared" si="4"/>
        <v/>
      </c>
    </row>
    <row r="383" ht="15.75" customHeight="1">
      <c r="A383" s="33" t="str">
        <f>IF(COSTING!A383="","",COSTING!A383)</f>
        <v/>
      </c>
      <c r="B383" s="38" t="str">
        <f>IF(A383="","",COSTING!J383)</f>
        <v/>
      </c>
      <c r="C383" s="38" t="str">
        <f>IF(A383="","",COSTING!I383)</f>
        <v/>
      </c>
      <c r="D383" s="38" t="str">
        <f t="shared" si="1"/>
        <v/>
      </c>
      <c r="E383" s="42" t="str">
        <f t="shared" si="2"/>
        <v/>
      </c>
      <c r="F383" s="42" t="str">
        <f>IF(A383="","",SETUP_RATES!$K$5)</f>
        <v/>
      </c>
      <c r="G383" s="42" t="str">
        <f t="shared" si="3"/>
        <v/>
      </c>
      <c r="H383" s="33" t="str">
        <f t="shared" si="4"/>
        <v/>
      </c>
    </row>
    <row r="384" ht="15.75" customHeight="1">
      <c r="A384" s="33" t="str">
        <f>IF(COSTING!A384="","",COSTING!A384)</f>
        <v/>
      </c>
      <c r="B384" s="38" t="str">
        <f>IF(A384="","",COSTING!J384)</f>
        <v/>
      </c>
      <c r="C384" s="38" t="str">
        <f>IF(A384="","",COSTING!I384)</f>
        <v/>
      </c>
      <c r="D384" s="38" t="str">
        <f t="shared" si="1"/>
        <v/>
      </c>
      <c r="E384" s="42" t="str">
        <f t="shared" si="2"/>
        <v/>
      </c>
      <c r="F384" s="42" t="str">
        <f>IF(A384="","",SETUP_RATES!$K$5)</f>
        <v/>
      </c>
      <c r="G384" s="42" t="str">
        <f t="shared" si="3"/>
        <v/>
      </c>
      <c r="H384" s="33" t="str">
        <f t="shared" si="4"/>
        <v/>
      </c>
    </row>
    <row r="385" ht="15.75" customHeight="1">
      <c r="A385" s="33" t="str">
        <f>IF(COSTING!A385="","",COSTING!A385)</f>
        <v/>
      </c>
      <c r="B385" s="38" t="str">
        <f>IF(A385="","",COSTING!J385)</f>
        <v/>
      </c>
      <c r="C385" s="38" t="str">
        <f>IF(A385="","",COSTING!I385)</f>
        <v/>
      </c>
      <c r="D385" s="38" t="str">
        <f t="shared" si="1"/>
        <v/>
      </c>
      <c r="E385" s="42" t="str">
        <f t="shared" si="2"/>
        <v/>
      </c>
      <c r="F385" s="42" t="str">
        <f>IF(A385="","",SETUP_RATES!$K$5)</f>
        <v/>
      </c>
      <c r="G385" s="42" t="str">
        <f t="shared" si="3"/>
        <v/>
      </c>
      <c r="H385" s="33" t="str">
        <f t="shared" si="4"/>
        <v/>
      </c>
    </row>
    <row r="386" ht="15.75" customHeight="1">
      <c r="A386" s="33" t="str">
        <f>IF(COSTING!A386="","",COSTING!A386)</f>
        <v/>
      </c>
      <c r="B386" s="38" t="str">
        <f>IF(A386="","",COSTING!J386)</f>
        <v/>
      </c>
      <c r="C386" s="38" t="str">
        <f>IF(A386="","",COSTING!I386)</f>
        <v/>
      </c>
      <c r="D386" s="38" t="str">
        <f t="shared" si="1"/>
        <v/>
      </c>
      <c r="E386" s="42" t="str">
        <f t="shared" si="2"/>
        <v/>
      </c>
      <c r="F386" s="42" t="str">
        <f>IF(A386="","",SETUP_RATES!$K$5)</f>
        <v/>
      </c>
      <c r="G386" s="42" t="str">
        <f t="shared" si="3"/>
        <v/>
      </c>
      <c r="H386" s="33" t="str">
        <f t="shared" si="4"/>
        <v/>
      </c>
    </row>
    <row r="387" ht="15.75" customHeight="1">
      <c r="A387" s="33" t="str">
        <f>IF(COSTING!A387="","",COSTING!A387)</f>
        <v/>
      </c>
      <c r="B387" s="38" t="str">
        <f>IF(A387="","",COSTING!J387)</f>
        <v/>
      </c>
      <c r="C387" s="38" t="str">
        <f>IF(A387="","",COSTING!I387)</f>
        <v/>
      </c>
      <c r="D387" s="38" t="str">
        <f t="shared" si="1"/>
        <v/>
      </c>
      <c r="E387" s="42" t="str">
        <f t="shared" si="2"/>
        <v/>
      </c>
      <c r="F387" s="42" t="str">
        <f>IF(A387="","",SETUP_RATES!$K$5)</f>
        <v/>
      </c>
      <c r="G387" s="42" t="str">
        <f t="shared" si="3"/>
        <v/>
      </c>
      <c r="H387" s="33" t="str">
        <f t="shared" si="4"/>
        <v/>
      </c>
    </row>
    <row r="388" ht="15.75" customHeight="1">
      <c r="A388" s="33" t="str">
        <f>IF(COSTING!A388="","",COSTING!A388)</f>
        <v/>
      </c>
      <c r="B388" s="38" t="str">
        <f>IF(A388="","",COSTING!J388)</f>
        <v/>
      </c>
      <c r="C388" s="38" t="str">
        <f>IF(A388="","",COSTING!I388)</f>
        <v/>
      </c>
      <c r="D388" s="38" t="str">
        <f t="shared" si="1"/>
        <v/>
      </c>
      <c r="E388" s="42" t="str">
        <f t="shared" si="2"/>
        <v/>
      </c>
      <c r="F388" s="42" t="str">
        <f>IF(A388="","",SETUP_RATES!$K$5)</f>
        <v/>
      </c>
      <c r="G388" s="42" t="str">
        <f t="shared" si="3"/>
        <v/>
      </c>
      <c r="H388" s="33" t="str">
        <f t="shared" si="4"/>
        <v/>
      </c>
    </row>
    <row r="389" ht="15.75" customHeight="1">
      <c r="A389" s="33" t="str">
        <f>IF(COSTING!A389="","",COSTING!A389)</f>
        <v/>
      </c>
      <c r="B389" s="38" t="str">
        <f>IF(A389="","",COSTING!J389)</f>
        <v/>
      </c>
      <c r="C389" s="38" t="str">
        <f>IF(A389="","",COSTING!I389)</f>
        <v/>
      </c>
      <c r="D389" s="38" t="str">
        <f t="shared" si="1"/>
        <v/>
      </c>
      <c r="E389" s="42" t="str">
        <f t="shared" si="2"/>
        <v/>
      </c>
      <c r="F389" s="42" t="str">
        <f>IF(A389="","",SETUP_RATES!$K$5)</f>
        <v/>
      </c>
      <c r="G389" s="42" t="str">
        <f t="shared" si="3"/>
        <v/>
      </c>
      <c r="H389" s="33" t="str">
        <f t="shared" si="4"/>
        <v/>
      </c>
    </row>
    <row r="390" ht="15.75" customHeight="1">
      <c r="A390" s="33" t="str">
        <f>IF(COSTING!A390="","",COSTING!A390)</f>
        <v/>
      </c>
      <c r="B390" s="38" t="str">
        <f>IF(A390="","",COSTING!J390)</f>
        <v/>
      </c>
      <c r="C390" s="38" t="str">
        <f>IF(A390="","",COSTING!I390)</f>
        <v/>
      </c>
      <c r="D390" s="38" t="str">
        <f t="shared" si="1"/>
        <v/>
      </c>
      <c r="E390" s="42" t="str">
        <f t="shared" si="2"/>
        <v/>
      </c>
      <c r="F390" s="42" t="str">
        <f>IF(A390="","",SETUP_RATES!$K$5)</f>
        <v/>
      </c>
      <c r="G390" s="42" t="str">
        <f t="shared" si="3"/>
        <v/>
      </c>
      <c r="H390" s="33" t="str">
        <f t="shared" si="4"/>
        <v/>
      </c>
    </row>
    <row r="391" ht="15.75" customHeight="1">
      <c r="A391" s="33" t="str">
        <f>IF(COSTING!A391="","",COSTING!A391)</f>
        <v/>
      </c>
      <c r="B391" s="38" t="str">
        <f>IF(A391="","",COSTING!J391)</f>
        <v/>
      </c>
      <c r="C391" s="38" t="str">
        <f>IF(A391="","",COSTING!I391)</f>
        <v/>
      </c>
      <c r="D391" s="38" t="str">
        <f t="shared" si="1"/>
        <v/>
      </c>
      <c r="E391" s="42" t="str">
        <f t="shared" si="2"/>
        <v/>
      </c>
      <c r="F391" s="42" t="str">
        <f>IF(A391="","",SETUP_RATES!$K$5)</f>
        <v/>
      </c>
      <c r="G391" s="42" t="str">
        <f t="shared" si="3"/>
        <v/>
      </c>
      <c r="H391" s="33" t="str">
        <f t="shared" si="4"/>
        <v/>
      </c>
    </row>
    <row r="392" ht="15.75" customHeight="1">
      <c r="A392" s="33" t="str">
        <f>IF(COSTING!A392="","",COSTING!A392)</f>
        <v/>
      </c>
      <c r="B392" s="38" t="str">
        <f>IF(A392="","",COSTING!J392)</f>
        <v/>
      </c>
      <c r="C392" s="38" t="str">
        <f>IF(A392="","",COSTING!I392)</f>
        <v/>
      </c>
      <c r="D392" s="38" t="str">
        <f t="shared" si="1"/>
        <v/>
      </c>
      <c r="E392" s="42" t="str">
        <f t="shared" si="2"/>
        <v/>
      </c>
      <c r="F392" s="42" t="str">
        <f>IF(A392="","",SETUP_RATES!$K$5)</f>
        <v/>
      </c>
      <c r="G392" s="42" t="str">
        <f t="shared" si="3"/>
        <v/>
      </c>
      <c r="H392" s="33" t="str">
        <f t="shared" si="4"/>
        <v/>
      </c>
    </row>
    <row r="393" ht="15.75" customHeight="1">
      <c r="A393" s="33" t="str">
        <f>IF(COSTING!A393="","",COSTING!A393)</f>
        <v/>
      </c>
      <c r="B393" s="38" t="str">
        <f>IF(A393="","",COSTING!J393)</f>
        <v/>
      </c>
      <c r="C393" s="38" t="str">
        <f>IF(A393="","",COSTING!I393)</f>
        <v/>
      </c>
      <c r="D393" s="38" t="str">
        <f t="shared" si="1"/>
        <v/>
      </c>
      <c r="E393" s="42" t="str">
        <f t="shared" si="2"/>
        <v/>
      </c>
      <c r="F393" s="42" t="str">
        <f>IF(A393="","",SETUP_RATES!$K$5)</f>
        <v/>
      </c>
      <c r="G393" s="42" t="str">
        <f t="shared" si="3"/>
        <v/>
      </c>
      <c r="H393" s="33" t="str">
        <f t="shared" si="4"/>
        <v/>
      </c>
    </row>
    <row r="394" ht="15.75" customHeight="1">
      <c r="A394" s="33" t="str">
        <f>IF(COSTING!A394="","",COSTING!A394)</f>
        <v/>
      </c>
      <c r="B394" s="38" t="str">
        <f>IF(A394="","",COSTING!J394)</f>
        <v/>
      </c>
      <c r="C394" s="38" t="str">
        <f>IF(A394="","",COSTING!I394)</f>
        <v/>
      </c>
      <c r="D394" s="38" t="str">
        <f t="shared" si="1"/>
        <v/>
      </c>
      <c r="E394" s="42" t="str">
        <f t="shared" si="2"/>
        <v/>
      </c>
      <c r="F394" s="42" t="str">
        <f>IF(A394="","",SETUP_RATES!$K$5)</f>
        <v/>
      </c>
      <c r="G394" s="42" t="str">
        <f t="shared" si="3"/>
        <v/>
      </c>
      <c r="H394" s="33" t="str">
        <f t="shared" si="4"/>
        <v/>
      </c>
    </row>
    <row r="395" ht="15.75" customHeight="1">
      <c r="A395" s="33" t="str">
        <f>IF(COSTING!A395="","",COSTING!A395)</f>
        <v/>
      </c>
      <c r="B395" s="38" t="str">
        <f>IF(A395="","",COSTING!J395)</f>
        <v/>
      </c>
      <c r="C395" s="38" t="str">
        <f>IF(A395="","",COSTING!I395)</f>
        <v/>
      </c>
      <c r="D395" s="38" t="str">
        <f t="shared" si="1"/>
        <v/>
      </c>
      <c r="E395" s="42" t="str">
        <f t="shared" si="2"/>
        <v/>
      </c>
      <c r="F395" s="42" t="str">
        <f>IF(A395="","",SETUP_RATES!$K$5)</f>
        <v/>
      </c>
      <c r="G395" s="42" t="str">
        <f t="shared" si="3"/>
        <v/>
      </c>
      <c r="H395" s="33" t="str">
        <f t="shared" si="4"/>
        <v/>
      </c>
    </row>
    <row r="396" ht="15.75" customHeight="1">
      <c r="A396" s="33" t="str">
        <f>IF(COSTING!A396="","",COSTING!A396)</f>
        <v/>
      </c>
      <c r="B396" s="38" t="str">
        <f>IF(A396="","",COSTING!J396)</f>
        <v/>
      </c>
      <c r="C396" s="38" t="str">
        <f>IF(A396="","",COSTING!I396)</f>
        <v/>
      </c>
      <c r="D396" s="38" t="str">
        <f t="shared" si="1"/>
        <v/>
      </c>
      <c r="E396" s="42" t="str">
        <f t="shared" si="2"/>
        <v/>
      </c>
      <c r="F396" s="42" t="str">
        <f>IF(A396="","",SETUP_RATES!$K$5)</f>
        <v/>
      </c>
      <c r="G396" s="42" t="str">
        <f t="shared" si="3"/>
        <v/>
      </c>
      <c r="H396" s="33" t="str">
        <f t="shared" si="4"/>
        <v/>
      </c>
    </row>
    <row r="397" ht="15.75" customHeight="1">
      <c r="A397" s="33" t="str">
        <f>IF(COSTING!A397="","",COSTING!A397)</f>
        <v/>
      </c>
      <c r="B397" s="38" t="str">
        <f>IF(A397="","",COSTING!J397)</f>
        <v/>
      </c>
      <c r="C397" s="38" t="str">
        <f>IF(A397="","",COSTING!I397)</f>
        <v/>
      </c>
      <c r="D397" s="38" t="str">
        <f t="shared" si="1"/>
        <v/>
      </c>
      <c r="E397" s="42" t="str">
        <f t="shared" si="2"/>
        <v/>
      </c>
      <c r="F397" s="42" t="str">
        <f>IF(A397="","",SETUP_RATES!$K$5)</f>
        <v/>
      </c>
      <c r="G397" s="42" t="str">
        <f t="shared" si="3"/>
        <v/>
      </c>
      <c r="H397" s="33" t="str">
        <f t="shared" si="4"/>
        <v/>
      </c>
    </row>
    <row r="398" ht="15.75" customHeight="1">
      <c r="A398" s="33" t="str">
        <f>IF(COSTING!A398="","",COSTING!A398)</f>
        <v/>
      </c>
      <c r="B398" s="38" t="str">
        <f>IF(A398="","",COSTING!J398)</f>
        <v/>
      </c>
      <c r="C398" s="38" t="str">
        <f>IF(A398="","",COSTING!I398)</f>
        <v/>
      </c>
      <c r="D398" s="38" t="str">
        <f t="shared" si="1"/>
        <v/>
      </c>
      <c r="E398" s="42" t="str">
        <f t="shared" si="2"/>
        <v/>
      </c>
      <c r="F398" s="42" t="str">
        <f>IF(A398="","",SETUP_RATES!$K$5)</f>
        <v/>
      </c>
      <c r="G398" s="42" t="str">
        <f t="shared" si="3"/>
        <v/>
      </c>
      <c r="H398" s="33" t="str">
        <f t="shared" si="4"/>
        <v/>
      </c>
    </row>
    <row r="399" ht="15.75" customHeight="1">
      <c r="A399" s="33" t="str">
        <f>IF(COSTING!A399="","",COSTING!A399)</f>
        <v/>
      </c>
      <c r="B399" s="38" t="str">
        <f>IF(A399="","",COSTING!J399)</f>
        <v/>
      </c>
      <c r="C399" s="38" t="str">
        <f>IF(A399="","",COSTING!I399)</f>
        <v/>
      </c>
      <c r="D399" s="38" t="str">
        <f t="shared" si="1"/>
        <v/>
      </c>
      <c r="E399" s="42" t="str">
        <f t="shared" si="2"/>
        <v/>
      </c>
      <c r="F399" s="42" t="str">
        <f>IF(A399="","",SETUP_RATES!$K$5)</f>
        <v/>
      </c>
      <c r="G399" s="42" t="str">
        <f t="shared" si="3"/>
        <v/>
      </c>
      <c r="H399" s="33" t="str">
        <f t="shared" si="4"/>
        <v/>
      </c>
    </row>
    <row r="400" ht="15.75" customHeight="1">
      <c r="A400" s="33" t="str">
        <f>IF(COSTING!A400="","",COSTING!A400)</f>
        <v/>
      </c>
      <c r="B400" s="38" t="str">
        <f>IF(A400="","",COSTING!J400)</f>
        <v/>
      </c>
      <c r="C400" s="38" t="str">
        <f>IF(A400="","",COSTING!I400)</f>
        <v/>
      </c>
      <c r="D400" s="38" t="str">
        <f t="shared" si="1"/>
        <v/>
      </c>
      <c r="E400" s="42" t="str">
        <f t="shared" si="2"/>
        <v/>
      </c>
      <c r="F400" s="42" t="str">
        <f>IF(A400="","",SETUP_RATES!$K$5)</f>
        <v/>
      </c>
      <c r="G400" s="42" t="str">
        <f t="shared" si="3"/>
        <v/>
      </c>
      <c r="H400" s="33" t="str">
        <f t="shared" si="4"/>
        <v/>
      </c>
    </row>
    <row r="401" ht="15.75" customHeight="1">
      <c r="A401" s="33" t="str">
        <f>IF(COSTING!A401="","",COSTING!A401)</f>
        <v/>
      </c>
      <c r="B401" s="38" t="str">
        <f>IF(A401="","",COSTING!J401)</f>
        <v/>
      </c>
      <c r="C401" s="38" t="str">
        <f>IF(A401="","",COSTING!I401)</f>
        <v/>
      </c>
      <c r="D401" s="38" t="str">
        <f t="shared" si="1"/>
        <v/>
      </c>
      <c r="E401" s="42" t="str">
        <f t="shared" si="2"/>
        <v/>
      </c>
      <c r="F401" s="42" t="str">
        <f>IF(A401="","",SETUP_RATES!$K$5)</f>
        <v/>
      </c>
      <c r="G401" s="42" t="str">
        <f t="shared" si="3"/>
        <v/>
      </c>
      <c r="H401" s="33" t="str">
        <f t="shared" si="4"/>
        <v/>
      </c>
    </row>
    <row r="402" ht="15.75" customHeight="1">
      <c r="A402" s="33" t="str">
        <f>IF(COSTING!A402="","",COSTING!A402)</f>
        <v/>
      </c>
      <c r="B402" s="38" t="str">
        <f>IF(A402="","",COSTING!J402)</f>
        <v/>
      </c>
      <c r="C402" s="38" t="str">
        <f>IF(A402="","",COSTING!I402)</f>
        <v/>
      </c>
      <c r="D402" s="38" t="str">
        <f t="shared" si="1"/>
        <v/>
      </c>
      <c r="E402" s="42" t="str">
        <f t="shared" si="2"/>
        <v/>
      </c>
      <c r="F402" s="42" t="str">
        <f>IF(A402="","",SETUP_RATES!$K$5)</f>
        <v/>
      </c>
      <c r="G402" s="42" t="str">
        <f t="shared" si="3"/>
        <v/>
      </c>
      <c r="H402" s="33" t="str">
        <f t="shared" si="4"/>
        <v/>
      </c>
    </row>
    <row r="403" ht="15.75" customHeight="1">
      <c r="A403" s="33" t="str">
        <f>IF(COSTING!A403="","",COSTING!A403)</f>
        <v/>
      </c>
      <c r="B403" s="38" t="str">
        <f>IF(A403="","",COSTING!J403)</f>
        <v/>
      </c>
      <c r="C403" s="38" t="str">
        <f>IF(A403="","",COSTING!I403)</f>
        <v/>
      </c>
      <c r="D403" s="38" t="str">
        <f t="shared" si="1"/>
        <v/>
      </c>
      <c r="E403" s="42" t="str">
        <f t="shared" si="2"/>
        <v/>
      </c>
      <c r="F403" s="42" t="str">
        <f>IF(A403="","",SETUP_RATES!$K$5)</f>
        <v/>
      </c>
      <c r="G403" s="42" t="str">
        <f t="shared" si="3"/>
        <v/>
      </c>
      <c r="H403" s="33" t="str">
        <f t="shared" si="4"/>
        <v/>
      </c>
    </row>
    <row r="404" ht="15.75" customHeight="1">
      <c r="A404" s="33" t="str">
        <f>IF(COSTING!A404="","",COSTING!A404)</f>
        <v/>
      </c>
      <c r="B404" s="38" t="str">
        <f>IF(A404="","",COSTING!J404)</f>
        <v/>
      </c>
      <c r="C404" s="38" t="str">
        <f>IF(A404="","",COSTING!I404)</f>
        <v/>
      </c>
      <c r="D404" s="38" t="str">
        <f t="shared" si="1"/>
        <v/>
      </c>
      <c r="E404" s="42" t="str">
        <f t="shared" si="2"/>
        <v/>
      </c>
      <c r="F404" s="42" t="str">
        <f>IF(A404="","",SETUP_RATES!$K$5)</f>
        <v/>
      </c>
      <c r="G404" s="42" t="str">
        <f t="shared" si="3"/>
        <v/>
      </c>
      <c r="H404" s="33" t="str">
        <f t="shared" si="4"/>
        <v/>
      </c>
    </row>
    <row r="405" ht="15.75" customHeight="1">
      <c r="A405" s="33" t="str">
        <f>IF(COSTING!A405="","",COSTING!A405)</f>
        <v/>
      </c>
      <c r="B405" s="38" t="str">
        <f>IF(A405="","",COSTING!J405)</f>
        <v/>
      </c>
      <c r="C405" s="38" t="str">
        <f>IF(A405="","",COSTING!I405)</f>
        <v/>
      </c>
      <c r="D405" s="38" t="str">
        <f t="shared" si="1"/>
        <v/>
      </c>
      <c r="E405" s="42" t="str">
        <f t="shared" si="2"/>
        <v/>
      </c>
      <c r="F405" s="42" t="str">
        <f>IF(A405="","",SETUP_RATES!$K$5)</f>
        <v/>
      </c>
      <c r="G405" s="42" t="str">
        <f t="shared" si="3"/>
        <v/>
      </c>
      <c r="H405" s="33" t="str">
        <f t="shared" si="4"/>
        <v/>
      </c>
    </row>
    <row r="406" ht="15.75" customHeight="1">
      <c r="A406" s="33" t="str">
        <f>IF(COSTING!A406="","",COSTING!A406)</f>
        <v/>
      </c>
      <c r="B406" s="38" t="str">
        <f>IF(A406="","",COSTING!J406)</f>
        <v/>
      </c>
      <c r="C406" s="38" t="str">
        <f>IF(A406="","",COSTING!I406)</f>
        <v/>
      </c>
      <c r="D406" s="38" t="str">
        <f t="shared" si="1"/>
        <v/>
      </c>
      <c r="E406" s="42" t="str">
        <f t="shared" si="2"/>
        <v/>
      </c>
      <c r="F406" s="42" t="str">
        <f>IF(A406="","",SETUP_RATES!$K$5)</f>
        <v/>
      </c>
      <c r="G406" s="42" t="str">
        <f t="shared" si="3"/>
        <v/>
      </c>
      <c r="H406" s="33" t="str">
        <f t="shared" si="4"/>
        <v/>
      </c>
    </row>
    <row r="407" ht="15.75" customHeight="1">
      <c r="A407" s="33" t="str">
        <f>IF(COSTING!A407="","",COSTING!A407)</f>
        <v/>
      </c>
      <c r="B407" s="38" t="str">
        <f>IF(A407="","",COSTING!J407)</f>
        <v/>
      </c>
      <c r="C407" s="38" t="str">
        <f>IF(A407="","",COSTING!I407)</f>
        <v/>
      </c>
      <c r="D407" s="38" t="str">
        <f t="shared" si="1"/>
        <v/>
      </c>
      <c r="E407" s="42" t="str">
        <f t="shared" si="2"/>
        <v/>
      </c>
      <c r="F407" s="42" t="str">
        <f>IF(A407="","",SETUP_RATES!$K$5)</f>
        <v/>
      </c>
      <c r="G407" s="42" t="str">
        <f t="shared" si="3"/>
        <v/>
      </c>
      <c r="H407" s="33" t="str">
        <f t="shared" si="4"/>
        <v/>
      </c>
    </row>
    <row r="408" ht="15.75" customHeight="1">
      <c r="A408" s="33" t="str">
        <f>IF(COSTING!A408="","",COSTING!A408)</f>
        <v/>
      </c>
      <c r="B408" s="38" t="str">
        <f>IF(A408="","",COSTING!J408)</f>
        <v/>
      </c>
      <c r="C408" s="38" t="str">
        <f>IF(A408="","",COSTING!I408)</f>
        <v/>
      </c>
      <c r="D408" s="38" t="str">
        <f t="shared" si="1"/>
        <v/>
      </c>
      <c r="E408" s="42" t="str">
        <f t="shared" si="2"/>
        <v/>
      </c>
      <c r="F408" s="42" t="str">
        <f>IF(A408="","",SETUP_RATES!$K$5)</f>
        <v/>
      </c>
      <c r="G408" s="42" t="str">
        <f t="shared" si="3"/>
        <v/>
      </c>
      <c r="H408" s="33" t="str">
        <f t="shared" si="4"/>
        <v/>
      </c>
    </row>
    <row r="409" ht="15.75" customHeight="1">
      <c r="A409" s="33" t="str">
        <f>IF(COSTING!A409="","",COSTING!A409)</f>
        <v/>
      </c>
      <c r="B409" s="38" t="str">
        <f>IF(A409="","",COSTING!J409)</f>
        <v/>
      </c>
      <c r="C409" s="38" t="str">
        <f>IF(A409="","",COSTING!I409)</f>
        <v/>
      </c>
      <c r="D409" s="38" t="str">
        <f t="shared" si="1"/>
        <v/>
      </c>
      <c r="E409" s="42" t="str">
        <f t="shared" si="2"/>
        <v/>
      </c>
      <c r="F409" s="42" t="str">
        <f>IF(A409="","",SETUP_RATES!$K$5)</f>
        <v/>
      </c>
      <c r="G409" s="42" t="str">
        <f t="shared" si="3"/>
        <v/>
      </c>
      <c r="H409" s="33" t="str">
        <f t="shared" si="4"/>
        <v/>
      </c>
    </row>
    <row r="410" ht="15.75" customHeight="1">
      <c r="A410" s="33" t="str">
        <f>IF(COSTING!A410="","",COSTING!A410)</f>
        <v/>
      </c>
      <c r="B410" s="38" t="str">
        <f>IF(A410="","",COSTING!J410)</f>
        <v/>
      </c>
      <c r="C410" s="38" t="str">
        <f>IF(A410="","",COSTING!I410)</f>
        <v/>
      </c>
      <c r="D410" s="38" t="str">
        <f t="shared" si="1"/>
        <v/>
      </c>
      <c r="E410" s="42" t="str">
        <f t="shared" si="2"/>
        <v/>
      </c>
      <c r="F410" s="42" t="str">
        <f>IF(A410="","",SETUP_RATES!$K$5)</f>
        <v/>
      </c>
      <c r="G410" s="42" t="str">
        <f t="shared" si="3"/>
        <v/>
      </c>
      <c r="H410" s="33" t="str">
        <f t="shared" si="4"/>
        <v/>
      </c>
    </row>
    <row r="411" ht="15.75" customHeight="1">
      <c r="A411" s="33" t="str">
        <f>IF(COSTING!A411="","",COSTING!A411)</f>
        <v/>
      </c>
      <c r="B411" s="38" t="str">
        <f>IF(A411="","",COSTING!J411)</f>
        <v/>
      </c>
      <c r="C411" s="38" t="str">
        <f>IF(A411="","",COSTING!I411)</f>
        <v/>
      </c>
      <c r="D411" s="38" t="str">
        <f t="shared" si="1"/>
        <v/>
      </c>
      <c r="E411" s="42" t="str">
        <f t="shared" si="2"/>
        <v/>
      </c>
      <c r="F411" s="42" t="str">
        <f>IF(A411="","",SETUP_RATES!$K$5)</f>
        <v/>
      </c>
      <c r="G411" s="42" t="str">
        <f t="shared" si="3"/>
        <v/>
      </c>
      <c r="H411" s="33" t="str">
        <f t="shared" si="4"/>
        <v/>
      </c>
    </row>
    <row r="412" ht="15.75" customHeight="1">
      <c r="A412" s="33" t="str">
        <f>IF(COSTING!A412="","",COSTING!A412)</f>
        <v/>
      </c>
      <c r="B412" s="38" t="str">
        <f>IF(A412="","",COSTING!J412)</f>
        <v/>
      </c>
      <c r="C412" s="38" t="str">
        <f>IF(A412="","",COSTING!I412)</f>
        <v/>
      </c>
      <c r="D412" s="38" t="str">
        <f t="shared" si="1"/>
        <v/>
      </c>
      <c r="E412" s="42" t="str">
        <f t="shared" si="2"/>
        <v/>
      </c>
      <c r="F412" s="42" t="str">
        <f>IF(A412="","",SETUP_RATES!$K$5)</f>
        <v/>
      </c>
      <c r="G412" s="42" t="str">
        <f t="shared" si="3"/>
        <v/>
      </c>
      <c r="H412" s="33" t="str">
        <f t="shared" si="4"/>
        <v/>
      </c>
    </row>
    <row r="413" ht="15.75" customHeight="1">
      <c r="A413" s="33" t="str">
        <f>IF(COSTING!A413="","",COSTING!A413)</f>
        <v/>
      </c>
      <c r="B413" s="38" t="str">
        <f>IF(A413="","",COSTING!J413)</f>
        <v/>
      </c>
      <c r="C413" s="38" t="str">
        <f>IF(A413="","",COSTING!I413)</f>
        <v/>
      </c>
      <c r="D413" s="38" t="str">
        <f t="shared" si="1"/>
        <v/>
      </c>
      <c r="E413" s="42" t="str">
        <f t="shared" si="2"/>
        <v/>
      </c>
      <c r="F413" s="42" t="str">
        <f>IF(A413="","",SETUP_RATES!$K$5)</f>
        <v/>
      </c>
      <c r="G413" s="42" t="str">
        <f t="shared" si="3"/>
        <v/>
      </c>
      <c r="H413" s="33" t="str">
        <f t="shared" si="4"/>
        <v/>
      </c>
    </row>
    <row r="414" ht="15.75" customHeight="1">
      <c r="A414" s="33" t="str">
        <f>IF(COSTING!A414="","",COSTING!A414)</f>
        <v/>
      </c>
      <c r="B414" s="38" t="str">
        <f>IF(A414="","",COSTING!J414)</f>
        <v/>
      </c>
      <c r="C414" s="38" t="str">
        <f>IF(A414="","",COSTING!I414)</f>
        <v/>
      </c>
      <c r="D414" s="38" t="str">
        <f t="shared" si="1"/>
        <v/>
      </c>
      <c r="E414" s="42" t="str">
        <f t="shared" si="2"/>
        <v/>
      </c>
      <c r="F414" s="42" t="str">
        <f>IF(A414="","",SETUP_RATES!$K$5)</f>
        <v/>
      </c>
      <c r="G414" s="42" t="str">
        <f t="shared" si="3"/>
        <v/>
      </c>
      <c r="H414" s="33" t="str">
        <f t="shared" si="4"/>
        <v/>
      </c>
    </row>
    <row r="415" ht="15.75" customHeight="1">
      <c r="A415" s="33" t="str">
        <f>IF(COSTING!A415="","",COSTING!A415)</f>
        <v/>
      </c>
      <c r="B415" s="38" t="str">
        <f>IF(A415="","",COSTING!J415)</f>
        <v/>
      </c>
      <c r="C415" s="38" t="str">
        <f>IF(A415="","",COSTING!I415)</f>
        <v/>
      </c>
      <c r="D415" s="38" t="str">
        <f t="shared" si="1"/>
        <v/>
      </c>
      <c r="E415" s="42" t="str">
        <f t="shared" si="2"/>
        <v/>
      </c>
      <c r="F415" s="42" t="str">
        <f>IF(A415="","",SETUP_RATES!$K$5)</f>
        <v/>
      </c>
      <c r="G415" s="42" t="str">
        <f t="shared" si="3"/>
        <v/>
      </c>
      <c r="H415" s="33" t="str">
        <f t="shared" si="4"/>
        <v/>
      </c>
    </row>
    <row r="416" ht="15.75" customHeight="1">
      <c r="A416" s="33" t="str">
        <f>IF(COSTING!A416="","",COSTING!A416)</f>
        <v/>
      </c>
      <c r="B416" s="38" t="str">
        <f>IF(A416="","",COSTING!J416)</f>
        <v/>
      </c>
      <c r="C416" s="38" t="str">
        <f>IF(A416="","",COSTING!I416)</f>
        <v/>
      </c>
      <c r="D416" s="38" t="str">
        <f t="shared" si="1"/>
        <v/>
      </c>
      <c r="E416" s="42" t="str">
        <f t="shared" si="2"/>
        <v/>
      </c>
      <c r="F416" s="42" t="str">
        <f>IF(A416="","",SETUP_RATES!$K$5)</f>
        <v/>
      </c>
      <c r="G416" s="42" t="str">
        <f t="shared" si="3"/>
        <v/>
      </c>
      <c r="H416" s="33" t="str">
        <f t="shared" si="4"/>
        <v/>
      </c>
    </row>
    <row r="417" ht="15.75" customHeight="1">
      <c r="A417" s="33" t="str">
        <f>IF(COSTING!A417="","",COSTING!A417)</f>
        <v/>
      </c>
      <c r="B417" s="38" t="str">
        <f>IF(A417="","",COSTING!J417)</f>
        <v/>
      </c>
      <c r="C417" s="38" t="str">
        <f>IF(A417="","",COSTING!I417)</f>
        <v/>
      </c>
      <c r="D417" s="38" t="str">
        <f t="shared" si="1"/>
        <v/>
      </c>
      <c r="E417" s="42" t="str">
        <f t="shared" si="2"/>
        <v/>
      </c>
      <c r="F417" s="42" t="str">
        <f>IF(A417="","",SETUP_RATES!$K$5)</f>
        <v/>
      </c>
      <c r="G417" s="42" t="str">
        <f t="shared" si="3"/>
        <v/>
      </c>
      <c r="H417" s="33" t="str">
        <f t="shared" si="4"/>
        <v/>
      </c>
    </row>
    <row r="418" ht="15.75" customHeight="1">
      <c r="A418" s="33" t="str">
        <f>IF(COSTING!A418="","",COSTING!A418)</f>
        <v/>
      </c>
      <c r="B418" s="38" t="str">
        <f>IF(A418="","",COSTING!J418)</f>
        <v/>
      </c>
      <c r="C418" s="38" t="str">
        <f>IF(A418="","",COSTING!I418)</f>
        <v/>
      </c>
      <c r="D418" s="38" t="str">
        <f t="shared" si="1"/>
        <v/>
      </c>
      <c r="E418" s="42" t="str">
        <f t="shared" si="2"/>
        <v/>
      </c>
      <c r="F418" s="42" t="str">
        <f>IF(A418="","",SETUP_RATES!$K$5)</f>
        <v/>
      </c>
      <c r="G418" s="42" t="str">
        <f t="shared" si="3"/>
        <v/>
      </c>
      <c r="H418" s="33" t="str">
        <f t="shared" si="4"/>
        <v/>
      </c>
    </row>
    <row r="419" ht="15.75" customHeight="1">
      <c r="A419" s="33" t="str">
        <f>IF(COSTING!A419="","",COSTING!A419)</f>
        <v/>
      </c>
      <c r="B419" s="38" t="str">
        <f>IF(A419="","",COSTING!J419)</f>
        <v/>
      </c>
      <c r="C419" s="38" t="str">
        <f>IF(A419="","",COSTING!I419)</f>
        <v/>
      </c>
      <c r="D419" s="38" t="str">
        <f t="shared" si="1"/>
        <v/>
      </c>
      <c r="E419" s="42" t="str">
        <f t="shared" si="2"/>
        <v/>
      </c>
      <c r="F419" s="42" t="str">
        <f>IF(A419="","",SETUP_RATES!$K$5)</f>
        <v/>
      </c>
      <c r="G419" s="42" t="str">
        <f t="shared" si="3"/>
        <v/>
      </c>
      <c r="H419" s="33" t="str">
        <f t="shared" si="4"/>
        <v/>
      </c>
    </row>
    <row r="420" ht="15.75" customHeight="1">
      <c r="A420" s="33" t="str">
        <f>IF(COSTING!A420="","",COSTING!A420)</f>
        <v/>
      </c>
      <c r="B420" s="38" t="str">
        <f>IF(A420="","",COSTING!J420)</f>
        <v/>
      </c>
      <c r="C420" s="38" t="str">
        <f>IF(A420="","",COSTING!I420)</f>
        <v/>
      </c>
      <c r="D420" s="38" t="str">
        <f t="shared" si="1"/>
        <v/>
      </c>
      <c r="E420" s="42" t="str">
        <f t="shared" si="2"/>
        <v/>
      </c>
      <c r="F420" s="42" t="str">
        <f>IF(A420="","",SETUP_RATES!$K$5)</f>
        <v/>
      </c>
      <c r="G420" s="42" t="str">
        <f t="shared" si="3"/>
        <v/>
      </c>
      <c r="H420" s="33" t="str">
        <f t="shared" si="4"/>
        <v/>
      </c>
    </row>
    <row r="421" ht="15.75" customHeight="1">
      <c r="A421" s="33" t="str">
        <f>IF(COSTING!A421="","",COSTING!A421)</f>
        <v/>
      </c>
      <c r="B421" s="38" t="str">
        <f>IF(A421="","",COSTING!J421)</f>
        <v/>
      </c>
      <c r="C421" s="38" t="str">
        <f>IF(A421="","",COSTING!I421)</f>
        <v/>
      </c>
      <c r="D421" s="38" t="str">
        <f t="shared" si="1"/>
        <v/>
      </c>
      <c r="E421" s="42" t="str">
        <f t="shared" si="2"/>
        <v/>
      </c>
      <c r="F421" s="42" t="str">
        <f>IF(A421="","",SETUP_RATES!$K$5)</f>
        <v/>
      </c>
      <c r="G421" s="42" t="str">
        <f t="shared" si="3"/>
        <v/>
      </c>
      <c r="H421" s="33" t="str">
        <f t="shared" si="4"/>
        <v/>
      </c>
    </row>
    <row r="422" ht="15.75" customHeight="1">
      <c r="A422" s="33" t="str">
        <f>IF(COSTING!A422="","",COSTING!A422)</f>
        <v/>
      </c>
      <c r="B422" s="38" t="str">
        <f>IF(A422="","",COSTING!J422)</f>
        <v/>
      </c>
      <c r="C422" s="38" t="str">
        <f>IF(A422="","",COSTING!I422)</f>
        <v/>
      </c>
      <c r="D422" s="38" t="str">
        <f t="shared" si="1"/>
        <v/>
      </c>
      <c r="E422" s="42" t="str">
        <f t="shared" si="2"/>
        <v/>
      </c>
      <c r="F422" s="42" t="str">
        <f>IF(A422="","",SETUP_RATES!$K$5)</f>
        <v/>
      </c>
      <c r="G422" s="42" t="str">
        <f t="shared" si="3"/>
        <v/>
      </c>
      <c r="H422" s="33" t="str">
        <f t="shared" si="4"/>
        <v/>
      </c>
    </row>
    <row r="423" ht="15.75" customHeight="1">
      <c r="A423" s="33" t="str">
        <f>IF(COSTING!A423="","",COSTING!A423)</f>
        <v/>
      </c>
      <c r="B423" s="38" t="str">
        <f>IF(A423="","",COSTING!J423)</f>
        <v/>
      </c>
      <c r="C423" s="38" t="str">
        <f>IF(A423="","",COSTING!I423)</f>
        <v/>
      </c>
      <c r="D423" s="38" t="str">
        <f t="shared" si="1"/>
        <v/>
      </c>
      <c r="E423" s="42" t="str">
        <f t="shared" si="2"/>
        <v/>
      </c>
      <c r="F423" s="42" t="str">
        <f>IF(A423="","",SETUP_RATES!$K$5)</f>
        <v/>
      </c>
      <c r="G423" s="42" t="str">
        <f t="shared" si="3"/>
        <v/>
      </c>
      <c r="H423" s="33" t="str">
        <f t="shared" si="4"/>
        <v/>
      </c>
    </row>
    <row r="424" ht="15.75" customHeight="1">
      <c r="A424" s="33" t="str">
        <f>IF(COSTING!A424="","",COSTING!A424)</f>
        <v/>
      </c>
      <c r="B424" s="38" t="str">
        <f>IF(A424="","",COSTING!J424)</f>
        <v/>
      </c>
      <c r="C424" s="38" t="str">
        <f>IF(A424="","",COSTING!I424)</f>
        <v/>
      </c>
      <c r="D424" s="38" t="str">
        <f t="shared" si="1"/>
        <v/>
      </c>
      <c r="E424" s="42" t="str">
        <f t="shared" si="2"/>
        <v/>
      </c>
      <c r="F424" s="42" t="str">
        <f>IF(A424="","",SETUP_RATES!$K$5)</f>
        <v/>
      </c>
      <c r="G424" s="42" t="str">
        <f t="shared" si="3"/>
        <v/>
      </c>
      <c r="H424" s="33" t="str">
        <f t="shared" si="4"/>
        <v/>
      </c>
    </row>
    <row r="425" ht="15.75" customHeight="1">
      <c r="A425" s="33" t="str">
        <f>IF(COSTING!A425="","",COSTING!A425)</f>
        <v/>
      </c>
      <c r="B425" s="38" t="str">
        <f>IF(A425="","",COSTING!J425)</f>
        <v/>
      </c>
      <c r="C425" s="38" t="str">
        <f>IF(A425="","",COSTING!I425)</f>
        <v/>
      </c>
      <c r="D425" s="38" t="str">
        <f t="shared" si="1"/>
        <v/>
      </c>
      <c r="E425" s="42" t="str">
        <f t="shared" si="2"/>
        <v/>
      </c>
      <c r="F425" s="42" t="str">
        <f>IF(A425="","",SETUP_RATES!$K$5)</f>
        <v/>
      </c>
      <c r="G425" s="42" t="str">
        <f t="shared" si="3"/>
        <v/>
      </c>
      <c r="H425" s="33" t="str">
        <f t="shared" si="4"/>
        <v/>
      </c>
    </row>
    <row r="426" ht="15.75" customHeight="1">
      <c r="A426" s="33" t="str">
        <f>IF(COSTING!A426="","",COSTING!A426)</f>
        <v/>
      </c>
      <c r="B426" s="38" t="str">
        <f>IF(A426="","",COSTING!J426)</f>
        <v/>
      </c>
      <c r="C426" s="38" t="str">
        <f>IF(A426="","",COSTING!I426)</f>
        <v/>
      </c>
      <c r="D426" s="38" t="str">
        <f t="shared" si="1"/>
        <v/>
      </c>
      <c r="E426" s="42" t="str">
        <f t="shared" si="2"/>
        <v/>
      </c>
      <c r="F426" s="42" t="str">
        <f>IF(A426="","",SETUP_RATES!$K$5)</f>
        <v/>
      </c>
      <c r="G426" s="42" t="str">
        <f t="shared" si="3"/>
        <v/>
      </c>
      <c r="H426" s="33" t="str">
        <f t="shared" si="4"/>
        <v/>
      </c>
    </row>
    <row r="427" ht="15.75" customHeight="1">
      <c r="A427" s="33" t="str">
        <f>IF(COSTING!A427="","",COSTING!A427)</f>
        <v/>
      </c>
      <c r="B427" s="38" t="str">
        <f>IF(A427="","",COSTING!J427)</f>
        <v/>
      </c>
      <c r="C427" s="38" t="str">
        <f>IF(A427="","",COSTING!I427)</f>
        <v/>
      </c>
      <c r="D427" s="38" t="str">
        <f t="shared" si="1"/>
        <v/>
      </c>
      <c r="E427" s="42" t="str">
        <f t="shared" si="2"/>
        <v/>
      </c>
      <c r="F427" s="42" t="str">
        <f>IF(A427="","",SETUP_RATES!$K$5)</f>
        <v/>
      </c>
      <c r="G427" s="42" t="str">
        <f t="shared" si="3"/>
        <v/>
      </c>
      <c r="H427" s="33" t="str">
        <f t="shared" si="4"/>
        <v/>
      </c>
    </row>
    <row r="428" ht="15.75" customHeight="1">
      <c r="A428" s="33" t="str">
        <f>IF(COSTING!A428="","",COSTING!A428)</f>
        <v/>
      </c>
      <c r="B428" s="38" t="str">
        <f>IF(A428="","",COSTING!J428)</f>
        <v/>
      </c>
      <c r="C428" s="38" t="str">
        <f>IF(A428="","",COSTING!I428)</f>
        <v/>
      </c>
      <c r="D428" s="38" t="str">
        <f t="shared" si="1"/>
        <v/>
      </c>
      <c r="E428" s="42" t="str">
        <f t="shared" si="2"/>
        <v/>
      </c>
      <c r="F428" s="42" t="str">
        <f>IF(A428="","",SETUP_RATES!$K$5)</f>
        <v/>
      </c>
      <c r="G428" s="42" t="str">
        <f t="shared" si="3"/>
        <v/>
      </c>
      <c r="H428" s="33" t="str">
        <f t="shared" si="4"/>
        <v/>
      </c>
    </row>
    <row r="429" ht="15.75" customHeight="1">
      <c r="A429" s="33" t="str">
        <f>IF(COSTING!A429="","",COSTING!A429)</f>
        <v/>
      </c>
      <c r="B429" s="38" t="str">
        <f>IF(A429="","",COSTING!J429)</f>
        <v/>
      </c>
      <c r="C429" s="38" t="str">
        <f>IF(A429="","",COSTING!I429)</f>
        <v/>
      </c>
      <c r="D429" s="38" t="str">
        <f t="shared" si="1"/>
        <v/>
      </c>
      <c r="E429" s="42" t="str">
        <f t="shared" si="2"/>
        <v/>
      </c>
      <c r="F429" s="42" t="str">
        <f>IF(A429="","",SETUP_RATES!$K$5)</f>
        <v/>
      </c>
      <c r="G429" s="42" t="str">
        <f t="shared" si="3"/>
        <v/>
      </c>
      <c r="H429" s="33" t="str">
        <f t="shared" si="4"/>
        <v/>
      </c>
    </row>
    <row r="430" ht="15.75" customHeight="1">
      <c r="A430" s="33" t="str">
        <f>IF(COSTING!A430="","",COSTING!A430)</f>
        <v/>
      </c>
      <c r="B430" s="38" t="str">
        <f>IF(A430="","",COSTING!J430)</f>
        <v/>
      </c>
      <c r="C430" s="38" t="str">
        <f>IF(A430="","",COSTING!I430)</f>
        <v/>
      </c>
      <c r="D430" s="38" t="str">
        <f t="shared" si="1"/>
        <v/>
      </c>
      <c r="E430" s="42" t="str">
        <f t="shared" si="2"/>
        <v/>
      </c>
      <c r="F430" s="42" t="str">
        <f>IF(A430="","",SETUP_RATES!$K$5)</f>
        <v/>
      </c>
      <c r="G430" s="42" t="str">
        <f t="shared" si="3"/>
        <v/>
      </c>
      <c r="H430" s="33" t="str">
        <f t="shared" si="4"/>
        <v/>
      </c>
    </row>
    <row r="431" ht="15.75" customHeight="1">
      <c r="A431" s="33" t="str">
        <f>IF(COSTING!A431="","",COSTING!A431)</f>
        <v/>
      </c>
      <c r="B431" s="38" t="str">
        <f>IF(A431="","",COSTING!J431)</f>
        <v/>
      </c>
      <c r="C431" s="38" t="str">
        <f>IF(A431="","",COSTING!I431)</f>
        <v/>
      </c>
      <c r="D431" s="38" t="str">
        <f t="shared" si="1"/>
        <v/>
      </c>
      <c r="E431" s="42" t="str">
        <f t="shared" si="2"/>
        <v/>
      </c>
      <c r="F431" s="42" t="str">
        <f>IF(A431="","",SETUP_RATES!$K$5)</f>
        <v/>
      </c>
      <c r="G431" s="42" t="str">
        <f t="shared" si="3"/>
        <v/>
      </c>
      <c r="H431" s="33" t="str">
        <f t="shared" si="4"/>
        <v/>
      </c>
    </row>
    <row r="432" ht="15.75" customHeight="1">
      <c r="A432" s="33" t="str">
        <f>IF(COSTING!A432="","",COSTING!A432)</f>
        <v/>
      </c>
      <c r="B432" s="38" t="str">
        <f>IF(A432="","",COSTING!J432)</f>
        <v/>
      </c>
      <c r="C432" s="38" t="str">
        <f>IF(A432="","",COSTING!I432)</f>
        <v/>
      </c>
      <c r="D432" s="38" t="str">
        <f t="shared" si="1"/>
        <v/>
      </c>
      <c r="E432" s="42" t="str">
        <f t="shared" si="2"/>
        <v/>
      </c>
      <c r="F432" s="42" t="str">
        <f>IF(A432="","",SETUP_RATES!$K$5)</f>
        <v/>
      </c>
      <c r="G432" s="42" t="str">
        <f t="shared" si="3"/>
        <v/>
      </c>
      <c r="H432" s="33" t="str">
        <f t="shared" si="4"/>
        <v/>
      </c>
    </row>
    <row r="433" ht="15.75" customHeight="1">
      <c r="A433" s="33" t="str">
        <f>IF(COSTING!A433="","",COSTING!A433)</f>
        <v/>
      </c>
      <c r="B433" s="38" t="str">
        <f>IF(A433="","",COSTING!J433)</f>
        <v/>
      </c>
      <c r="C433" s="38" t="str">
        <f>IF(A433="","",COSTING!I433)</f>
        <v/>
      </c>
      <c r="D433" s="38" t="str">
        <f t="shared" si="1"/>
        <v/>
      </c>
      <c r="E433" s="42" t="str">
        <f t="shared" si="2"/>
        <v/>
      </c>
      <c r="F433" s="42" t="str">
        <f>IF(A433="","",SETUP_RATES!$K$5)</f>
        <v/>
      </c>
      <c r="G433" s="42" t="str">
        <f t="shared" si="3"/>
        <v/>
      </c>
      <c r="H433" s="33" t="str">
        <f t="shared" si="4"/>
        <v/>
      </c>
    </row>
    <row r="434" ht="15.75" customHeight="1">
      <c r="A434" s="33" t="str">
        <f>IF(COSTING!A434="","",COSTING!A434)</f>
        <v/>
      </c>
      <c r="B434" s="38" t="str">
        <f>IF(A434="","",COSTING!J434)</f>
        <v/>
      </c>
      <c r="C434" s="38" t="str">
        <f>IF(A434="","",COSTING!I434)</f>
        <v/>
      </c>
      <c r="D434" s="38" t="str">
        <f t="shared" si="1"/>
        <v/>
      </c>
      <c r="E434" s="42" t="str">
        <f t="shared" si="2"/>
        <v/>
      </c>
      <c r="F434" s="42" t="str">
        <f>IF(A434="","",SETUP_RATES!$K$5)</f>
        <v/>
      </c>
      <c r="G434" s="42" t="str">
        <f t="shared" si="3"/>
        <v/>
      </c>
      <c r="H434" s="33" t="str">
        <f t="shared" si="4"/>
        <v/>
      </c>
    </row>
    <row r="435" ht="15.75" customHeight="1">
      <c r="A435" s="33" t="str">
        <f>IF(COSTING!A435="","",COSTING!A435)</f>
        <v/>
      </c>
      <c r="B435" s="38" t="str">
        <f>IF(A435="","",COSTING!J435)</f>
        <v/>
      </c>
      <c r="C435" s="38" t="str">
        <f>IF(A435="","",COSTING!I435)</f>
        <v/>
      </c>
      <c r="D435" s="38" t="str">
        <f t="shared" si="1"/>
        <v/>
      </c>
      <c r="E435" s="42" t="str">
        <f t="shared" si="2"/>
        <v/>
      </c>
      <c r="F435" s="42" t="str">
        <f>IF(A435="","",SETUP_RATES!$K$5)</f>
        <v/>
      </c>
      <c r="G435" s="42" t="str">
        <f t="shared" si="3"/>
        <v/>
      </c>
      <c r="H435" s="33" t="str">
        <f t="shared" si="4"/>
        <v/>
      </c>
    </row>
    <row r="436" ht="15.75" customHeight="1">
      <c r="A436" s="33" t="str">
        <f>IF(COSTING!A436="","",COSTING!A436)</f>
        <v/>
      </c>
      <c r="B436" s="38" t="str">
        <f>IF(A436="","",COSTING!J436)</f>
        <v/>
      </c>
      <c r="C436" s="38" t="str">
        <f>IF(A436="","",COSTING!I436)</f>
        <v/>
      </c>
      <c r="D436" s="38" t="str">
        <f t="shared" si="1"/>
        <v/>
      </c>
      <c r="E436" s="42" t="str">
        <f t="shared" si="2"/>
        <v/>
      </c>
      <c r="F436" s="42" t="str">
        <f>IF(A436="","",SETUP_RATES!$K$5)</f>
        <v/>
      </c>
      <c r="G436" s="42" t="str">
        <f t="shared" si="3"/>
        <v/>
      </c>
      <c r="H436" s="33" t="str">
        <f t="shared" si="4"/>
        <v/>
      </c>
    </row>
    <row r="437" ht="15.75" customHeight="1">
      <c r="A437" s="33" t="str">
        <f>IF(COSTING!A437="","",COSTING!A437)</f>
        <v/>
      </c>
      <c r="B437" s="38" t="str">
        <f>IF(A437="","",COSTING!J437)</f>
        <v/>
      </c>
      <c r="C437" s="38" t="str">
        <f>IF(A437="","",COSTING!I437)</f>
        <v/>
      </c>
      <c r="D437" s="38" t="str">
        <f t="shared" si="1"/>
        <v/>
      </c>
      <c r="E437" s="42" t="str">
        <f t="shared" si="2"/>
        <v/>
      </c>
      <c r="F437" s="42" t="str">
        <f>IF(A437="","",SETUP_RATES!$K$5)</f>
        <v/>
      </c>
      <c r="G437" s="42" t="str">
        <f t="shared" si="3"/>
        <v/>
      </c>
      <c r="H437" s="33" t="str">
        <f t="shared" si="4"/>
        <v/>
      </c>
    </row>
    <row r="438" ht="15.75" customHeight="1">
      <c r="A438" s="33" t="str">
        <f>IF(COSTING!A438="","",COSTING!A438)</f>
        <v/>
      </c>
      <c r="B438" s="38" t="str">
        <f>IF(A438="","",COSTING!J438)</f>
        <v/>
      </c>
      <c r="C438" s="38" t="str">
        <f>IF(A438="","",COSTING!I438)</f>
        <v/>
      </c>
      <c r="D438" s="38" t="str">
        <f t="shared" si="1"/>
        <v/>
      </c>
      <c r="E438" s="42" t="str">
        <f t="shared" si="2"/>
        <v/>
      </c>
      <c r="F438" s="42" t="str">
        <f>IF(A438="","",SETUP_RATES!$K$5)</f>
        <v/>
      </c>
      <c r="G438" s="42" t="str">
        <f t="shared" si="3"/>
        <v/>
      </c>
      <c r="H438" s="33" t="str">
        <f t="shared" si="4"/>
        <v/>
      </c>
    </row>
    <row r="439" ht="15.75" customHeight="1">
      <c r="A439" s="33" t="str">
        <f>IF(COSTING!A439="","",COSTING!A439)</f>
        <v/>
      </c>
      <c r="B439" s="38" t="str">
        <f>IF(A439="","",COSTING!J439)</f>
        <v/>
      </c>
      <c r="C439" s="38" t="str">
        <f>IF(A439="","",COSTING!I439)</f>
        <v/>
      </c>
      <c r="D439" s="38" t="str">
        <f t="shared" si="1"/>
        <v/>
      </c>
      <c r="E439" s="42" t="str">
        <f t="shared" si="2"/>
        <v/>
      </c>
      <c r="F439" s="42" t="str">
        <f>IF(A439="","",SETUP_RATES!$K$5)</f>
        <v/>
      </c>
      <c r="G439" s="42" t="str">
        <f t="shared" si="3"/>
        <v/>
      </c>
      <c r="H439" s="33" t="str">
        <f t="shared" si="4"/>
        <v/>
      </c>
    </row>
    <row r="440" ht="15.75" customHeight="1">
      <c r="A440" s="33" t="str">
        <f>IF(COSTING!A440="","",COSTING!A440)</f>
        <v/>
      </c>
      <c r="B440" s="38" t="str">
        <f>IF(A440="","",COSTING!J440)</f>
        <v/>
      </c>
      <c r="C440" s="38" t="str">
        <f>IF(A440="","",COSTING!I440)</f>
        <v/>
      </c>
      <c r="D440" s="38" t="str">
        <f t="shared" si="1"/>
        <v/>
      </c>
      <c r="E440" s="42" t="str">
        <f t="shared" si="2"/>
        <v/>
      </c>
      <c r="F440" s="42" t="str">
        <f>IF(A440="","",SETUP_RATES!$K$5)</f>
        <v/>
      </c>
      <c r="G440" s="42" t="str">
        <f t="shared" si="3"/>
        <v/>
      </c>
      <c r="H440" s="33" t="str">
        <f t="shared" si="4"/>
        <v/>
      </c>
    </row>
    <row r="441" ht="15.75" customHeight="1">
      <c r="A441" s="33" t="str">
        <f>IF(COSTING!A441="","",COSTING!A441)</f>
        <v/>
      </c>
      <c r="B441" s="38" t="str">
        <f>IF(A441="","",COSTING!J441)</f>
        <v/>
      </c>
      <c r="C441" s="38" t="str">
        <f>IF(A441="","",COSTING!I441)</f>
        <v/>
      </c>
      <c r="D441" s="38" t="str">
        <f t="shared" si="1"/>
        <v/>
      </c>
      <c r="E441" s="42" t="str">
        <f t="shared" si="2"/>
        <v/>
      </c>
      <c r="F441" s="42" t="str">
        <f>IF(A441="","",SETUP_RATES!$K$5)</f>
        <v/>
      </c>
      <c r="G441" s="42" t="str">
        <f t="shared" si="3"/>
        <v/>
      </c>
      <c r="H441" s="33" t="str">
        <f t="shared" si="4"/>
        <v/>
      </c>
    </row>
    <row r="442" ht="15.75" customHeight="1">
      <c r="A442" s="33" t="str">
        <f>IF(COSTING!A442="","",COSTING!A442)</f>
        <v/>
      </c>
      <c r="B442" s="38" t="str">
        <f>IF(A442="","",COSTING!J442)</f>
        <v/>
      </c>
      <c r="C442" s="38" t="str">
        <f>IF(A442="","",COSTING!I442)</f>
        <v/>
      </c>
      <c r="D442" s="38" t="str">
        <f t="shared" si="1"/>
        <v/>
      </c>
      <c r="E442" s="42" t="str">
        <f t="shared" si="2"/>
        <v/>
      </c>
      <c r="F442" s="42" t="str">
        <f>IF(A442="","",SETUP_RATES!$K$5)</f>
        <v/>
      </c>
      <c r="G442" s="42" t="str">
        <f t="shared" si="3"/>
        <v/>
      </c>
      <c r="H442" s="33" t="str">
        <f t="shared" si="4"/>
        <v/>
      </c>
    </row>
    <row r="443" ht="15.75" customHeight="1">
      <c r="A443" s="33" t="str">
        <f>IF(COSTING!A443="","",COSTING!A443)</f>
        <v/>
      </c>
      <c r="B443" s="38" t="str">
        <f>IF(A443="","",COSTING!J443)</f>
        <v/>
      </c>
      <c r="C443" s="38" t="str">
        <f>IF(A443="","",COSTING!I443)</f>
        <v/>
      </c>
      <c r="D443" s="38" t="str">
        <f t="shared" si="1"/>
        <v/>
      </c>
      <c r="E443" s="42" t="str">
        <f t="shared" si="2"/>
        <v/>
      </c>
      <c r="F443" s="42" t="str">
        <f>IF(A443="","",SETUP_RATES!$K$5)</f>
        <v/>
      </c>
      <c r="G443" s="42" t="str">
        <f t="shared" si="3"/>
        <v/>
      </c>
      <c r="H443" s="33" t="str">
        <f t="shared" si="4"/>
        <v/>
      </c>
    </row>
    <row r="444" ht="15.75" customHeight="1">
      <c r="A444" s="33" t="str">
        <f>IF(COSTING!A444="","",COSTING!A444)</f>
        <v/>
      </c>
      <c r="B444" s="38" t="str">
        <f>IF(A444="","",COSTING!J444)</f>
        <v/>
      </c>
      <c r="C444" s="38" t="str">
        <f>IF(A444="","",COSTING!I444)</f>
        <v/>
      </c>
      <c r="D444" s="38" t="str">
        <f t="shared" si="1"/>
        <v/>
      </c>
      <c r="E444" s="42" t="str">
        <f t="shared" si="2"/>
        <v/>
      </c>
      <c r="F444" s="42" t="str">
        <f>IF(A444="","",SETUP_RATES!$K$5)</f>
        <v/>
      </c>
      <c r="G444" s="42" t="str">
        <f t="shared" si="3"/>
        <v/>
      </c>
      <c r="H444" s="33" t="str">
        <f t="shared" si="4"/>
        <v/>
      </c>
    </row>
    <row r="445" ht="15.75" customHeight="1">
      <c r="A445" s="33" t="str">
        <f>IF(COSTING!A445="","",COSTING!A445)</f>
        <v/>
      </c>
      <c r="B445" s="38" t="str">
        <f>IF(A445="","",COSTING!J445)</f>
        <v/>
      </c>
      <c r="C445" s="38" t="str">
        <f>IF(A445="","",COSTING!I445)</f>
        <v/>
      </c>
      <c r="D445" s="38" t="str">
        <f t="shared" si="1"/>
        <v/>
      </c>
      <c r="E445" s="42" t="str">
        <f t="shared" si="2"/>
        <v/>
      </c>
      <c r="F445" s="42" t="str">
        <f>IF(A445="","",SETUP_RATES!$K$5)</f>
        <v/>
      </c>
      <c r="G445" s="42" t="str">
        <f t="shared" si="3"/>
        <v/>
      </c>
      <c r="H445" s="33" t="str">
        <f t="shared" si="4"/>
        <v/>
      </c>
    </row>
    <row r="446" ht="15.75" customHeight="1">
      <c r="A446" s="33" t="str">
        <f>IF(COSTING!A446="","",COSTING!A446)</f>
        <v/>
      </c>
      <c r="B446" s="38" t="str">
        <f>IF(A446="","",COSTING!J446)</f>
        <v/>
      </c>
      <c r="C446" s="38" t="str">
        <f>IF(A446="","",COSTING!I446)</f>
        <v/>
      </c>
      <c r="D446" s="38" t="str">
        <f t="shared" si="1"/>
        <v/>
      </c>
      <c r="E446" s="42" t="str">
        <f t="shared" si="2"/>
        <v/>
      </c>
      <c r="F446" s="42" t="str">
        <f>IF(A446="","",SETUP_RATES!$K$5)</f>
        <v/>
      </c>
      <c r="G446" s="42" t="str">
        <f t="shared" si="3"/>
        <v/>
      </c>
      <c r="H446" s="33" t="str">
        <f t="shared" si="4"/>
        <v/>
      </c>
    </row>
    <row r="447" ht="15.75" customHeight="1">
      <c r="A447" s="33" t="str">
        <f>IF(COSTING!A447="","",COSTING!A447)</f>
        <v/>
      </c>
      <c r="B447" s="38" t="str">
        <f>IF(A447="","",COSTING!J447)</f>
        <v/>
      </c>
      <c r="C447" s="38" t="str">
        <f>IF(A447="","",COSTING!I447)</f>
        <v/>
      </c>
      <c r="D447" s="38" t="str">
        <f t="shared" si="1"/>
        <v/>
      </c>
      <c r="E447" s="42" t="str">
        <f t="shared" si="2"/>
        <v/>
      </c>
      <c r="F447" s="42" t="str">
        <f>IF(A447="","",SETUP_RATES!$K$5)</f>
        <v/>
      </c>
      <c r="G447" s="42" t="str">
        <f t="shared" si="3"/>
        <v/>
      </c>
      <c r="H447" s="33" t="str">
        <f t="shared" si="4"/>
        <v/>
      </c>
    </row>
    <row r="448" ht="15.75" customHeight="1">
      <c r="A448" s="33" t="str">
        <f>IF(COSTING!A448="","",COSTING!A448)</f>
        <v/>
      </c>
      <c r="B448" s="38" t="str">
        <f>IF(A448="","",COSTING!J448)</f>
        <v/>
      </c>
      <c r="C448" s="38" t="str">
        <f>IF(A448="","",COSTING!I448)</f>
        <v/>
      </c>
      <c r="D448" s="38" t="str">
        <f t="shared" si="1"/>
        <v/>
      </c>
      <c r="E448" s="42" t="str">
        <f t="shared" si="2"/>
        <v/>
      </c>
      <c r="F448" s="42" t="str">
        <f>IF(A448="","",SETUP_RATES!$K$5)</f>
        <v/>
      </c>
      <c r="G448" s="42" t="str">
        <f t="shared" si="3"/>
        <v/>
      </c>
      <c r="H448" s="33" t="str">
        <f t="shared" si="4"/>
        <v/>
      </c>
    </row>
    <row r="449" ht="15.75" customHeight="1">
      <c r="A449" s="33" t="str">
        <f>IF(COSTING!A449="","",COSTING!A449)</f>
        <v/>
      </c>
      <c r="B449" s="38" t="str">
        <f>IF(A449="","",COSTING!J449)</f>
        <v/>
      </c>
      <c r="C449" s="38" t="str">
        <f>IF(A449="","",COSTING!I449)</f>
        <v/>
      </c>
      <c r="D449" s="38" t="str">
        <f t="shared" si="1"/>
        <v/>
      </c>
      <c r="E449" s="42" t="str">
        <f t="shared" si="2"/>
        <v/>
      </c>
      <c r="F449" s="42" t="str">
        <f>IF(A449="","",SETUP_RATES!$K$5)</f>
        <v/>
      </c>
      <c r="G449" s="42" t="str">
        <f t="shared" si="3"/>
        <v/>
      </c>
      <c r="H449" s="33" t="str">
        <f t="shared" si="4"/>
        <v/>
      </c>
    </row>
    <row r="450" ht="15.75" customHeight="1">
      <c r="A450" s="33" t="str">
        <f>IF(COSTING!A450="","",COSTING!A450)</f>
        <v/>
      </c>
      <c r="B450" s="38" t="str">
        <f>IF(A450="","",COSTING!J450)</f>
        <v/>
      </c>
      <c r="C450" s="38" t="str">
        <f>IF(A450="","",COSTING!I450)</f>
        <v/>
      </c>
      <c r="D450" s="38" t="str">
        <f t="shared" si="1"/>
        <v/>
      </c>
      <c r="E450" s="42" t="str">
        <f t="shared" si="2"/>
        <v/>
      </c>
      <c r="F450" s="42" t="str">
        <f>IF(A450="","",SETUP_RATES!$K$5)</f>
        <v/>
      </c>
      <c r="G450" s="42" t="str">
        <f t="shared" si="3"/>
        <v/>
      </c>
      <c r="H450" s="33" t="str">
        <f t="shared" si="4"/>
        <v/>
      </c>
    </row>
    <row r="451" ht="15.75" customHeight="1">
      <c r="A451" s="33" t="str">
        <f>IF(COSTING!A451="","",COSTING!A451)</f>
        <v/>
      </c>
      <c r="B451" s="38" t="str">
        <f>IF(A451="","",COSTING!J451)</f>
        <v/>
      </c>
      <c r="C451" s="38" t="str">
        <f>IF(A451="","",COSTING!I451)</f>
        <v/>
      </c>
      <c r="D451" s="38" t="str">
        <f t="shared" si="1"/>
        <v/>
      </c>
      <c r="E451" s="42" t="str">
        <f t="shared" si="2"/>
        <v/>
      </c>
      <c r="F451" s="42" t="str">
        <f>IF(A451="","",SETUP_RATES!$K$5)</f>
        <v/>
      </c>
      <c r="G451" s="42" t="str">
        <f t="shared" si="3"/>
        <v/>
      </c>
      <c r="H451" s="33" t="str">
        <f t="shared" si="4"/>
        <v/>
      </c>
    </row>
    <row r="452" ht="15.75" customHeight="1">
      <c r="A452" s="33" t="str">
        <f>IF(COSTING!A452="","",COSTING!A452)</f>
        <v/>
      </c>
      <c r="B452" s="38" t="str">
        <f>IF(A452="","",COSTING!J452)</f>
        <v/>
      </c>
      <c r="C452" s="38" t="str">
        <f>IF(A452="","",COSTING!I452)</f>
        <v/>
      </c>
      <c r="D452" s="38" t="str">
        <f t="shared" si="1"/>
        <v/>
      </c>
      <c r="E452" s="42" t="str">
        <f t="shared" si="2"/>
        <v/>
      </c>
      <c r="F452" s="42" t="str">
        <f>IF(A452="","",SETUP_RATES!$K$5)</f>
        <v/>
      </c>
      <c r="G452" s="42" t="str">
        <f t="shared" si="3"/>
        <v/>
      </c>
      <c r="H452" s="33" t="str">
        <f t="shared" si="4"/>
        <v/>
      </c>
    </row>
    <row r="453" ht="15.75" customHeight="1">
      <c r="A453" s="33" t="str">
        <f>IF(COSTING!A453="","",COSTING!A453)</f>
        <v/>
      </c>
      <c r="B453" s="38" t="str">
        <f>IF(A453="","",COSTING!J453)</f>
        <v/>
      </c>
      <c r="C453" s="38" t="str">
        <f>IF(A453="","",COSTING!I453)</f>
        <v/>
      </c>
      <c r="D453" s="38" t="str">
        <f t="shared" si="1"/>
        <v/>
      </c>
      <c r="E453" s="42" t="str">
        <f t="shared" si="2"/>
        <v/>
      </c>
      <c r="F453" s="42" t="str">
        <f>IF(A453="","",SETUP_RATES!$K$5)</f>
        <v/>
      </c>
      <c r="G453" s="42" t="str">
        <f t="shared" si="3"/>
        <v/>
      </c>
      <c r="H453" s="33" t="str">
        <f t="shared" si="4"/>
        <v/>
      </c>
    </row>
    <row r="454" ht="15.75" customHeight="1">
      <c r="A454" s="33" t="str">
        <f>IF(COSTING!A454="","",COSTING!A454)</f>
        <v/>
      </c>
      <c r="B454" s="38" t="str">
        <f>IF(A454="","",COSTING!J454)</f>
        <v/>
      </c>
      <c r="C454" s="38" t="str">
        <f>IF(A454="","",COSTING!I454)</f>
        <v/>
      </c>
      <c r="D454" s="38" t="str">
        <f t="shared" si="1"/>
        <v/>
      </c>
      <c r="E454" s="42" t="str">
        <f t="shared" si="2"/>
        <v/>
      </c>
      <c r="F454" s="42" t="str">
        <f>IF(A454="","",SETUP_RATES!$K$5)</f>
        <v/>
      </c>
      <c r="G454" s="42" t="str">
        <f t="shared" si="3"/>
        <v/>
      </c>
      <c r="H454" s="33" t="str">
        <f t="shared" si="4"/>
        <v/>
      </c>
    </row>
    <row r="455" ht="15.75" customHeight="1">
      <c r="A455" s="33" t="str">
        <f>IF(COSTING!A455="","",COSTING!A455)</f>
        <v/>
      </c>
      <c r="B455" s="38" t="str">
        <f>IF(A455="","",COSTING!J455)</f>
        <v/>
      </c>
      <c r="C455" s="38" t="str">
        <f>IF(A455="","",COSTING!I455)</f>
        <v/>
      </c>
      <c r="D455" s="38" t="str">
        <f t="shared" si="1"/>
        <v/>
      </c>
      <c r="E455" s="42" t="str">
        <f t="shared" si="2"/>
        <v/>
      </c>
      <c r="F455" s="42" t="str">
        <f>IF(A455="","",SETUP_RATES!$K$5)</f>
        <v/>
      </c>
      <c r="G455" s="42" t="str">
        <f t="shared" si="3"/>
        <v/>
      </c>
      <c r="H455" s="33" t="str">
        <f t="shared" si="4"/>
        <v/>
      </c>
    </row>
    <row r="456" ht="15.75" customHeight="1">
      <c r="A456" s="33" t="str">
        <f>IF(COSTING!A456="","",COSTING!A456)</f>
        <v/>
      </c>
      <c r="B456" s="38" t="str">
        <f>IF(A456="","",COSTING!J456)</f>
        <v/>
      </c>
      <c r="C456" s="38" t="str">
        <f>IF(A456="","",COSTING!I456)</f>
        <v/>
      </c>
      <c r="D456" s="38" t="str">
        <f t="shared" si="1"/>
        <v/>
      </c>
      <c r="E456" s="42" t="str">
        <f t="shared" si="2"/>
        <v/>
      </c>
      <c r="F456" s="42" t="str">
        <f>IF(A456="","",SETUP_RATES!$K$5)</f>
        <v/>
      </c>
      <c r="G456" s="42" t="str">
        <f t="shared" si="3"/>
        <v/>
      </c>
      <c r="H456" s="33" t="str">
        <f t="shared" si="4"/>
        <v/>
      </c>
    </row>
    <row r="457" ht="15.75" customHeight="1">
      <c r="A457" s="33" t="str">
        <f>IF(COSTING!A457="","",COSTING!A457)</f>
        <v/>
      </c>
      <c r="B457" s="38" t="str">
        <f>IF(A457="","",COSTING!J457)</f>
        <v/>
      </c>
      <c r="C457" s="38" t="str">
        <f>IF(A457="","",COSTING!I457)</f>
        <v/>
      </c>
      <c r="D457" s="38" t="str">
        <f t="shared" si="1"/>
        <v/>
      </c>
      <c r="E457" s="42" t="str">
        <f t="shared" si="2"/>
        <v/>
      </c>
      <c r="F457" s="42" t="str">
        <f>IF(A457="","",SETUP_RATES!$K$5)</f>
        <v/>
      </c>
      <c r="G457" s="42" t="str">
        <f t="shared" si="3"/>
        <v/>
      </c>
      <c r="H457" s="33" t="str">
        <f t="shared" si="4"/>
        <v/>
      </c>
    </row>
    <row r="458" ht="15.75" customHeight="1">
      <c r="A458" s="33" t="str">
        <f>IF(COSTING!A458="","",COSTING!A458)</f>
        <v/>
      </c>
      <c r="B458" s="38" t="str">
        <f>IF(A458="","",COSTING!J458)</f>
        <v/>
      </c>
      <c r="C458" s="38" t="str">
        <f>IF(A458="","",COSTING!I458)</f>
        <v/>
      </c>
      <c r="D458" s="38" t="str">
        <f t="shared" si="1"/>
        <v/>
      </c>
      <c r="E458" s="42" t="str">
        <f t="shared" si="2"/>
        <v/>
      </c>
      <c r="F458" s="42" t="str">
        <f>IF(A458="","",SETUP_RATES!$K$5)</f>
        <v/>
      </c>
      <c r="G458" s="42" t="str">
        <f t="shared" si="3"/>
        <v/>
      </c>
      <c r="H458" s="33" t="str">
        <f t="shared" si="4"/>
        <v/>
      </c>
    </row>
    <row r="459" ht="15.75" customHeight="1">
      <c r="A459" s="33" t="str">
        <f>IF(COSTING!A459="","",COSTING!A459)</f>
        <v/>
      </c>
      <c r="B459" s="38" t="str">
        <f>IF(A459="","",COSTING!J459)</f>
        <v/>
      </c>
      <c r="C459" s="38" t="str">
        <f>IF(A459="","",COSTING!I459)</f>
        <v/>
      </c>
      <c r="D459" s="38" t="str">
        <f t="shared" si="1"/>
        <v/>
      </c>
      <c r="E459" s="42" t="str">
        <f t="shared" si="2"/>
        <v/>
      </c>
      <c r="F459" s="42" t="str">
        <f>IF(A459="","",SETUP_RATES!$K$5)</f>
        <v/>
      </c>
      <c r="G459" s="42" t="str">
        <f t="shared" si="3"/>
        <v/>
      </c>
      <c r="H459" s="33" t="str">
        <f t="shared" si="4"/>
        <v/>
      </c>
    </row>
    <row r="460" ht="15.75" customHeight="1">
      <c r="A460" s="33" t="str">
        <f>IF(COSTING!A460="","",COSTING!A460)</f>
        <v/>
      </c>
      <c r="B460" s="38" t="str">
        <f>IF(A460="","",COSTING!J460)</f>
        <v/>
      </c>
      <c r="C460" s="38" t="str">
        <f>IF(A460="","",COSTING!I460)</f>
        <v/>
      </c>
      <c r="D460" s="38" t="str">
        <f t="shared" si="1"/>
        <v/>
      </c>
      <c r="E460" s="42" t="str">
        <f t="shared" si="2"/>
        <v/>
      </c>
      <c r="F460" s="42" t="str">
        <f>IF(A460="","",SETUP_RATES!$K$5)</f>
        <v/>
      </c>
      <c r="G460" s="42" t="str">
        <f t="shared" si="3"/>
        <v/>
      </c>
      <c r="H460" s="33" t="str">
        <f t="shared" si="4"/>
        <v/>
      </c>
    </row>
    <row r="461" ht="15.75" customHeight="1">
      <c r="A461" s="33" t="str">
        <f>IF(COSTING!A461="","",COSTING!A461)</f>
        <v/>
      </c>
      <c r="B461" s="38" t="str">
        <f>IF(A461="","",COSTING!J461)</f>
        <v/>
      </c>
      <c r="C461" s="38" t="str">
        <f>IF(A461="","",COSTING!I461)</f>
        <v/>
      </c>
      <c r="D461" s="38" t="str">
        <f t="shared" si="1"/>
        <v/>
      </c>
      <c r="E461" s="42" t="str">
        <f t="shared" si="2"/>
        <v/>
      </c>
      <c r="F461" s="42" t="str">
        <f>IF(A461="","",SETUP_RATES!$K$5)</f>
        <v/>
      </c>
      <c r="G461" s="42" t="str">
        <f t="shared" si="3"/>
        <v/>
      </c>
      <c r="H461" s="33" t="str">
        <f t="shared" si="4"/>
        <v/>
      </c>
    </row>
    <row r="462" ht="15.75" customHeight="1">
      <c r="A462" s="33" t="str">
        <f>IF(COSTING!A462="","",COSTING!A462)</f>
        <v/>
      </c>
      <c r="B462" s="38" t="str">
        <f>IF(A462="","",COSTING!J462)</f>
        <v/>
      </c>
      <c r="C462" s="38" t="str">
        <f>IF(A462="","",COSTING!I462)</f>
        <v/>
      </c>
      <c r="D462" s="38" t="str">
        <f t="shared" si="1"/>
        <v/>
      </c>
      <c r="E462" s="42" t="str">
        <f t="shared" si="2"/>
        <v/>
      </c>
      <c r="F462" s="42" t="str">
        <f>IF(A462="","",SETUP_RATES!$K$5)</f>
        <v/>
      </c>
      <c r="G462" s="42" t="str">
        <f t="shared" si="3"/>
        <v/>
      </c>
      <c r="H462" s="33" t="str">
        <f t="shared" si="4"/>
        <v/>
      </c>
    </row>
    <row r="463" ht="15.75" customHeight="1">
      <c r="A463" s="33" t="str">
        <f>IF(COSTING!A463="","",COSTING!A463)</f>
        <v/>
      </c>
      <c r="B463" s="38" t="str">
        <f>IF(A463="","",COSTING!J463)</f>
        <v/>
      </c>
      <c r="C463" s="38" t="str">
        <f>IF(A463="","",COSTING!I463)</f>
        <v/>
      </c>
      <c r="D463" s="38" t="str">
        <f t="shared" si="1"/>
        <v/>
      </c>
      <c r="E463" s="42" t="str">
        <f t="shared" si="2"/>
        <v/>
      </c>
      <c r="F463" s="42" t="str">
        <f>IF(A463="","",SETUP_RATES!$K$5)</f>
        <v/>
      </c>
      <c r="G463" s="42" t="str">
        <f t="shared" si="3"/>
        <v/>
      </c>
      <c r="H463" s="33" t="str">
        <f t="shared" si="4"/>
        <v/>
      </c>
    </row>
    <row r="464" ht="15.75" customHeight="1">
      <c r="A464" s="33" t="str">
        <f>IF(COSTING!A464="","",COSTING!A464)</f>
        <v/>
      </c>
      <c r="B464" s="38" t="str">
        <f>IF(A464="","",COSTING!J464)</f>
        <v/>
      </c>
      <c r="C464" s="38" t="str">
        <f>IF(A464="","",COSTING!I464)</f>
        <v/>
      </c>
      <c r="D464" s="38" t="str">
        <f t="shared" si="1"/>
        <v/>
      </c>
      <c r="E464" s="42" t="str">
        <f t="shared" si="2"/>
        <v/>
      </c>
      <c r="F464" s="42" t="str">
        <f>IF(A464="","",SETUP_RATES!$K$5)</f>
        <v/>
      </c>
      <c r="G464" s="42" t="str">
        <f t="shared" si="3"/>
        <v/>
      </c>
      <c r="H464" s="33" t="str">
        <f t="shared" si="4"/>
        <v/>
      </c>
    </row>
    <row r="465" ht="15.75" customHeight="1">
      <c r="A465" s="33" t="str">
        <f>IF(COSTING!A465="","",COSTING!A465)</f>
        <v/>
      </c>
      <c r="B465" s="38" t="str">
        <f>IF(A465="","",COSTING!J465)</f>
        <v/>
      </c>
      <c r="C465" s="38" t="str">
        <f>IF(A465="","",COSTING!I465)</f>
        <v/>
      </c>
      <c r="D465" s="38" t="str">
        <f t="shared" si="1"/>
        <v/>
      </c>
      <c r="E465" s="42" t="str">
        <f t="shared" si="2"/>
        <v/>
      </c>
      <c r="F465" s="42" t="str">
        <f>IF(A465="","",SETUP_RATES!$K$5)</f>
        <v/>
      </c>
      <c r="G465" s="42" t="str">
        <f t="shared" si="3"/>
        <v/>
      </c>
      <c r="H465" s="33" t="str">
        <f t="shared" si="4"/>
        <v/>
      </c>
    </row>
    <row r="466" ht="15.75" customHeight="1">
      <c r="A466" s="33" t="str">
        <f>IF(COSTING!A466="","",COSTING!A466)</f>
        <v/>
      </c>
      <c r="B466" s="38" t="str">
        <f>IF(A466="","",COSTING!J466)</f>
        <v/>
      </c>
      <c r="C466" s="38" t="str">
        <f>IF(A466="","",COSTING!I466)</f>
        <v/>
      </c>
      <c r="D466" s="38" t="str">
        <f t="shared" si="1"/>
        <v/>
      </c>
      <c r="E466" s="42" t="str">
        <f t="shared" si="2"/>
        <v/>
      </c>
      <c r="F466" s="42" t="str">
        <f>IF(A466="","",SETUP_RATES!$K$5)</f>
        <v/>
      </c>
      <c r="G466" s="42" t="str">
        <f t="shared" si="3"/>
        <v/>
      </c>
      <c r="H466" s="33" t="str">
        <f t="shared" si="4"/>
        <v/>
      </c>
    </row>
    <row r="467" ht="15.75" customHeight="1">
      <c r="A467" s="33" t="str">
        <f>IF(COSTING!A467="","",COSTING!A467)</f>
        <v/>
      </c>
      <c r="B467" s="38" t="str">
        <f>IF(A467="","",COSTING!J467)</f>
        <v/>
      </c>
      <c r="C467" s="38" t="str">
        <f>IF(A467="","",COSTING!I467)</f>
        <v/>
      </c>
      <c r="D467" s="38" t="str">
        <f t="shared" si="1"/>
        <v/>
      </c>
      <c r="E467" s="42" t="str">
        <f t="shared" si="2"/>
        <v/>
      </c>
      <c r="F467" s="42" t="str">
        <f>IF(A467="","",SETUP_RATES!$K$5)</f>
        <v/>
      </c>
      <c r="G467" s="42" t="str">
        <f t="shared" si="3"/>
        <v/>
      </c>
      <c r="H467" s="33" t="str">
        <f t="shared" si="4"/>
        <v/>
      </c>
    </row>
    <row r="468" ht="15.75" customHeight="1">
      <c r="A468" s="33" t="str">
        <f>IF(COSTING!A468="","",COSTING!A468)</f>
        <v/>
      </c>
      <c r="B468" s="38" t="str">
        <f>IF(A468="","",COSTING!J468)</f>
        <v/>
      </c>
      <c r="C468" s="38" t="str">
        <f>IF(A468="","",COSTING!I468)</f>
        <v/>
      </c>
      <c r="D468" s="38" t="str">
        <f t="shared" si="1"/>
        <v/>
      </c>
      <c r="E468" s="42" t="str">
        <f t="shared" si="2"/>
        <v/>
      </c>
      <c r="F468" s="42" t="str">
        <f>IF(A468="","",SETUP_RATES!$K$5)</f>
        <v/>
      </c>
      <c r="G468" s="42" t="str">
        <f t="shared" si="3"/>
        <v/>
      </c>
      <c r="H468" s="33" t="str">
        <f t="shared" si="4"/>
        <v/>
      </c>
    </row>
    <row r="469" ht="15.75" customHeight="1">
      <c r="A469" s="33" t="str">
        <f>IF(COSTING!A469="","",COSTING!A469)</f>
        <v/>
      </c>
      <c r="B469" s="38" t="str">
        <f>IF(A469="","",COSTING!J469)</f>
        <v/>
      </c>
      <c r="C469" s="38" t="str">
        <f>IF(A469="","",COSTING!I469)</f>
        <v/>
      </c>
      <c r="D469" s="38" t="str">
        <f t="shared" si="1"/>
        <v/>
      </c>
      <c r="E469" s="42" t="str">
        <f t="shared" si="2"/>
        <v/>
      </c>
      <c r="F469" s="42" t="str">
        <f>IF(A469="","",SETUP_RATES!$K$5)</f>
        <v/>
      </c>
      <c r="G469" s="42" t="str">
        <f t="shared" si="3"/>
        <v/>
      </c>
      <c r="H469" s="33" t="str">
        <f t="shared" si="4"/>
        <v/>
      </c>
    </row>
    <row r="470" ht="15.75" customHeight="1">
      <c r="A470" s="33" t="str">
        <f>IF(COSTING!A470="","",COSTING!A470)</f>
        <v/>
      </c>
      <c r="B470" s="38" t="str">
        <f>IF(A470="","",COSTING!J470)</f>
        <v/>
      </c>
      <c r="C470" s="38" t="str">
        <f>IF(A470="","",COSTING!I470)</f>
        <v/>
      </c>
      <c r="D470" s="38" t="str">
        <f t="shared" si="1"/>
        <v/>
      </c>
      <c r="E470" s="42" t="str">
        <f t="shared" si="2"/>
        <v/>
      </c>
      <c r="F470" s="42" t="str">
        <f>IF(A470="","",SETUP_RATES!$K$5)</f>
        <v/>
      </c>
      <c r="G470" s="42" t="str">
        <f t="shared" si="3"/>
        <v/>
      </c>
      <c r="H470" s="33" t="str">
        <f t="shared" si="4"/>
        <v/>
      </c>
    </row>
    <row r="471" ht="15.75" customHeight="1">
      <c r="A471" s="33" t="str">
        <f>IF(COSTING!A471="","",COSTING!A471)</f>
        <v/>
      </c>
      <c r="B471" s="38" t="str">
        <f>IF(A471="","",COSTING!J471)</f>
        <v/>
      </c>
      <c r="C471" s="38" t="str">
        <f>IF(A471="","",COSTING!I471)</f>
        <v/>
      </c>
      <c r="D471" s="38" t="str">
        <f t="shared" si="1"/>
        <v/>
      </c>
      <c r="E471" s="42" t="str">
        <f t="shared" si="2"/>
        <v/>
      </c>
      <c r="F471" s="42" t="str">
        <f>IF(A471="","",SETUP_RATES!$K$5)</f>
        <v/>
      </c>
      <c r="G471" s="42" t="str">
        <f t="shared" si="3"/>
        <v/>
      </c>
      <c r="H471" s="33" t="str">
        <f t="shared" si="4"/>
        <v/>
      </c>
    </row>
    <row r="472" ht="15.75" customHeight="1">
      <c r="A472" s="33" t="str">
        <f>IF(COSTING!A472="","",COSTING!A472)</f>
        <v/>
      </c>
      <c r="B472" s="38" t="str">
        <f>IF(A472="","",COSTING!J472)</f>
        <v/>
      </c>
      <c r="C472" s="38" t="str">
        <f>IF(A472="","",COSTING!I472)</f>
        <v/>
      </c>
      <c r="D472" s="38" t="str">
        <f t="shared" si="1"/>
        <v/>
      </c>
      <c r="E472" s="42" t="str">
        <f t="shared" si="2"/>
        <v/>
      </c>
      <c r="F472" s="42" t="str">
        <f>IF(A472="","",SETUP_RATES!$K$5)</f>
        <v/>
      </c>
      <c r="G472" s="42" t="str">
        <f t="shared" si="3"/>
        <v/>
      </c>
      <c r="H472" s="33" t="str">
        <f t="shared" si="4"/>
        <v/>
      </c>
    </row>
    <row r="473" ht="15.75" customHeight="1">
      <c r="A473" s="33" t="str">
        <f>IF(COSTING!A473="","",COSTING!A473)</f>
        <v/>
      </c>
      <c r="B473" s="38" t="str">
        <f>IF(A473="","",COSTING!J473)</f>
        <v/>
      </c>
      <c r="C473" s="38" t="str">
        <f>IF(A473="","",COSTING!I473)</f>
        <v/>
      </c>
      <c r="D473" s="38" t="str">
        <f t="shared" si="1"/>
        <v/>
      </c>
      <c r="E473" s="42" t="str">
        <f t="shared" si="2"/>
        <v/>
      </c>
      <c r="F473" s="42" t="str">
        <f>IF(A473="","",SETUP_RATES!$K$5)</f>
        <v/>
      </c>
      <c r="G473" s="42" t="str">
        <f t="shared" si="3"/>
        <v/>
      </c>
      <c r="H473" s="33" t="str">
        <f t="shared" si="4"/>
        <v/>
      </c>
    </row>
    <row r="474" ht="15.75" customHeight="1">
      <c r="A474" s="33" t="str">
        <f>IF(COSTING!A474="","",COSTING!A474)</f>
        <v/>
      </c>
      <c r="B474" s="38" t="str">
        <f>IF(A474="","",COSTING!J474)</f>
        <v/>
      </c>
      <c r="C474" s="38" t="str">
        <f>IF(A474="","",COSTING!I474)</f>
        <v/>
      </c>
      <c r="D474" s="38" t="str">
        <f t="shared" si="1"/>
        <v/>
      </c>
      <c r="E474" s="42" t="str">
        <f t="shared" si="2"/>
        <v/>
      </c>
      <c r="F474" s="42" t="str">
        <f>IF(A474="","",SETUP_RATES!$K$5)</f>
        <v/>
      </c>
      <c r="G474" s="42" t="str">
        <f t="shared" si="3"/>
        <v/>
      </c>
      <c r="H474" s="33" t="str">
        <f t="shared" si="4"/>
        <v/>
      </c>
    </row>
    <row r="475" ht="15.75" customHeight="1">
      <c r="A475" s="33" t="str">
        <f>IF(COSTING!A475="","",COSTING!A475)</f>
        <v/>
      </c>
      <c r="B475" s="38" t="str">
        <f>IF(A475="","",COSTING!J475)</f>
        <v/>
      </c>
      <c r="C475" s="38" t="str">
        <f>IF(A475="","",COSTING!I475)</f>
        <v/>
      </c>
      <c r="D475" s="38" t="str">
        <f t="shared" si="1"/>
        <v/>
      </c>
      <c r="E475" s="42" t="str">
        <f t="shared" si="2"/>
        <v/>
      </c>
      <c r="F475" s="42" t="str">
        <f>IF(A475="","",SETUP_RATES!$K$5)</f>
        <v/>
      </c>
      <c r="G475" s="42" t="str">
        <f t="shared" si="3"/>
        <v/>
      </c>
      <c r="H475" s="33" t="str">
        <f t="shared" si="4"/>
        <v/>
      </c>
    </row>
    <row r="476" ht="15.75" customHeight="1">
      <c r="A476" s="33" t="str">
        <f>IF(COSTING!A476="","",COSTING!A476)</f>
        <v/>
      </c>
      <c r="B476" s="38" t="str">
        <f>IF(A476="","",COSTING!J476)</f>
        <v/>
      </c>
      <c r="C476" s="38" t="str">
        <f>IF(A476="","",COSTING!I476)</f>
        <v/>
      </c>
      <c r="D476" s="38" t="str">
        <f t="shared" si="1"/>
        <v/>
      </c>
      <c r="E476" s="42" t="str">
        <f t="shared" si="2"/>
        <v/>
      </c>
      <c r="F476" s="42" t="str">
        <f>IF(A476="","",SETUP_RATES!$K$5)</f>
        <v/>
      </c>
      <c r="G476" s="42" t="str">
        <f t="shared" si="3"/>
        <v/>
      </c>
      <c r="H476" s="33" t="str">
        <f t="shared" si="4"/>
        <v/>
      </c>
    </row>
    <row r="477" ht="15.75" customHeight="1">
      <c r="A477" s="33" t="str">
        <f>IF(COSTING!A477="","",COSTING!A477)</f>
        <v/>
      </c>
      <c r="B477" s="38" t="str">
        <f>IF(A477="","",COSTING!J477)</f>
        <v/>
      </c>
      <c r="C477" s="38" t="str">
        <f>IF(A477="","",COSTING!I477)</f>
        <v/>
      </c>
      <c r="D477" s="38" t="str">
        <f t="shared" si="1"/>
        <v/>
      </c>
      <c r="E477" s="42" t="str">
        <f t="shared" si="2"/>
        <v/>
      </c>
      <c r="F477" s="42" t="str">
        <f>IF(A477="","",SETUP_RATES!$K$5)</f>
        <v/>
      </c>
      <c r="G477" s="42" t="str">
        <f t="shared" si="3"/>
        <v/>
      </c>
      <c r="H477" s="33" t="str">
        <f t="shared" si="4"/>
        <v/>
      </c>
    </row>
    <row r="478" ht="15.75" customHeight="1">
      <c r="A478" s="33" t="str">
        <f>IF(COSTING!A478="","",COSTING!A478)</f>
        <v/>
      </c>
      <c r="B478" s="38" t="str">
        <f>IF(A478="","",COSTING!J478)</f>
        <v/>
      </c>
      <c r="C478" s="38" t="str">
        <f>IF(A478="","",COSTING!I478)</f>
        <v/>
      </c>
      <c r="D478" s="38" t="str">
        <f t="shared" si="1"/>
        <v/>
      </c>
      <c r="E478" s="42" t="str">
        <f t="shared" si="2"/>
        <v/>
      </c>
      <c r="F478" s="42" t="str">
        <f>IF(A478="","",SETUP_RATES!$K$5)</f>
        <v/>
      </c>
      <c r="G478" s="42" t="str">
        <f t="shared" si="3"/>
        <v/>
      </c>
      <c r="H478" s="33" t="str">
        <f t="shared" si="4"/>
        <v/>
      </c>
    </row>
    <row r="479" ht="15.75" customHeight="1">
      <c r="A479" s="33" t="str">
        <f>IF(COSTING!A479="","",COSTING!A479)</f>
        <v/>
      </c>
      <c r="B479" s="38" t="str">
        <f>IF(A479="","",COSTING!J479)</f>
        <v/>
      </c>
      <c r="C479" s="38" t="str">
        <f>IF(A479="","",COSTING!I479)</f>
        <v/>
      </c>
      <c r="D479" s="38" t="str">
        <f t="shared" si="1"/>
        <v/>
      </c>
      <c r="E479" s="42" t="str">
        <f t="shared" si="2"/>
        <v/>
      </c>
      <c r="F479" s="42" t="str">
        <f>IF(A479="","",SETUP_RATES!$K$5)</f>
        <v/>
      </c>
      <c r="G479" s="42" t="str">
        <f t="shared" si="3"/>
        <v/>
      </c>
      <c r="H479" s="33" t="str">
        <f t="shared" si="4"/>
        <v/>
      </c>
    </row>
    <row r="480" ht="15.75" customHeight="1">
      <c r="A480" s="33" t="str">
        <f>IF(COSTING!A480="","",COSTING!A480)</f>
        <v/>
      </c>
      <c r="B480" s="38" t="str">
        <f>IF(A480="","",COSTING!J480)</f>
        <v/>
      </c>
      <c r="C480" s="38" t="str">
        <f>IF(A480="","",COSTING!I480)</f>
        <v/>
      </c>
      <c r="D480" s="38" t="str">
        <f t="shared" si="1"/>
        <v/>
      </c>
      <c r="E480" s="42" t="str">
        <f t="shared" si="2"/>
        <v/>
      </c>
      <c r="F480" s="42" t="str">
        <f>IF(A480="","",SETUP_RATES!$K$5)</f>
        <v/>
      </c>
      <c r="G480" s="42" t="str">
        <f t="shared" si="3"/>
        <v/>
      </c>
      <c r="H480" s="33" t="str">
        <f t="shared" si="4"/>
        <v/>
      </c>
    </row>
    <row r="481" ht="15.75" customHeight="1">
      <c r="A481" s="33" t="str">
        <f>IF(COSTING!A481="","",COSTING!A481)</f>
        <v/>
      </c>
      <c r="B481" s="38" t="str">
        <f>IF(A481="","",COSTING!J481)</f>
        <v/>
      </c>
      <c r="C481" s="38" t="str">
        <f>IF(A481="","",COSTING!I481)</f>
        <v/>
      </c>
      <c r="D481" s="38" t="str">
        <f t="shared" si="1"/>
        <v/>
      </c>
      <c r="E481" s="42" t="str">
        <f t="shared" si="2"/>
        <v/>
      </c>
      <c r="F481" s="42" t="str">
        <f>IF(A481="","",SETUP_RATES!$K$5)</f>
        <v/>
      </c>
      <c r="G481" s="42" t="str">
        <f t="shared" si="3"/>
        <v/>
      </c>
      <c r="H481" s="33" t="str">
        <f t="shared" si="4"/>
        <v/>
      </c>
    </row>
    <row r="482" ht="15.75" customHeight="1">
      <c r="A482" s="33" t="str">
        <f>IF(COSTING!A482="","",COSTING!A482)</f>
        <v/>
      </c>
      <c r="B482" s="38" t="str">
        <f>IF(A482="","",COSTING!J482)</f>
        <v/>
      </c>
      <c r="C482" s="38" t="str">
        <f>IF(A482="","",COSTING!I482)</f>
        <v/>
      </c>
      <c r="D482" s="38" t="str">
        <f t="shared" si="1"/>
        <v/>
      </c>
      <c r="E482" s="42" t="str">
        <f t="shared" si="2"/>
        <v/>
      </c>
      <c r="F482" s="42" t="str">
        <f>IF(A482="","",SETUP_RATES!$K$5)</f>
        <v/>
      </c>
      <c r="G482" s="42" t="str">
        <f t="shared" si="3"/>
        <v/>
      </c>
      <c r="H482" s="33" t="str">
        <f t="shared" si="4"/>
        <v/>
      </c>
    </row>
    <row r="483" ht="15.75" customHeight="1">
      <c r="A483" s="33" t="str">
        <f>IF(COSTING!A483="","",COSTING!A483)</f>
        <v/>
      </c>
      <c r="B483" s="38" t="str">
        <f>IF(A483="","",COSTING!J483)</f>
        <v/>
      </c>
      <c r="C483" s="38" t="str">
        <f>IF(A483="","",COSTING!I483)</f>
        <v/>
      </c>
      <c r="D483" s="38" t="str">
        <f t="shared" si="1"/>
        <v/>
      </c>
      <c r="E483" s="42" t="str">
        <f t="shared" si="2"/>
        <v/>
      </c>
      <c r="F483" s="42" t="str">
        <f>IF(A483="","",SETUP_RATES!$K$5)</f>
        <v/>
      </c>
      <c r="G483" s="42" t="str">
        <f t="shared" si="3"/>
        <v/>
      </c>
      <c r="H483" s="33" t="str">
        <f t="shared" si="4"/>
        <v/>
      </c>
    </row>
    <row r="484" ht="15.75" customHeight="1">
      <c r="A484" s="33" t="str">
        <f>IF(COSTING!A484="","",COSTING!A484)</f>
        <v/>
      </c>
      <c r="B484" s="38" t="str">
        <f>IF(A484="","",COSTING!J484)</f>
        <v/>
      </c>
      <c r="C484" s="38" t="str">
        <f>IF(A484="","",COSTING!I484)</f>
        <v/>
      </c>
      <c r="D484" s="38" t="str">
        <f t="shared" si="1"/>
        <v/>
      </c>
      <c r="E484" s="42" t="str">
        <f t="shared" si="2"/>
        <v/>
      </c>
      <c r="F484" s="42" t="str">
        <f>IF(A484="","",SETUP_RATES!$K$5)</f>
        <v/>
      </c>
      <c r="G484" s="42" t="str">
        <f t="shared" si="3"/>
        <v/>
      </c>
      <c r="H484" s="33" t="str">
        <f t="shared" si="4"/>
        <v/>
      </c>
    </row>
    <row r="485" ht="15.75" customHeight="1">
      <c r="A485" s="33" t="str">
        <f>IF(COSTING!A485="","",COSTING!A485)</f>
        <v/>
      </c>
      <c r="B485" s="38" t="str">
        <f>IF(A485="","",COSTING!J485)</f>
        <v/>
      </c>
      <c r="C485" s="38" t="str">
        <f>IF(A485="","",COSTING!I485)</f>
        <v/>
      </c>
      <c r="D485" s="38" t="str">
        <f t="shared" si="1"/>
        <v/>
      </c>
      <c r="E485" s="42" t="str">
        <f t="shared" si="2"/>
        <v/>
      </c>
      <c r="F485" s="42" t="str">
        <f>IF(A485="","",SETUP_RATES!$K$5)</f>
        <v/>
      </c>
      <c r="G485" s="42" t="str">
        <f t="shared" si="3"/>
        <v/>
      </c>
      <c r="H485" s="33" t="str">
        <f t="shared" si="4"/>
        <v/>
      </c>
    </row>
    <row r="486" ht="15.75" customHeight="1">
      <c r="A486" s="33" t="str">
        <f>IF(COSTING!A486="","",COSTING!A486)</f>
        <v/>
      </c>
      <c r="B486" s="38" t="str">
        <f>IF(A486="","",COSTING!J486)</f>
        <v/>
      </c>
      <c r="C486" s="38" t="str">
        <f>IF(A486="","",COSTING!I486)</f>
        <v/>
      </c>
      <c r="D486" s="38" t="str">
        <f t="shared" si="1"/>
        <v/>
      </c>
      <c r="E486" s="42" t="str">
        <f t="shared" si="2"/>
        <v/>
      </c>
      <c r="F486" s="42" t="str">
        <f>IF(A486="","",SETUP_RATES!$K$5)</f>
        <v/>
      </c>
      <c r="G486" s="42" t="str">
        <f t="shared" si="3"/>
        <v/>
      </c>
      <c r="H486" s="33" t="str">
        <f t="shared" si="4"/>
        <v/>
      </c>
    </row>
    <row r="487" ht="15.75" customHeight="1">
      <c r="A487" s="33" t="str">
        <f>IF(COSTING!A487="","",COSTING!A487)</f>
        <v/>
      </c>
      <c r="B487" s="38" t="str">
        <f>IF(A487="","",COSTING!J487)</f>
        <v/>
      </c>
      <c r="C487" s="38" t="str">
        <f>IF(A487="","",COSTING!I487)</f>
        <v/>
      </c>
      <c r="D487" s="38" t="str">
        <f t="shared" si="1"/>
        <v/>
      </c>
      <c r="E487" s="42" t="str">
        <f t="shared" si="2"/>
        <v/>
      </c>
      <c r="F487" s="42" t="str">
        <f>IF(A487="","",SETUP_RATES!$K$5)</f>
        <v/>
      </c>
      <c r="G487" s="42" t="str">
        <f t="shared" si="3"/>
        <v/>
      </c>
      <c r="H487" s="33" t="str">
        <f t="shared" si="4"/>
        <v/>
      </c>
    </row>
    <row r="488" ht="15.75" customHeight="1">
      <c r="A488" s="33" t="str">
        <f>IF(COSTING!A488="","",COSTING!A488)</f>
        <v/>
      </c>
      <c r="B488" s="38" t="str">
        <f>IF(A488="","",COSTING!J488)</f>
        <v/>
      </c>
      <c r="C488" s="38" t="str">
        <f>IF(A488="","",COSTING!I488)</f>
        <v/>
      </c>
      <c r="D488" s="38" t="str">
        <f t="shared" si="1"/>
        <v/>
      </c>
      <c r="E488" s="42" t="str">
        <f t="shared" si="2"/>
        <v/>
      </c>
      <c r="F488" s="42" t="str">
        <f>IF(A488="","",SETUP_RATES!$K$5)</f>
        <v/>
      </c>
      <c r="G488" s="42" t="str">
        <f t="shared" si="3"/>
        <v/>
      </c>
      <c r="H488" s="33" t="str">
        <f t="shared" si="4"/>
        <v/>
      </c>
    </row>
    <row r="489" ht="15.75" customHeight="1">
      <c r="A489" s="33" t="str">
        <f>IF(COSTING!A489="","",COSTING!A489)</f>
        <v/>
      </c>
      <c r="B489" s="38" t="str">
        <f>IF(A489="","",COSTING!J489)</f>
        <v/>
      </c>
      <c r="C489" s="38" t="str">
        <f>IF(A489="","",COSTING!I489)</f>
        <v/>
      </c>
      <c r="D489" s="38" t="str">
        <f t="shared" si="1"/>
        <v/>
      </c>
      <c r="E489" s="42" t="str">
        <f t="shared" si="2"/>
        <v/>
      </c>
      <c r="F489" s="42" t="str">
        <f>IF(A489="","",SETUP_RATES!$K$5)</f>
        <v/>
      </c>
      <c r="G489" s="42" t="str">
        <f t="shared" si="3"/>
        <v/>
      </c>
      <c r="H489" s="33" t="str">
        <f t="shared" si="4"/>
        <v/>
      </c>
    </row>
    <row r="490" ht="15.75" customHeight="1">
      <c r="A490" s="33" t="str">
        <f>IF(COSTING!A490="","",COSTING!A490)</f>
        <v/>
      </c>
      <c r="B490" s="38" t="str">
        <f>IF(A490="","",COSTING!J490)</f>
        <v/>
      </c>
      <c r="C490" s="38" t="str">
        <f>IF(A490="","",COSTING!I490)</f>
        <v/>
      </c>
      <c r="D490" s="38" t="str">
        <f t="shared" si="1"/>
        <v/>
      </c>
      <c r="E490" s="42" t="str">
        <f t="shared" si="2"/>
        <v/>
      </c>
      <c r="F490" s="42" t="str">
        <f>IF(A490="","",SETUP_RATES!$K$5)</f>
        <v/>
      </c>
      <c r="G490" s="42" t="str">
        <f t="shared" si="3"/>
        <v/>
      </c>
      <c r="H490" s="33" t="str">
        <f t="shared" si="4"/>
        <v/>
      </c>
    </row>
    <row r="491" ht="15.75" customHeight="1">
      <c r="A491" s="33" t="str">
        <f>IF(COSTING!A491="","",COSTING!A491)</f>
        <v/>
      </c>
      <c r="B491" s="38" t="str">
        <f>IF(A491="","",COSTING!J491)</f>
        <v/>
      </c>
      <c r="C491" s="38" t="str">
        <f>IF(A491="","",COSTING!I491)</f>
        <v/>
      </c>
      <c r="D491" s="38" t="str">
        <f t="shared" si="1"/>
        <v/>
      </c>
      <c r="E491" s="42" t="str">
        <f t="shared" si="2"/>
        <v/>
      </c>
      <c r="F491" s="42" t="str">
        <f>IF(A491="","",SETUP_RATES!$K$5)</f>
        <v/>
      </c>
      <c r="G491" s="42" t="str">
        <f t="shared" si="3"/>
        <v/>
      </c>
      <c r="H491" s="33" t="str">
        <f t="shared" si="4"/>
        <v/>
      </c>
    </row>
    <row r="492" ht="15.75" customHeight="1">
      <c r="A492" s="33" t="str">
        <f>IF(COSTING!A492="","",COSTING!A492)</f>
        <v/>
      </c>
      <c r="B492" s="38" t="str">
        <f>IF(A492="","",COSTING!J492)</f>
        <v/>
      </c>
      <c r="C492" s="38" t="str">
        <f>IF(A492="","",COSTING!I492)</f>
        <v/>
      </c>
      <c r="D492" s="38" t="str">
        <f t="shared" si="1"/>
        <v/>
      </c>
      <c r="E492" s="42" t="str">
        <f t="shared" si="2"/>
        <v/>
      </c>
      <c r="F492" s="42" t="str">
        <f>IF(A492="","",SETUP_RATES!$K$5)</f>
        <v/>
      </c>
      <c r="G492" s="42" t="str">
        <f t="shared" si="3"/>
        <v/>
      </c>
      <c r="H492" s="33" t="str">
        <f t="shared" si="4"/>
        <v/>
      </c>
    </row>
    <row r="493" ht="15.75" customHeight="1">
      <c r="A493" s="33" t="str">
        <f>IF(COSTING!A493="","",COSTING!A493)</f>
        <v/>
      </c>
      <c r="B493" s="38" t="str">
        <f>IF(A493="","",COSTING!J493)</f>
        <v/>
      </c>
      <c r="C493" s="38" t="str">
        <f>IF(A493="","",COSTING!I493)</f>
        <v/>
      </c>
      <c r="D493" s="38" t="str">
        <f t="shared" si="1"/>
        <v/>
      </c>
      <c r="E493" s="42" t="str">
        <f t="shared" si="2"/>
        <v/>
      </c>
      <c r="F493" s="42" t="str">
        <f>IF(A493="","",SETUP_RATES!$K$5)</f>
        <v/>
      </c>
      <c r="G493" s="42" t="str">
        <f t="shared" si="3"/>
        <v/>
      </c>
      <c r="H493" s="33" t="str">
        <f t="shared" si="4"/>
        <v/>
      </c>
    </row>
    <row r="494" ht="15.75" customHeight="1">
      <c r="A494" s="33" t="str">
        <f>IF(COSTING!A494="","",COSTING!A494)</f>
        <v/>
      </c>
      <c r="B494" s="38" t="str">
        <f>IF(A494="","",COSTING!J494)</f>
        <v/>
      </c>
      <c r="C494" s="38" t="str">
        <f>IF(A494="","",COSTING!I494)</f>
        <v/>
      </c>
      <c r="D494" s="38" t="str">
        <f t="shared" si="1"/>
        <v/>
      </c>
      <c r="E494" s="42" t="str">
        <f t="shared" si="2"/>
        <v/>
      </c>
      <c r="F494" s="42" t="str">
        <f>IF(A494="","",SETUP_RATES!$K$5)</f>
        <v/>
      </c>
      <c r="G494" s="42" t="str">
        <f t="shared" si="3"/>
        <v/>
      </c>
      <c r="H494" s="33" t="str">
        <f t="shared" si="4"/>
        <v/>
      </c>
    </row>
    <row r="495" ht="15.75" customHeight="1">
      <c r="A495" s="33" t="str">
        <f>IF(COSTING!A495="","",COSTING!A495)</f>
        <v/>
      </c>
      <c r="B495" s="38" t="str">
        <f>IF(A495="","",COSTING!J495)</f>
        <v/>
      </c>
      <c r="C495" s="38" t="str">
        <f>IF(A495="","",COSTING!I495)</f>
        <v/>
      </c>
      <c r="D495" s="38" t="str">
        <f t="shared" si="1"/>
        <v/>
      </c>
      <c r="E495" s="42" t="str">
        <f t="shared" si="2"/>
        <v/>
      </c>
      <c r="F495" s="42" t="str">
        <f>IF(A495="","",SETUP_RATES!$K$5)</f>
        <v/>
      </c>
      <c r="G495" s="42" t="str">
        <f t="shared" si="3"/>
        <v/>
      </c>
      <c r="H495" s="33" t="str">
        <f t="shared" si="4"/>
        <v/>
      </c>
    </row>
    <row r="496" ht="15.75" customHeight="1">
      <c r="A496" s="33" t="str">
        <f>IF(COSTING!A496="","",COSTING!A496)</f>
        <v/>
      </c>
      <c r="B496" s="38" t="str">
        <f>IF(A496="","",COSTING!J496)</f>
        <v/>
      </c>
      <c r="C496" s="38" t="str">
        <f>IF(A496="","",COSTING!I496)</f>
        <v/>
      </c>
      <c r="D496" s="38" t="str">
        <f t="shared" si="1"/>
        <v/>
      </c>
      <c r="E496" s="42" t="str">
        <f t="shared" si="2"/>
        <v/>
      </c>
      <c r="F496" s="42" t="str">
        <f>IF(A496="","",SETUP_RATES!$K$5)</f>
        <v/>
      </c>
      <c r="G496" s="42" t="str">
        <f t="shared" si="3"/>
        <v/>
      </c>
      <c r="H496" s="33" t="str">
        <f t="shared" si="4"/>
        <v/>
      </c>
    </row>
    <row r="497" ht="15.75" customHeight="1">
      <c r="A497" s="33" t="str">
        <f>IF(COSTING!A497="","",COSTING!A497)</f>
        <v/>
      </c>
      <c r="B497" s="38" t="str">
        <f>IF(A497="","",COSTING!J497)</f>
        <v/>
      </c>
      <c r="C497" s="38" t="str">
        <f>IF(A497="","",COSTING!I497)</f>
        <v/>
      </c>
      <c r="D497" s="38" t="str">
        <f t="shared" si="1"/>
        <v/>
      </c>
      <c r="E497" s="42" t="str">
        <f t="shared" si="2"/>
        <v/>
      </c>
      <c r="F497" s="42" t="str">
        <f>IF(A497="","",SETUP_RATES!$K$5)</f>
        <v/>
      </c>
      <c r="G497" s="42" t="str">
        <f t="shared" si="3"/>
        <v/>
      </c>
      <c r="H497" s="33" t="str">
        <f t="shared" si="4"/>
        <v/>
      </c>
    </row>
    <row r="498" ht="15.75" customHeight="1">
      <c r="A498" s="33" t="str">
        <f>IF(COSTING!A498="","",COSTING!A498)</f>
        <v/>
      </c>
      <c r="B498" s="38" t="str">
        <f>IF(A498="","",COSTING!J498)</f>
        <v/>
      </c>
      <c r="C498" s="38" t="str">
        <f>IF(A498="","",COSTING!I498)</f>
        <v/>
      </c>
      <c r="D498" s="38" t="str">
        <f t="shared" si="1"/>
        <v/>
      </c>
      <c r="E498" s="42" t="str">
        <f t="shared" si="2"/>
        <v/>
      </c>
      <c r="F498" s="42" t="str">
        <f>IF(A498="","",SETUP_RATES!$K$5)</f>
        <v/>
      </c>
      <c r="G498" s="42" t="str">
        <f t="shared" si="3"/>
        <v/>
      </c>
      <c r="H498" s="33" t="str">
        <f t="shared" si="4"/>
        <v/>
      </c>
    </row>
    <row r="499" ht="15.75" customHeight="1">
      <c r="A499" s="33" t="str">
        <f>IF(COSTING!A499="","",COSTING!A499)</f>
        <v/>
      </c>
      <c r="B499" s="38" t="str">
        <f>IF(A499="","",COSTING!J499)</f>
        <v/>
      </c>
      <c r="C499" s="38" t="str">
        <f>IF(A499="","",COSTING!I499)</f>
        <v/>
      </c>
      <c r="D499" s="38" t="str">
        <f t="shared" si="1"/>
        <v/>
      </c>
      <c r="E499" s="42" t="str">
        <f t="shared" si="2"/>
        <v/>
      </c>
      <c r="F499" s="42" t="str">
        <f>IF(A499="","",SETUP_RATES!$K$5)</f>
        <v/>
      </c>
      <c r="G499" s="42" t="str">
        <f t="shared" si="3"/>
        <v/>
      </c>
      <c r="H499" s="33" t="str">
        <f t="shared" si="4"/>
        <v/>
      </c>
    </row>
    <row r="500" ht="15.75" customHeight="1">
      <c r="A500" s="33" t="str">
        <f>IF(COSTING!A500="","",COSTING!A500)</f>
        <v/>
      </c>
      <c r="B500" s="38" t="str">
        <f>IF(A500="","",COSTING!J500)</f>
        <v/>
      </c>
      <c r="C500" s="38" t="str">
        <f>IF(A500="","",COSTING!I500)</f>
        <v/>
      </c>
      <c r="D500" s="38" t="str">
        <f t="shared" si="1"/>
        <v/>
      </c>
      <c r="E500" s="42" t="str">
        <f t="shared" si="2"/>
        <v/>
      </c>
      <c r="F500" s="42" t="str">
        <f>IF(A500="","",SETUP_RATES!$K$5)</f>
        <v/>
      </c>
      <c r="G500" s="42" t="str">
        <f t="shared" si="3"/>
        <v/>
      </c>
      <c r="H500" s="33" t="str">
        <f t="shared" si="4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500">
    <cfRule type="expression" dxfId="4" priority="1">
      <formula>D2&lt;0</formula>
    </cfRule>
  </conditionalFormatting>
  <conditionalFormatting sqref="E2:E500">
    <cfRule type="colorScale" priority="2">
      <colorScale>
        <cfvo type="min"/>
        <cfvo type="percentile" val="50"/>
        <cfvo type="max"/>
        <color rgb="FFFDE2E1"/>
        <color rgb="FFFFF2CC"/>
        <color rgb="FFE2F0D9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29"/>
    <col customWidth="1" min="3" max="3" width="11.57"/>
    <col customWidth="1" min="4" max="4" width="15.29"/>
    <col customWidth="1" min="5" max="5" width="4.0"/>
    <col customWidth="1" min="6" max="6" width="13.43"/>
    <col customWidth="1" min="7" max="7" width="6.57"/>
    <col customWidth="1" min="8" max="8" width="10.0"/>
    <col customWidth="1" min="9" max="9" width="18.0"/>
    <col customWidth="1" hidden="1" min="10" max="17" width="8.71"/>
    <col customWidth="1" min="18" max="26" width="8.71"/>
  </cols>
  <sheetData>
    <row r="1" ht="16.5" customHeight="1">
      <c r="A1" s="29" t="s">
        <v>125</v>
      </c>
      <c r="B1" s="29" t="s">
        <v>171</v>
      </c>
      <c r="C1" s="29" t="s">
        <v>172</v>
      </c>
      <c r="D1" s="29" t="s">
        <v>173</v>
      </c>
      <c r="E1" s="29" t="s">
        <v>174</v>
      </c>
      <c r="F1" s="29" t="s">
        <v>175</v>
      </c>
      <c r="G1" s="29" t="s">
        <v>23</v>
      </c>
      <c r="H1" s="3" t="s">
        <v>176</v>
      </c>
      <c r="I1" s="3" t="s">
        <v>177</v>
      </c>
      <c r="J1" s="3"/>
      <c r="K1" s="3"/>
      <c r="L1" s="3"/>
      <c r="M1" s="3"/>
      <c r="N1" s="3"/>
      <c r="O1" s="3"/>
      <c r="P1" s="3"/>
      <c r="Q1" s="3"/>
    </row>
    <row r="2" ht="16.5" customHeight="1">
      <c r="A2" s="31" t="str">
        <f>IF(PROFITABILITY!A2="","",PROFITABILITY!A2)</f>
        <v/>
      </c>
      <c r="B2" s="31" t="str">
        <f t="shared" ref="B2:B500" si="1">IF(A2="","","INV-"&amp;TEXT(ROW()-1,"0000"))</f>
        <v/>
      </c>
      <c r="C2" s="35" t="str">
        <f>IF(A2="","",IFERROR(VLOOKUP(A2,BOOKINGS!$A:$Q,8,FALSE),BOOKINGS!B2))</f>
        <v/>
      </c>
      <c r="D2" s="37" t="str">
        <f>IF(A2="","",PROFITABILITY!B2)</f>
        <v/>
      </c>
      <c r="E2" s="37" t="str">
        <f>IF(A2="","",SETUP_RATES!$K$4)</f>
        <v/>
      </c>
      <c r="F2" s="37" t="str">
        <f t="shared" ref="F2:F500" si="2">IF(A2="","",D2*(1+E2))</f>
        <v/>
      </c>
      <c r="G2" s="31" t="str">
        <f t="shared" ref="G2:G500" si="3">IF(A2="","",IF(H2&lt;TODAY(),IF(I2&lt;&gt;"Paid","Overdue","Billed"),"Billed"))</f>
        <v/>
      </c>
      <c r="H2" s="39" t="str">
        <f>IF(C2="","",C2+IFERROR(VLOOKUP(VLOOKUP(A2,BOOKINGS!$A:$Q,3,FALSE),CLIENTS!$A:$H,6,FALSE),30))</f>
        <v/>
      </c>
      <c r="I2" s="33" t="str">
        <f>IF(A2="","",IFERROR(VLOOKUP(B2,COLLECTIONS!$A:$I,7,FALSE),"Unpaid"))</f>
        <v/>
      </c>
    </row>
    <row r="3" ht="16.5" customHeight="1">
      <c r="A3" s="33" t="str">
        <f>IF(PROFITABILITY!A3="","",PROFITABILITY!A3)</f>
        <v/>
      </c>
      <c r="B3" s="33" t="str">
        <f t="shared" si="1"/>
        <v/>
      </c>
      <c r="C3" s="39" t="str">
        <f>IF(A3="","",IFERROR(VLOOKUP(A3,BOOKINGS!$A:$Q,8,FALSE),BOOKINGS!B3))</f>
        <v/>
      </c>
      <c r="D3" s="38" t="str">
        <f>IF(A3="","",PROFITABILITY!B3)</f>
        <v/>
      </c>
      <c r="E3" s="38" t="str">
        <f>IF(A3="","",SETUP_RATES!$K$4)</f>
        <v/>
      </c>
      <c r="F3" s="38" t="str">
        <f t="shared" si="2"/>
        <v/>
      </c>
      <c r="G3" s="33" t="str">
        <f t="shared" si="3"/>
        <v/>
      </c>
      <c r="H3" s="39" t="str">
        <f>IF(C3="","",C3+IFERROR(VLOOKUP(VLOOKUP(A3,BOOKINGS!$A:$Q,3,FALSE),CLIENTS!$A:$H,6,FALSE),30))</f>
        <v/>
      </c>
      <c r="I3" s="33" t="str">
        <f>IF(A3="","",IFERROR(VLOOKUP(B3,COLLECTIONS!$A:$I,7,FALSE),"Unpaid"))</f>
        <v/>
      </c>
    </row>
    <row r="4" ht="16.5" customHeight="1">
      <c r="A4" s="33" t="str">
        <f>IF(PROFITABILITY!A4="","",PROFITABILITY!A4)</f>
        <v/>
      </c>
      <c r="B4" s="33" t="str">
        <f t="shared" si="1"/>
        <v/>
      </c>
      <c r="C4" s="39" t="str">
        <f>IF(A4="","",IFERROR(VLOOKUP(A4,BOOKINGS!$A:$Q,8,FALSE),BOOKINGS!B4))</f>
        <v/>
      </c>
      <c r="D4" s="38" t="str">
        <f>IF(A4="","",PROFITABILITY!B4)</f>
        <v/>
      </c>
      <c r="E4" s="38" t="str">
        <f>IF(A4="","",SETUP_RATES!$K$4)</f>
        <v/>
      </c>
      <c r="F4" s="38" t="str">
        <f t="shared" si="2"/>
        <v/>
      </c>
      <c r="G4" s="33" t="str">
        <f t="shared" si="3"/>
        <v/>
      </c>
      <c r="H4" s="39" t="str">
        <f>IF(C4="","",C4+IFERROR(VLOOKUP(VLOOKUP(A4,BOOKINGS!$A:$Q,3,FALSE),CLIENTS!$A:$H,6,FALSE),30))</f>
        <v/>
      </c>
      <c r="I4" s="33" t="str">
        <f>IF(A4="","",IFERROR(VLOOKUP(B4,COLLECTIONS!$A:$I,7,FALSE),"Unpaid"))</f>
        <v/>
      </c>
    </row>
    <row r="5" ht="16.5" customHeight="1">
      <c r="A5" s="33" t="str">
        <f>IF(PROFITABILITY!A5="","",PROFITABILITY!A5)</f>
        <v/>
      </c>
      <c r="B5" s="33" t="str">
        <f t="shared" si="1"/>
        <v/>
      </c>
      <c r="C5" s="39" t="str">
        <f>IF(A5="","",IFERROR(VLOOKUP(A5,BOOKINGS!$A:$Q,8,FALSE),BOOKINGS!B5))</f>
        <v/>
      </c>
      <c r="D5" s="38" t="str">
        <f>IF(A5="","",PROFITABILITY!B5)</f>
        <v/>
      </c>
      <c r="E5" s="38" t="str">
        <f>IF(A5="","",SETUP_RATES!$K$4)</f>
        <v/>
      </c>
      <c r="F5" s="38" t="str">
        <f t="shared" si="2"/>
        <v/>
      </c>
      <c r="G5" s="33" t="str">
        <f t="shared" si="3"/>
        <v/>
      </c>
      <c r="H5" s="39" t="str">
        <f>IF(C5="","",C5+IFERROR(VLOOKUP(VLOOKUP(A5,BOOKINGS!$A:$Q,3,FALSE),CLIENTS!$A:$H,6,FALSE),30))</f>
        <v/>
      </c>
      <c r="I5" s="33" t="str">
        <f>IF(A5="","",IFERROR(VLOOKUP(B5,COLLECTIONS!$A:$I,7,FALSE),"Unpaid"))</f>
        <v/>
      </c>
    </row>
    <row r="6" ht="16.5" customHeight="1">
      <c r="A6" s="33" t="str">
        <f>IF(PROFITABILITY!A6="","",PROFITABILITY!A6)</f>
        <v/>
      </c>
      <c r="B6" s="33" t="str">
        <f t="shared" si="1"/>
        <v/>
      </c>
      <c r="C6" s="39" t="str">
        <f>IF(A6="","",IFERROR(VLOOKUP(A6,BOOKINGS!$A:$Q,8,FALSE),BOOKINGS!B6))</f>
        <v/>
      </c>
      <c r="D6" s="38" t="str">
        <f>IF(A6="","",PROFITABILITY!B6)</f>
        <v/>
      </c>
      <c r="E6" s="38" t="str">
        <f>IF(A6="","",SETUP_RATES!$K$4)</f>
        <v/>
      </c>
      <c r="F6" s="38" t="str">
        <f t="shared" si="2"/>
        <v/>
      </c>
      <c r="G6" s="33" t="str">
        <f t="shared" si="3"/>
        <v/>
      </c>
      <c r="H6" s="39" t="str">
        <f>IF(C6="","",C6+IFERROR(VLOOKUP(VLOOKUP(A6,BOOKINGS!$A:$Q,3,FALSE),CLIENTS!$A:$H,6,FALSE),30))</f>
        <v/>
      </c>
      <c r="I6" s="33" t="str">
        <f>IF(A6="","",IFERROR(VLOOKUP(B6,COLLECTIONS!$A:$I,7,FALSE),"Unpaid"))</f>
        <v/>
      </c>
    </row>
    <row r="7" ht="16.5" customHeight="1">
      <c r="A7" s="33" t="str">
        <f>IF(PROFITABILITY!A7="","",PROFITABILITY!A7)</f>
        <v/>
      </c>
      <c r="B7" s="33" t="str">
        <f t="shared" si="1"/>
        <v/>
      </c>
      <c r="C7" s="39" t="str">
        <f>IF(A7="","",IFERROR(VLOOKUP(A7,BOOKINGS!$A:$Q,8,FALSE),BOOKINGS!B7))</f>
        <v/>
      </c>
      <c r="D7" s="38" t="str">
        <f>IF(A7="","",PROFITABILITY!B7)</f>
        <v/>
      </c>
      <c r="E7" s="38" t="str">
        <f>IF(A7="","",SETUP_RATES!$K$4)</f>
        <v/>
      </c>
      <c r="F7" s="38" t="str">
        <f t="shared" si="2"/>
        <v/>
      </c>
      <c r="G7" s="33" t="str">
        <f t="shared" si="3"/>
        <v/>
      </c>
      <c r="H7" s="39" t="str">
        <f>IF(C7="","",C7+IFERROR(VLOOKUP(VLOOKUP(A7,BOOKINGS!$A:$Q,3,FALSE),CLIENTS!$A:$H,6,FALSE),30))</f>
        <v/>
      </c>
      <c r="I7" s="33" t="str">
        <f>IF(A7="","",IFERROR(VLOOKUP(B7,COLLECTIONS!$A:$I,7,FALSE),"Unpaid"))</f>
        <v/>
      </c>
    </row>
    <row r="8" ht="16.5" customHeight="1">
      <c r="A8" s="33" t="str">
        <f>IF(PROFITABILITY!A8="","",PROFITABILITY!A8)</f>
        <v/>
      </c>
      <c r="B8" s="33" t="str">
        <f t="shared" si="1"/>
        <v/>
      </c>
      <c r="C8" s="39" t="str">
        <f>IF(A8="","",IFERROR(VLOOKUP(A8,BOOKINGS!$A:$Q,8,FALSE),BOOKINGS!B8))</f>
        <v/>
      </c>
      <c r="D8" s="38" t="str">
        <f>IF(A8="","",PROFITABILITY!B8)</f>
        <v/>
      </c>
      <c r="E8" s="38" t="str">
        <f>IF(A8="","",SETUP_RATES!$K$4)</f>
        <v/>
      </c>
      <c r="F8" s="38" t="str">
        <f t="shared" si="2"/>
        <v/>
      </c>
      <c r="G8" s="33" t="str">
        <f t="shared" si="3"/>
        <v/>
      </c>
      <c r="H8" s="39" t="str">
        <f>IF(C8="","",C8+IFERROR(VLOOKUP(VLOOKUP(A8,BOOKINGS!$A:$Q,3,FALSE),CLIENTS!$A:$H,6,FALSE),30))</f>
        <v/>
      </c>
      <c r="I8" s="33" t="str">
        <f>IF(A8="","",IFERROR(VLOOKUP(B8,COLLECTIONS!$A:$I,7,FALSE),"Unpaid"))</f>
        <v/>
      </c>
    </row>
    <row r="9" ht="16.5" customHeight="1">
      <c r="A9" s="33" t="str">
        <f>IF(PROFITABILITY!A9="","",PROFITABILITY!A9)</f>
        <v/>
      </c>
      <c r="B9" s="33" t="str">
        <f t="shared" si="1"/>
        <v/>
      </c>
      <c r="C9" s="39" t="str">
        <f>IF(A9="","",IFERROR(VLOOKUP(A9,BOOKINGS!$A:$Q,8,FALSE),BOOKINGS!B9))</f>
        <v/>
      </c>
      <c r="D9" s="38" t="str">
        <f>IF(A9="","",PROFITABILITY!B9)</f>
        <v/>
      </c>
      <c r="E9" s="38" t="str">
        <f>IF(A9="","",SETUP_RATES!$K$4)</f>
        <v/>
      </c>
      <c r="F9" s="38" t="str">
        <f t="shared" si="2"/>
        <v/>
      </c>
      <c r="G9" s="33" t="str">
        <f t="shared" si="3"/>
        <v/>
      </c>
      <c r="H9" s="39" t="str">
        <f>IF(C9="","",C9+IFERROR(VLOOKUP(VLOOKUP(A9,BOOKINGS!$A:$Q,3,FALSE),CLIENTS!$A:$H,6,FALSE),30))</f>
        <v/>
      </c>
      <c r="I9" s="33" t="str">
        <f>IF(A9="","",IFERROR(VLOOKUP(B9,COLLECTIONS!$A:$I,7,FALSE),"Unpaid"))</f>
        <v/>
      </c>
    </row>
    <row r="10" ht="16.5" customHeight="1">
      <c r="A10" s="33" t="str">
        <f>IF(PROFITABILITY!A10="","",PROFITABILITY!A10)</f>
        <v/>
      </c>
      <c r="B10" s="33" t="str">
        <f t="shared" si="1"/>
        <v/>
      </c>
      <c r="C10" s="39" t="str">
        <f>IF(A10="","",IFERROR(VLOOKUP(A10,BOOKINGS!$A:$Q,8,FALSE),BOOKINGS!B10))</f>
        <v/>
      </c>
      <c r="D10" s="38" t="str">
        <f>IF(A10="","",PROFITABILITY!B10)</f>
        <v/>
      </c>
      <c r="E10" s="38" t="str">
        <f>IF(A10="","",SETUP_RATES!$K$4)</f>
        <v/>
      </c>
      <c r="F10" s="38" t="str">
        <f t="shared" si="2"/>
        <v/>
      </c>
      <c r="G10" s="33" t="str">
        <f t="shared" si="3"/>
        <v/>
      </c>
      <c r="H10" s="39" t="str">
        <f>IF(C10="","",C10+IFERROR(VLOOKUP(VLOOKUP(A10,BOOKINGS!$A:$Q,3,FALSE),CLIENTS!$A:$H,6,FALSE),30))</f>
        <v/>
      </c>
      <c r="I10" s="33" t="str">
        <f>IF(A10="","",IFERROR(VLOOKUP(B10,COLLECTIONS!$A:$I,7,FALSE),"Unpaid"))</f>
        <v/>
      </c>
    </row>
    <row r="11">
      <c r="A11" s="33" t="str">
        <f>IF(PROFITABILITY!A11="","",PROFITABILITY!A11)</f>
        <v/>
      </c>
      <c r="B11" s="33" t="str">
        <f t="shared" si="1"/>
        <v/>
      </c>
      <c r="C11" s="39" t="str">
        <f>IF(A11="","",IFERROR(VLOOKUP(A11,BOOKINGS!$A:$Q,8,FALSE),BOOKINGS!B11))</f>
        <v/>
      </c>
      <c r="D11" s="38" t="str">
        <f>IF(A11="","",PROFITABILITY!B11)</f>
        <v/>
      </c>
      <c r="E11" s="38" t="str">
        <f>IF(A11="","",SETUP_RATES!$K$4)</f>
        <v/>
      </c>
      <c r="F11" s="38" t="str">
        <f t="shared" si="2"/>
        <v/>
      </c>
      <c r="G11" s="33" t="str">
        <f t="shared" si="3"/>
        <v/>
      </c>
      <c r="H11" s="39" t="str">
        <f>IF(C11="","",C11+IFERROR(VLOOKUP(VLOOKUP(A11,BOOKINGS!$A:$Q,3,FALSE),CLIENTS!$A:$H,6,FALSE),30))</f>
        <v/>
      </c>
      <c r="I11" s="33" t="str">
        <f>IF(A11="","",IFERROR(VLOOKUP(B11,COLLECTIONS!$A:$I,7,FALSE),"Unpaid"))</f>
        <v/>
      </c>
    </row>
    <row r="12">
      <c r="A12" s="33" t="str">
        <f>IF(PROFITABILITY!A12="","",PROFITABILITY!A12)</f>
        <v/>
      </c>
      <c r="B12" s="33" t="str">
        <f t="shared" si="1"/>
        <v/>
      </c>
      <c r="C12" s="39" t="str">
        <f>IF(A12="","",IFERROR(VLOOKUP(A12,BOOKINGS!$A:$Q,8,FALSE),BOOKINGS!B12))</f>
        <v/>
      </c>
      <c r="D12" s="38" t="str">
        <f>IF(A12="","",PROFITABILITY!B12)</f>
        <v/>
      </c>
      <c r="E12" s="38" t="str">
        <f>IF(A12="","",SETUP_RATES!$K$4)</f>
        <v/>
      </c>
      <c r="F12" s="38" t="str">
        <f t="shared" si="2"/>
        <v/>
      </c>
      <c r="G12" s="33" t="str">
        <f t="shared" si="3"/>
        <v/>
      </c>
      <c r="H12" s="39" t="str">
        <f>IF(C12="","",C12+IFERROR(VLOOKUP(VLOOKUP(A12,BOOKINGS!$A:$Q,3,FALSE),CLIENTS!$A:$H,6,FALSE),30))</f>
        <v/>
      </c>
      <c r="I12" s="33" t="str">
        <f>IF(A12="","",IFERROR(VLOOKUP(B12,COLLECTIONS!$A:$I,7,FALSE),"Unpaid"))</f>
        <v/>
      </c>
    </row>
    <row r="13">
      <c r="A13" s="33" t="str">
        <f>IF(PROFITABILITY!A13="","",PROFITABILITY!A13)</f>
        <v/>
      </c>
      <c r="B13" s="33" t="str">
        <f t="shared" si="1"/>
        <v/>
      </c>
      <c r="C13" s="39" t="str">
        <f>IF(A13="","",IFERROR(VLOOKUP(A13,BOOKINGS!$A:$Q,8,FALSE),BOOKINGS!B13))</f>
        <v/>
      </c>
      <c r="D13" s="38" t="str">
        <f>IF(A13="","",PROFITABILITY!B13)</f>
        <v/>
      </c>
      <c r="E13" s="38" t="str">
        <f>IF(A13="","",SETUP_RATES!$K$4)</f>
        <v/>
      </c>
      <c r="F13" s="38" t="str">
        <f t="shared" si="2"/>
        <v/>
      </c>
      <c r="G13" s="33" t="str">
        <f t="shared" si="3"/>
        <v/>
      </c>
      <c r="H13" s="39" t="str">
        <f>IF(C13="","",C13+IFERROR(VLOOKUP(VLOOKUP(A13,BOOKINGS!$A:$Q,3,FALSE),CLIENTS!$A:$H,6,FALSE),30))</f>
        <v/>
      </c>
      <c r="I13" s="33" t="str">
        <f>IF(A13="","",IFERROR(VLOOKUP(B13,COLLECTIONS!$A:$I,7,FALSE),"Unpaid"))</f>
        <v/>
      </c>
    </row>
    <row r="14">
      <c r="A14" s="33" t="str">
        <f>IF(PROFITABILITY!A14="","",PROFITABILITY!A14)</f>
        <v/>
      </c>
      <c r="B14" s="33" t="str">
        <f t="shared" si="1"/>
        <v/>
      </c>
      <c r="C14" s="39" t="str">
        <f>IF(A14="","",IFERROR(VLOOKUP(A14,BOOKINGS!$A:$Q,8,FALSE),BOOKINGS!B14))</f>
        <v/>
      </c>
      <c r="D14" s="38" t="str">
        <f>IF(A14="","",PROFITABILITY!B14)</f>
        <v/>
      </c>
      <c r="E14" s="38" t="str">
        <f>IF(A14="","",SETUP_RATES!$K$4)</f>
        <v/>
      </c>
      <c r="F14" s="38" t="str">
        <f t="shared" si="2"/>
        <v/>
      </c>
      <c r="G14" s="33" t="str">
        <f t="shared" si="3"/>
        <v/>
      </c>
      <c r="H14" s="39" t="str">
        <f>IF(C14="","",C14+IFERROR(VLOOKUP(VLOOKUP(A14,BOOKINGS!$A:$Q,3,FALSE),CLIENTS!$A:$H,6,FALSE),30))</f>
        <v/>
      </c>
      <c r="I14" s="33" t="str">
        <f>IF(A14="","",IFERROR(VLOOKUP(B14,COLLECTIONS!$A:$I,7,FALSE),"Unpaid"))</f>
        <v/>
      </c>
    </row>
    <row r="15">
      <c r="A15" s="33" t="str">
        <f>IF(PROFITABILITY!A15="","",PROFITABILITY!A15)</f>
        <v/>
      </c>
      <c r="B15" s="33" t="str">
        <f t="shared" si="1"/>
        <v/>
      </c>
      <c r="C15" s="39" t="str">
        <f>IF(A15="","",IFERROR(VLOOKUP(A15,BOOKINGS!$A:$Q,8,FALSE),BOOKINGS!B15))</f>
        <v/>
      </c>
      <c r="D15" s="38" t="str">
        <f>IF(A15="","",PROFITABILITY!B15)</f>
        <v/>
      </c>
      <c r="E15" s="38" t="str">
        <f>IF(A15="","",SETUP_RATES!$K$4)</f>
        <v/>
      </c>
      <c r="F15" s="38" t="str">
        <f t="shared" si="2"/>
        <v/>
      </c>
      <c r="G15" s="33" t="str">
        <f t="shared" si="3"/>
        <v/>
      </c>
      <c r="H15" s="39" t="str">
        <f>IF(C15="","",C15+IFERROR(VLOOKUP(VLOOKUP(A15,BOOKINGS!$A:$Q,3,FALSE),CLIENTS!$A:$H,6,FALSE),30))</f>
        <v/>
      </c>
      <c r="I15" s="33" t="str">
        <f>IF(A15="","",IFERROR(VLOOKUP(B15,COLLECTIONS!$A:$I,7,FALSE),"Unpaid"))</f>
        <v/>
      </c>
    </row>
    <row r="16">
      <c r="A16" s="33" t="str">
        <f>IF(PROFITABILITY!A16="","",PROFITABILITY!A16)</f>
        <v/>
      </c>
      <c r="B16" s="33" t="str">
        <f t="shared" si="1"/>
        <v/>
      </c>
      <c r="C16" s="39" t="str">
        <f>IF(A16="","",IFERROR(VLOOKUP(A16,BOOKINGS!$A:$Q,8,FALSE),BOOKINGS!B16))</f>
        <v/>
      </c>
      <c r="D16" s="38" t="str">
        <f>IF(A16="","",PROFITABILITY!B16)</f>
        <v/>
      </c>
      <c r="E16" s="38" t="str">
        <f>IF(A16="","",SETUP_RATES!$K$4)</f>
        <v/>
      </c>
      <c r="F16" s="38" t="str">
        <f t="shared" si="2"/>
        <v/>
      </c>
      <c r="G16" s="33" t="str">
        <f t="shared" si="3"/>
        <v/>
      </c>
      <c r="H16" s="39" t="str">
        <f>IF(C16="","",C16+IFERROR(VLOOKUP(VLOOKUP(A16,BOOKINGS!$A:$Q,3,FALSE),CLIENTS!$A:$H,6,FALSE),30))</f>
        <v/>
      </c>
      <c r="I16" s="33" t="str">
        <f>IF(A16="","",IFERROR(VLOOKUP(B16,COLLECTIONS!$A:$I,7,FALSE),"Unpaid"))</f>
        <v/>
      </c>
    </row>
    <row r="17">
      <c r="A17" s="33" t="str">
        <f>IF(PROFITABILITY!A17="","",PROFITABILITY!A17)</f>
        <v/>
      </c>
      <c r="B17" s="33" t="str">
        <f t="shared" si="1"/>
        <v/>
      </c>
      <c r="C17" s="39" t="str">
        <f>IF(A17="","",IFERROR(VLOOKUP(A17,BOOKINGS!$A:$Q,8,FALSE),BOOKINGS!B17))</f>
        <v/>
      </c>
      <c r="D17" s="38" t="str">
        <f>IF(A17="","",PROFITABILITY!B17)</f>
        <v/>
      </c>
      <c r="E17" s="38" t="str">
        <f>IF(A17="","",SETUP_RATES!$K$4)</f>
        <v/>
      </c>
      <c r="F17" s="38" t="str">
        <f t="shared" si="2"/>
        <v/>
      </c>
      <c r="G17" s="33" t="str">
        <f t="shared" si="3"/>
        <v/>
      </c>
      <c r="H17" s="39" t="str">
        <f>IF(C17="","",C17+IFERROR(VLOOKUP(VLOOKUP(A17,BOOKINGS!$A:$Q,3,FALSE),CLIENTS!$A:$H,6,FALSE),30))</f>
        <v/>
      </c>
      <c r="I17" s="33" t="str">
        <f>IF(A17="","",IFERROR(VLOOKUP(B17,COLLECTIONS!$A:$I,7,FALSE),"Unpaid"))</f>
        <v/>
      </c>
    </row>
    <row r="18">
      <c r="A18" s="33" t="str">
        <f>IF(PROFITABILITY!A18="","",PROFITABILITY!A18)</f>
        <v/>
      </c>
      <c r="B18" s="33" t="str">
        <f t="shared" si="1"/>
        <v/>
      </c>
      <c r="C18" s="39" t="str">
        <f>IF(A18="","",IFERROR(VLOOKUP(A18,BOOKINGS!$A:$Q,8,FALSE),BOOKINGS!B18))</f>
        <v/>
      </c>
      <c r="D18" s="38" t="str">
        <f>IF(A18="","",PROFITABILITY!B18)</f>
        <v/>
      </c>
      <c r="E18" s="38" t="str">
        <f>IF(A18="","",SETUP_RATES!$K$4)</f>
        <v/>
      </c>
      <c r="F18" s="38" t="str">
        <f t="shared" si="2"/>
        <v/>
      </c>
      <c r="G18" s="33" t="str">
        <f t="shared" si="3"/>
        <v/>
      </c>
      <c r="H18" s="39" t="str">
        <f>IF(C18="","",C18+IFERROR(VLOOKUP(VLOOKUP(A18,BOOKINGS!$A:$Q,3,FALSE),CLIENTS!$A:$H,6,FALSE),30))</f>
        <v/>
      </c>
      <c r="I18" s="33" t="str">
        <f>IF(A18="","",IFERROR(VLOOKUP(B18,COLLECTIONS!$A:$I,7,FALSE),"Unpaid"))</f>
        <v/>
      </c>
    </row>
    <row r="19">
      <c r="A19" s="33" t="str">
        <f>IF(PROFITABILITY!A19="","",PROFITABILITY!A19)</f>
        <v/>
      </c>
      <c r="B19" s="33" t="str">
        <f t="shared" si="1"/>
        <v/>
      </c>
      <c r="C19" s="39" t="str">
        <f>IF(A19="","",IFERROR(VLOOKUP(A19,BOOKINGS!$A:$Q,8,FALSE),BOOKINGS!B19))</f>
        <v/>
      </c>
      <c r="D19" s="38" t="str">
        <f>IF(A19="","",PROFITABILITY!B19)</f>
        <v/>
      </c>
      <c r="E19" s="38" t="str">
        <f>IF(A19="","",SETUP_RATES!$K$4)</f>
        <v/>
      </c>
      <c r="F19" s="38" t="str">
        <f t="shared" si="2"/>
        <v/>
      </c>
      <c r="G19" s="33" t="str">
        <f t="shared" si="3"/>
        <v/>
      </c>
      <c r="H19" s="39" t="str">
        <f>IF(C19="","",C19+IFERROR(VLOOKUP(VLOOKUP(A19,BOOKINGS!$A:$Q,3,FALSE),CLIENTS!$A:$H,6,FALSE),30))</f>
        <v/>
      </c>
      <c r="I19" s="33" t="str">
        <f>IF(A19="","",IFERROR(VLOOKUP(B19,COLLECTIONS!$A:$I,7,FALSE),"Unpaid"))</f>
        <v/>
      </c>
    </row>
    <row r="20">
      <c r="A20" s="33" t="str">
        <f>IF(PROFITABILITY!A20="","",PROFITABILITY!A20)</f>
        <v/>
      </c>
      <c r="B20" s="33" t="str">
        <f t="shared" si="1"/>
        <v/>
      </c>
      <c r="C20" s="39" t="str">
        <f>IF(A20="","",IFERROR(VLOOKUP(A20,BOOKINGS!$A:$Q,8,FALSE),BOOKINGS!B20))</f>
        <v/>
      </c>
      <c r="D20" s="38" t="str">
        <f>IF(A20="","",PROFITABILITY!B20)</f>
        <v/>
      </c>
      <c r="E20" s="38" t="str">
        <f>IF(A20="","",SETUP_RATES!$K$4)</f>
        <v/>
      </c>
      <c r="F20" s="38" t="str">
        <f t="shared" si="2"/>
        <v/>
      </c>
      <c r="G20" s="33" t="str">
        <f t="shared" si="3"/>
        <v/>
      </c>
      <c r="H20" s="39" t="str">
        <f>IF(C20="","",C20+IFERROR(VLOOKUP(VLOOKUP(A20,BOOKINGS!$A:$Q,3,FALSE),CLIENTS!$A:$H,6,FALSE),30))</f>
        <v/>
      </c>
      <c r="I20" s="33" t="str">
        <f>IF(A20="","",IFERROR(VLOOKUP(B20,COLLECTIONS!$A:$I,7,FALSE),"Unpaid"))</f>
        <v/>
      </c>
    </row>
    <row r="21" ht="15.75" customHeight="1">
      <c r="A21" s="33" t="str">
        <f>IF(PROFITABILITY!A21="","",PROFITABILITY!A21)</f>
        <v/>
      </c>
      <c r="B21" s="33" t="str">
        <f t="shared" si="1"/>
        <v/>
      </c>
      <c r="C21" s="39" t="str">
        <f>IF(A21="","",IFERROR(VLOOKUP(A21,BOOKINGS!$A:$Q,8,FALSE),BOOKINGS!B21))</f>
        <v/>
      </c>
      <c r="D21" s="38" t="str">
        <f>IF(A21="","",PROFITABILITY!B21)</f>
        <v/>
      </c>
      <c r="E21" s="38" t="str">
        <f>IF(A21="","",SETUP_RATES!$K$4)</f>
        <v/>
      </c>
      <c r="F21" s="38" t="str">
        <f t="shared" si="2"/>
        <v/>
      </c>
      <c r="G21" s="33" t="str">
        <f t="shared" si="3"/>
        <v/>
      </c>
      <c r="H21" s="39" t="str">
        <f>IF(C21="","",C21+IFERROR(VLOOKUP(VLOOKUP(A21,BOOKINGS!$A:$Q,3,FALSE),CLIENTS!$A:$H,6,FALSE),30))</f>
        <v/>
      </c>
      <c r="I21" s="33" t="str">
        <f>IF(A21="","",IFERROR(VLOOKUP(B21,COLLECTIONS!$A:$I,7,FALSE),"Unpaid"))</f>
        <v/>
      </c>
    </row>
    <row r="22" ht="15.75" customHeight="1">
      <c r="A22" s="33" t="str">
        <f>IF(PROFITABILITY!A22="","",PROFITABILITY!A22)</f>
        <v/>
      </c>
      <c r="B22" s="33" t="str">
        <f t="shared" si="1"/>
        <v/>
      </c>
      <c r="C22" s="39" t="str">
        <f>IF(A22="","",IFERROR(VLOOKUP(A22,BOOKINGS!$A:$Q,8,FALSE),BOOKINGS!B22))</f>
        <v/>
      </c>
      <c r="D22" s="38" t="str">
        <f>IF(A22="","",PROFITABILITY!B22)</f>
        <v/>
      </c>
      <c r="E22" s="38" t="str">
        <f>IF(A22="","",SETUP_RATES!$K$4)</f>
        <v/>
      </c>
      <c r="F22" s="38" t="str">
        <f t="shared" si="2"/>
        <v/>
      </c>
      <c r="G22" s="33" t="str">
        <f t="shared" si="3"/>
        <v/>
      </c>
      <c r="H22" s="39" t="str">
        <f>IF(C22="","",C22+IFERROR(VLOOKUP(VLOOKUP(A22,BOOKINGS!$A:$Q,3,FALSE),CLIENTS!$A:$H,6,FALSE),30))</f>
        <v/>
      </c>
      <c r="I22" s="33" t="str">
        <f>IF(A22="","",IFERROR(VLOOKUP(B22,COLLECTIONS!$A:$I,7,FALSE),"Unpaid"))</f>
        <v/>
      </c>
    </row>
    <row r="23" ht="15.75" customHeight="1">
      <c r="A23" s="33" t="str">
        <f>IF(PROFITABILITY!A23="","",PROFITABILITY!A23)</f>
        <v/>
      </c>
      <c r="B23" s="33" t="str">
        <f t="shared" si="1"/>
        <v/>
      </c>
      <c r="C23" s="39" t="str">
        <f>IF(A23="","",IFERROR(VLOOKUP(A23,BOOKINGS!$A:$Q,8,FALSE),BOOKINGS!B23))</f>
        <v/>
      </c>
      <c r="D23" s="38" t="str">
        <f>IF(A23="","",PROFITABILITY!B23)</f>
        <v/>
      </c>
      <c r="E23" s="38" t="str">
        <f>IF(A23="","",SETUP_RATES!$K$4)</f>
        <v/>
      </c>
      <c r="F23" s="38" t="str">
        <f t="shared" si="2"/>
        <v/>
      </c>
      <c r="G23" s="33" t="str">
        <f t="shared" si="3"/>
        <v/>
      </c>
      <c r="H23" s="39" t="str">
        <f>IF(C23="","",C23+IFERROR(VLOOKUP(VLOOKUP(A23,BOOKINGS!$A:$Q,3,FALSE),CLIENTS!$A:$H,6,FALSE),30))</f>
        <v/>
      </c>
      <c r="I23" s="33" t="str">
        <f>IF(A23="","",IFERROR(VLOOKUP(B23,COLLECTIONS!$A:$I,7,FALSE),"Unpaid"))</f>
        <v/>
      </c>
    </row>
    <row r="24" ht="15.75" customHeight="1">
      <c r="A24" s="33" t="str">
        <f>IF(PROFITABILITY!A24="","",PROFITABILITY!A24)</f>
        <v/>
      </c>
      <c r="B24" s="33" t="str">
        <f t="shared" si="1"/>
        <v/>
      </c>
      <c r="C24" s="39" t="str">
        <f>IF(A24="","",IFERROR(VLOOKUP(A24,BOOKINGS!$A:$Q,8,FALSE),BOOKINGS!B24))</f>
        <v/>
      </c>
      <c r="D24" s="38" t="str">
        <f>IF(A24="","",PROFITABILITY!B24)</f>
        <v/>
      </c>
      <c r="E24" s="38" t="str">
        <f>IF(A24="","",SETUP_RATES!$K$4)</f>
        <v/>
      </c>
      <c r="F24" s="38" t="str">
        <f t="shared" si="2"/>
        <v/>
      </c>
      <c r="G24" s="33" t="str">
        <f t="shared" si="3"/>
        <v/>
      </c>
      <c r="H24" s="39" t="str">
        <f>IF(C24="","",C24+IFERROR(VLOOKUP(VLOOKUP(A24,BOOKINGS!$A:$Q,3,FALSE),CLIENTS!$A:$H,6,FALSE),30))</f>
        <v/>
      </c>
      <c r="I24" s="33" t="str">
        <f>IF(A24="","",IFERROR(VLOOKUP(B24,COLLECTIONS!$A:$I,7,FALSE),"Unpaid"))</f>
        <v/>
      </c>
    </row>
    <row r="25" ht="15.75" customHeight="1">
      <c r="A25" s="33" t="str">
        <f>IF(PROFITABILITY!A25="","",PROFITABILITY!A25)</f>
        <v/>
      </c>
      <c r="B25" s="33" t="str">
        <f t="shared" si="1"/>
        <v/>
      </c>
      <c r="C25" s="39" t="str">
        <f>IF(A25="","",IFERROR(VLOOKUP(A25,BOOKINGS!$A:$Q,8,FALSE),BOOKINGS!B25))</f>
        <v/>
      </c>
      <c r="D25" s="38" t="str">
        <f>IF(A25="","",PROFITABILITY!B25)</f>
        <v/>
      </c>
      <c r="E25" s="38" t="str">
        <f>IF(A25="","",SETUP_RATES!$K$4)</f>
        <v/>
      </c>
      <c r="F25" s="38" t="str">
        <f t="shared" si="2"/>
        <v/>
      </c>
      <c r="G25" s="33" t="str">
        <f t="shared" si="3"/>
        <v/>
      </c>
      <c r="H25" s="39" t="str">
        <f>IF(C25="","",C25+IFERROR(VLOOKUP(VLOOKUP(A25,BOOKINGS!$A:$Q,3,FALSE),CLIENTS!$A:$H,6,FALSE),30))</f>
        <v/>
      </c>
      <c r="I25" s="33" t="str">
        <f>IF(A25="","",IFERROR(VLOOKUP(B25,COLLECTIONS!$A:$I,7,FALSE),"Unpaid"))</f>
        <v/>
      </c>
    </row>
    <row r="26" ht="15.75" customHeight="1">
      <c r="A26" s="33" t="str">
        <f>IF(PROFITABILITY!A26="","",PROFITABILITY!A26)</f>
        <v/>
      </c>
      <c r="B26" s="33" t="str">
        <f t="shared" si="1"/>
        <v/>
      </c>
      <c r="C26" s="39" t="str">
        <f>IF(A26="","",IFERROR(VLOOKUP(A26,BOOKINGS!$A:$Q,8,FALSE),BOOKINGS!B26))</f>
        <v/>
      </c>
      <c r="D26" s="38" t="str">
        <f>IF(A26="","",PROFITABILITY!B26)</f>
        <v/>
      </c>
      <c r="E26" s="38" t="str">
        <f>IF(A26="","",SETUP_RATES!$K$4)</f>
        <v/>
      </c>
      <c r="F26" s="38" t="str">
        <f t="shared" si="2"/>
        <v/>
      </c>
      <c r="G26" s="33" t="str">
        <f t="shared" si="3"/>
        <v/>
      </c>
      <c r="H26" s="39" t="str">
        <f>IF(C26="","",C26+IFERROR(VLOOKUP(VLOOKUP(A26,BOOKINGS!$A:$Q,3,FALSE),CLIENTS!$A:$H,6,FALSE),30))</f>
        <v/>
      </c>
      <c r="I26" s="33" t="str">
        <f>IF(A26="","",IFERROR(VLOOKUP(B26,COLLECTIONS!$A:$I,7,FALSE),"Unpaid"))</f>
        <v/>
      </c>
    </row>
    <row r="27" ht="15.75" customHeight="1">
      <c r="A27" s="33" t="str">
        <f>IF(PROFITABILITY!A27="","",PROFITABILITY!A27)</f>
        <v/>
      </c>
      <c r="B27" s="33" t="str">
        <f t="shared" si="1"/>
        <v/>
      </c>
      <c r="C27" s="39" t="str">
        <f>IF(A27="","",IFERROR(VLOOKUP(A27,BOOKINGS!$A:$Q,8,FALSE),BOOKINGS!B27))</f>
        <v/>
      </c>
      <c r="D27" s="38" t="str">
        <f>IF(A27="","",PROFITABILITY!B27)</f>
        <v/>
      </c>
      <c r="E27" s="38" t="str">
        <f>IF(A27="","",SETUP_RATES!$K$4)</f>
        <v/>
      </c>
      <c r="F27" s="38" t="str">
        <f t="shared" si="2"/>
        <v/>
      </c>
      <c r="G27" s="33" t="str">
        <f t="shared" si="3"/>
        <v/>
      </c>
      <c r="H27" s="39" t="str">
        <f>IF(C27="","",C27+IFERROR(VLOOKUP(VLOOKUP(A27,BOOKINGS!$A:$Q,3,FALSE),CLIENTS!$A:$H,6,FALSE),30))</f>
        <v/>
      </c>
      <c r="I27" s="33" t="str">
        <f>IF(A27="","",IFERROR(VLOOKUP(B27,COLLECTIONS!$A:$I,7,FALSE),"Unpaid"))</f>
        <v/>
      </c>
    </row>
    <row r="28" ht="15.75" customHeight="1">
      <c r="A28" s="33" t="str">
        <f>IF(PROFITABILITY!A28="","",PROFITABILITY!A28)</f>
        <v/>
      </c>
      <c r="B28" s="33" t="str">
        <f t="shared" si="1"/>
        <v/>
      </c>
      <c r="C28" s="39" t="str">
        <f>IF(A28="","",IFERROR(VLOOKUP(A28,BOOKINGS!$A:$Q,8,FALSE),BOOKINGS!B28))</f>
        <v/>
      </c>
      <c r="D28" s="38" t="str">
        <f>IF(A28="","",PROFITABILITY!B28)</f>
        <v/>
      </c>
      <c r="E28" s="38" t="str">
        <f>IF(A28="","",SETUP_RATES!$K$4)</f>
        <v/>
      </c>
      <c r="F28" s="38" t="str">
        <f t="shared" si="2"/>
        <v/>
      </c>
      <c r="G28" s="33" t="str">
        <f t="shared" si="3"/>
        <v/>
      </c>
      <c r="H28" s="39" t="str">
        <f>IF(C28="","",C28+IFERROR(VLOOKUP(VLOOKUP(A28,BOOKINGS!$A:$Q,3,FALSE),CLIENTS!$A:$H,6,FALSE),30))</f>
        <v/>
      </c>
      <c r="I28" s="33" t="str">
        <f>IF(A28="","",IFERROR(VLOOKUP(B28,COLLECTIONS!$A:$I,7,FALSE),"Unpaid"))</f>
        <v/>
      </c>
    </row>
    <row r="29" ht="15.75" customHeight="1">
      <c r="A29" s="33" t="str">
        <f>IF(PROFITABILITY!A29="","",PROFITABILITY!A29)</f>
        <v/>
      </c>
      <c r="B29" s="33" t="str">
        <f t="shared" si="1"/>
        <v/>
      </c>
      <c r="C29" s="39" t="str">
        <f>IF(A29="","",IFERROR(VLOOKUP(A29,BOOKINGS!$A:$Q,8,FALSE),BOOKINGS!B29))</f>
        <v/>
      </c>
      <c r="D29" s="38" t="str">
        <f>IF(A29="","",PROFITABILITY!B29)</f>
        <v/>
      </c>
      <c r="E29" s="38" t="str">
        <f>IF(A29="","",SETUP_RATES!$K$4)</f>
        <v/>
      </c>
      <c r="F29" s="38" t="str">
        <f t="shared" si="2"/>
        <v/>
      </c>
      <c r="G29" s="33" t="str">
        <f t="shared" si="3"/>
        <v/>
      </c>
      <c r="H29" s="39" t="str">
        <f>IF(C29="","",C29+IFERROR(VLOOKUP(VLOOKUP(A29,BOOKINGS!$A:$Q,3,FALSE),CLIENTS!$A:$H,6,FALSE),30))</f>
        <v/>
      </c>
      <c r="I29" s="33" t="str">
        <f>IF(A29="","",IFERROR(VLOOKUP(B29,COLLECTIONS!$A:$I,7,FALSE),"Unpaid"))</f>
        <v/>
      </c>
    </row>
    <row r="30" ht="15.75" customHeight="1">
      <c r="A30" s="33" t="str">
        <f>IF(PROFITABILITY!A30="","",PROFITABILITY!A30)</f>
        <v/>
      </c>
      <c r="B30" s="33" t="str">
        <f t="shared" si="1"/>
        <v/>
      </c>
      <c r="C30" s="39" t="str">
        <f>IF(A30="","",IFERROR(VLOOKUP(A30,BOOKINGS!$A:$Q,8,FALSE),BOOKINGS!B30))</f>
        <v/>
      </c>
      <c r="D30" s="38" t="str">
        <f>IF(A30="","",PROFITABILITY!B30)</f>
        <v/>
      </c>
      <c r="E30" s="38" t="str">
        <f>IF(A30="","",SETUP_RATES!$K$4)</f>
        <v/>
      </c>
      <c r="F30" s="38" t="str">
        <f t="shared" si="2"/>
        <v/>
      </c>
      <c r="G30" s="33" t="str">
        <f t="shared" si="3"/>
        <v/>
      </c>
      <c r="H30" s="39" t="str">
        <f>IF(C30="","",C30+IFERROR(VLOOKUP(VLOOKUP(A30,BOOKINGS!$A:$Q,3,FALSE),CLIENTS!$A:$H,6,FALSE),30))</f>
        <v/>
      </c>
      <c r="I30" s="33" t="str">
        <f>IF(A30="","",IFERROR(VLOOKUP(B30,COLLECTIONS!$A:$I,7,FALSE),"Unpaid"))</f>
        <v/>
      </c>
    </row>
    <row r="31" ht="15.75" customHeight="1">
      <c r="A31" s="33" t="str">
        <f>IF(PROFITABILITY!A31="","",PROFITABILITY!A31)</f>
        <v/>
      </c>
      <c r="B31" s="33" t="str">
        <f t="shared" si="1"/>
        <v/>
      </c>
      <c r="C31" s="39" t="str">
        <f>IF(A31="","",IFERROR(VLOOKUP(A31,BOOKINGS!$A:$Q,8,FALSE),BOOKINGS!B31))</f>
        <v/>
      </c>
      <c r="D31" s="38" t="str">
        <f>IF(A31="","",PROFITABILITY!B31)</f>
        <v/>
      </c>
      <c r="E31" s="38" t="str">
        <f>IF(A31="","",SETUP_RATES!$K$4)</f>
        <v/>
      </c>
      <c r="F31" s="38" t="str">
        <f t="shared" si="2"/>
        <v/>
      </c>
      <c r="G31" s="33" t="str">
        <f t="shared" si="3"/>
        <v/>
      </c>
      <c r="H31" s="39" t="str">
        <f>IF(C31="","",C31+IFERROR(VLOOKUP(VLOOKUP(A31,BOOKINGS!$A:$Q,3,FALSE),CLIENTS!$A:$H,6,FALSE),30))</f>
        <v/>
      </c>
      <c r="I31" s="33" t="str">
        <f>IF(A31="","",IFERROR(VLOOKUP(B31,COLLECTIONS!$A:$I,7,FALSE),"Unpaid"))</f>
        <v/>
      </c>
    </row>
    <row r="32" ht="15.75" customHeight="1">
      <c r="A32" s="33" t="str">
        <f>IF(PROFITABILITY!A32="","",PROFITABILITY!A32)</f>
        <v/>
      </c>
      <c r="B32" s="33" t="str">
        <f t="shared" si="1"/>
        <v/>
      </c>
      <c r="C32" s="39" t="str">
        <f>IF(A32="","",IFERROR(VLOOKUP(A32,BOOKINGS!$A:$Q,8,FALSE),BOOKINGS!B32))</f>
        <v/>
      </c>
      <c r="D32" s="38" t="str">
        <f>IF(A32="","",PROFITABILITY!B32)</f>
        <v/>
      </c>
      <c r="E32" s="38" t="str">
        <f>IF(A32="","",SETUP_RATES!$K$4)</f>
        <v/>
      </c>
      <c r="F32" s="38" t="str">
        <f t="shared" si="2"/>
        <v/>
      </c>
      <c r="G32" s="33" t="str">
        <f t="shared" si="3"/>
        <v/>
      </c>
      <c r="H32" s="39" t="str">
        <f>IF(C32="","",C32+IFERROR(VLOOKUP(VLOOKUP(A32,BOOKINGS!$A:$Q,3,FALSE),CLIENTS!$A:$H,6,FALSE),30))</f>
        <v/>
      </c>
      <c r="I32" s="33" t="str">
        <f>IF(A32="","",IFERROR(VLOOKUP(B32,COLLECTIONS!$A:$I,7,FALSE),"Unpaid"))</f>
        <v/>
      </c>
    </row>
    <row r="33" ht="15.75" customHeight="1">
      <c r="A33" s="33" t="str">
        <f>IF(PROFITABILITY!A33="","",PROFITABILITY!A33)</f>
        <v/>
      </c>
      <c r="B33" s="33" t="str">
        <f t="shared" si="1"/>
        <v/>
      </c>
      <c r="C33" s="39" t="str">
        <f>IF(A33="","",IFERROR(VLOOKUP(A33,BOOKINGS!$A:$Q,8,FALSE),BOOKINGS!B33))</f>
        <v/>
      </c>
      <c r="D33" s="38" t="str">
        <f>IF(A33="","",PROFITABILITY!B33)</f>
        <v/>
      </c>
      <c r="E33" s="38" t="str">
        <f>IF(A33="","",SETUP_RATES!$K$4)</f>
        <v/>
      </c>
      <c r="F33" s="38" t="str">
        <f t="shared" si="2"/>
        <v/>
      </c>
      <c r="G33" s="33" t="str">
        <f t="shared" si="3"/>
        <v/>
      </c>
      <c r="H33" s="39" t="str">
        <f>IF(C33="","",C33+IFERROR(VLOOKUP(VLOOKUP(A33,BOOKINGS!$A:$Q,3,FALSE),CLIENTS!$A:$H,6,FALSE),30))</f>
        <v/>
      </c>
      <c r="I33" s="33" t="str">
        <f>IF(A33="","",IFERROR(VLOOKUP(B33,COLLECTIONS!$A:$I,7,FALSE),"Unpaid"))</f>
        <v/>
      </c>
    </row>
    <row r="34" ht="15.75" customHeight="1">
      <c r="A34" s="33" t="str">
        <f>IF(PROFITABILITY!A34="","",PROFITABILITY!A34)</f>
        <v/>
      </c>
      <c r="B34" s="33" t="str">
        <f t="shared" si="1"/>
        <v/>
      </c>
      <c r="C34" s="39" t="str">
        <f>IF(A34="","",IFERROR(VLOOKUP(A34,BOOKINGS!$A:$Q,8,FALSE),BOOKINGS!B34))</f>
        <v/>
      </c>
      <c r="D34" s="38" t="str">
        <f>IF(A34="","",PROFITABILITY!B34)</f>
        <v/>
      </c>
      <c r="E34" s="38" t="str">
        <f>IF(A34="","",SETUP_RATES!$K$4)</f>
        <v/>
      </c>
      <c r="F34" s="38" t="str">
        <f t="shared" si="2"/>
        <v/>
      </c>
      <c r="G34" s="33" t="str">
        <f t="shared" si="3"/>
        <v/>
      </c>
      <c r="H34" s="39" t="str">
        <f>IF(C34="","",C34+IFERROR(VLOOKUP(VLOOKUP(A34,BOOKINGS!$A:$Q,3,FALSE),CLIENTS!$A:$H,6,FALSE),30))</f>
        <v/>
      </c>
      <c r="I34" s="33" t="str">
        <f>IF(A34="","",IFERROR(VLOOKUP(B34,COLLECTIONS!$A:$I,7,FALSE),"Unpaid"))</f>
        <v/>
      </c>
    </row>
    <row r="35" ht="15.75" customHeight="1">
      <c r="A35" s="33" t="str">
        <f>IF(PROFITABILITY!A35="","",PROFITABILITY!A35)</f>
        <v/>
      </c>
      <c r="B35" s="33" t="str">
        <f t="shared" si="1"/>
        <v/>
      </c>
      <c r="C35" s="39" t="str">
        <f>IF(A35="","",IFERROR(VLOOKUP(A35,BOOKINGS!$A:$Q,8,FALSE),BOOKINGS!B35))</f>
        <v/>
      </c>
      <c r="D35" s="38" t="str">
        <f>IF(A35="","",PROFITABILITY!B35)</f>
        <v/>
      </c>
      <c r="E35" s="38" t="str">
        <f>IF(A35="","",SETUP_RATES!$K$4)</f>
        <v/>
      </c>
      <c r="F35" s="38" t="str">
        <f t="shared" si="2"/>
        <v/>
      </c>
      <c r="G35" s="33" t="str">
        <f t="shared" si="3"/>
        <v/>
      </c>
      <c r="H35" s="39" t="str">
        <f>IF(C35="","",C35+IFERROR(VLOOKUP(VLOOKUP(A35,BOOKINGS!$A:$Q,3,FALSE),CLIENTS!$A:$H,6,FALSE),30))</f>
        <v/>
      </c>
      <c r="I35" s="33" t="str">
        <f>IF(A35="","",IFERROR(VLOOKUP(B35,COLLECTIONS!$A:$I,7,FALSE),"Unpaid"))</f>
        <v/>
      </c>
    </row>
    <row r="36" ht="15.75" customHeight="1">
      <c r="A36" s="33" t="str">
        <f>IF(PROFITABILITY!A36="","",PROFITABILITY!A36)</f>
        <v/>
      </c>
      <c r="B36" s="33" t="str">
        <f t="shared" si="1"/>
        <v/>
      </c>
      <c r="C36" s="39" t="str">
        <f>IF(A36="","",IFERROR(VLOOKUP(A36,BOOKINGS!$A:$Q,8,FALSE),BOOKINGS!B36))</f>
        <v/>
      </c>
      <c r="D36" s="38" t="str">
        <f>IF(A36="","",PROFITABILITY!B36)</f>
        <v/>
      </c>
      <c r="E36" s="38" t="str">
        <f>IF(A36="","",SETUP_RATES!$K$4)</f>
        <v/>
      </c>
      <c r="F36" s="38" t="str">
        <f t="shared" si="2"/>
        <v/>
      </c>
      <c r="G36" s="33" t="str">
        <f t="shared" si="3"/>
        <v/>
      </c>
      <c r="H36" s="39" t="str">
        <f>IF(C36="","",C36+IFERROR(VLOOKUP(VLOOKUP(A36,BOOKINGS!$A:$Q,3,FALSE),CLIENTS!$A:$H,6,FALSE),30))</f>
        <v/>
      </c>
      <c r="I36" s="33" t="str">
        <f>IF(A36="","",IFERROR(VLOOKUP(B36,COLLECTIONS!$A:$I,7,FALSE),"Unpaid"))</f>
        <v/>
      </c>
    </row>
    <row r="37" ht="15.75" customHeight="1">
      <c r="A37" s="33" t="str">
        <f>IF(PROFITABILITY!A37="","",PROFITABILITY!A37)</f>
        <v/>
      </c>
      <c r="B37" s="33" t="str">
        <f t="shared" si="1"/>
        <v/>
      </c>
      <c r="C37" s="39" t="str">
        <f>IF(A37="","",IFERROR(VLOOKUP(A37,BOOKINGS!$A:$Q,8,FALSE),BOOKINGS!B37))</f>
        <v/>
      </c>
      <c r="D37" s="38" t="str">
        <f>IF(A37="","",PROFITABILITY!B37)</f>
        <v/>
      </c>
      <c r="E37" s="38" t="str">
        <f>IF(A37="","",SETUP_RATES!$K$4)</f>
        <v/>
      </c>
      <c r="F37" s="38" t="str">
        <f t="shared" si="2"/>
        <v/>
      </c>
      <c r="G37" s="33" t="str">
        <f t="shared" si="3"/>
        <v/>
      </c>
      <c r="H37" s="39" t="str">
        <f>IF(C37="","",C37+IFERROR(VLOOKUP(VLOOKUP(A37,BOOKINGS!$A:$Q,3,FALSE),CLIENTS!$A:$H,6,FALSE),30))</f>
        <v/>
      </c>
      <c r="I37" s="33" t="str">
        <f>IF(A37="","",IFERROR(VLOOKUP(B37,COLLECTIONS!$A:$I,7,FALSE),"Unpaid"))</f>
        <v/>
      </c>
    </row>
    <row r="38" ht="15.75" customHeight="1">
      <c r="A38" s="33" t="str">
        <f>IF(PROFITABILITY!A38="","",PROFITABILITY!A38)</f>
        <v/>
      </c>
      <c r="B38" s="33" t="str">
        <f t="shared" si="1"/>
        <v/>
      </c>
      <c r="C38" s="39" t="str">
        <f>IF(A38="","",IFERROR(VLOOKUP(A38,BOOKINGS!$A:$Q,8,FALSE),BOOKINGS!B38))</f>
        <v/>
      </c>
      <c r="D38" s="38" t="str">
        <f>IF(A38="","",PROFITABILITY!B38)</f>
        <v/>
      </c>
      <c r="E38" s="38" t="str">
        <f>IF(A38="","",SETUP_RATES!$K$4)</f>
        <v/>
      </c>
      <c r="F38" s="38" t="str">
        <f t="shared" si="2"/>
        <v/>
      </c>
      <c r="G38" s="33" t="str">
        <f t="shared" si="3"/>
        <v/>
      </c>
      <c r="H38" s="39" t="str">
        <f>IF(C38="","",C38+IFERROR(VLOOKUP(VLOOKUP(A38,BOOKINGS!$A:$Q,3,FALSE),CLIENTS!$A:$H,6,FALSE),30))</f>
        <v/>
      </c>
      <c r="I38" s="33" t="str">
        <f>IF(A38="","",IFERROR(VLOOKUP(B38,COLLECTIONS!$A:$I,7,FALSE),"Unpaid"))</f>
        <v/>
      </c>
    </row>
    <row r="39" ht="15.75" customHeight="1">
      <c r="A39" s="33" t="str">
        <f>IF(PROFITABILITY!A39="","",PROFITABILITY!A39)</f>
        <v/>
      </c>
      <c r="B39" s="33" t="str">
        <f t="shared" si="1"/>
        <v/>
      </c>
      <c r="C39" s="39" t="str">
        <f>IF(A39="","",IFERROR(VLOOKUP(A39,BOOKINGS!$A:$Q,8,FALSE),BOOKINGS!B39))</f>
        <v/>
      </c>
      <c r="D39" s="38" t="str">
        <f>IF(A39="","",PROFITABILITY!B39)</f>
        <v/>
      </c>
      <c r="E39" s="38" t="str">
        <f>IF(A39="","",SETUP_RATES!$K$4)</f>
        <v/>
      </c>
      <c r="F39" s="38" t="str">
        <f t="shared" si="2"/>
        <v/>
      </c>
      <c r="G39" s="33" t="str">
        <f t="shared" si="3"/>
        <v/>
      </c>
      <c r="H39" s="39" t="str">
        <f>IF(C39="","",C39+IFERROR(VLOOKUP(VLOOKUP(A39,BOOKINGS!$A:$Q,3,FALSE),CLIENTS!$A:$H,6,FALSE),30))</f>
        <v/>
      </c>
      <c r="I39" s="33" t="str">
        <f>IF(A39="","",IFERROR(VLOOKUP(B39,COLLECTIONS!$A:$I,7,FALSE),"Unpaid"))</f>
        <v/>
      </c>
    </row>
    <row r="40" ht="15.75" customHeight="1">
      <c r="A40" s="33" t="str">
        <f>IF(PROFITABILITY!A40="","",PROFITABILITY!A40)</f>
        <v/>
      </c>
      <c r="B40" s="33" t="str">
        <f t="shared" si="1"/>
        <v/>
      </c>
      <c r="C40" s="39" t="str">
        <f>IF(A40="","",IFERROR(VLOOKUP(A40,BOOKINGS!$A:$Q,8,FALSE),BOOKINGS!B40))</f>
        <v/>
      </c>
      <c r="D40" s="38" t="str">
        <f>IF(A40="","",PROFITABILITY!B40)</f>
        <v/>
      </c>
      <c r="E40" s="38" t="str">
        <f>IF(A40="","",SETUP_RATES!$K$4)</f>
        <v/>
      </c>
      <c r="F40" s="38" t="str">
        <f t="shared" si="2"/>
        <v/>
      </c>
      <c r="G40" s="33" t="str">
        <f t="shared" si="3"/>
        <v/>
      </c>
      <c r="H40" s="39" t="str">
        <f>IF(C40="","",C40+IFERROR(VLOOKUP(VLOOKUP(A40,BOOKINGS!$A:$Q,3,FALSE),CLIENTS!$A:$H,6,FALSE),30))</f>
        <v/>
      </c>
      <c r="I40" s="33" t="str">
        <f>IF(A40="","",IFERROR(VLOOKUP(B40,COLLECTIONS!$A:$I,7,FALSE),"Unpaid"))</f>
        <v/>
      </c>
    </row>
    <row r="41" ht="15.75" customHeight="1">
      <c r="A41" s="33" t="str">
        <f>IF(PROFITABILITY!A41="","",PROFITABILITY!A41)</f>
        <v/>
      </c>
      <c r="B41" s="33" t="str">
        <f t="shared" si="1"/>
        <v/>
      </c>
      <c r="C41" s="39" t="str">
        <f>IF(A41="","",IFERROR(VLOOKUP(A41,BOOKINGS!$A:$Q,8,FALSE),BOOKINGS!B41))</f>
        <v/>
      </c>
      <c r="D41" s="38" t="str">
        <f>IF(A41="","",PROFITABILITY!B41)</f>
        <v/>
      </c>
      <c r="E41" s="38" t="str">
        <f>IF(A41="","",SETUP_RATES!$K$4)</f>
        <v/>
      </c>
      <c r="F41" s="38" t="str">
        <f t="shared" si="2"/>
        <v/>
      </c>
      <c r="G41" s="33" t="str">
        <f t="shared" si="3"/>
        <v/>
      </c>
      <c r="H41" s="39" t="str">
        <f>IF(C41="","",C41+IFERROR(VLOOKUP(VLOOKUP(A41,BOOKINGS!$A:$Q,3,FALSE),CLIENTS!$A:$H,6,FALSE),30))</f>
        <v/>
      </c>
      <c r="I41" s="33" t="str">
        <f>IF(A41="","",IFERROR(VLOOKUP(B41,COLLECTIONS!$A:$I,7,FALSE),"Unpaid"))</f>
        <v/>
      </c>
    </row>
    <row r="42" ht="15.75" customHeight="1">
      <c r="A42" s="33" t="str">
        <f>IF(PROFITABILITY!A42="","",PROFITABILITY!A42)</f>
        <v/>
      </c>
      <c r="B42" s="33" t="str">
        <f t="shared" si="1"/>
        <v/>
      </c>
      <c r="C42" s="39" t="str">
        <f>IF(A42="","",IFERROR(VLOOKUP(A42,BOOKINGS!$A:$Q,8,FALSE),BOOKINGS!B42))</f>
        <v/>
      </c>
      <c r="D42" s="38" t="str">
        <f>IF(A42="","",PROFITABILITY!B42)</f>
        <v/>
      </c>
      <c r="E42" s="38" t="str">
        <f>IF(A42="","",SETUP_RATES!$K$4)</f>
        <v/>
      </c>
      <c r="F42" s="38" t="str">
        <f t="shared" si="2"/>
        <v/>
      </c>
      <c r="G42" s="33" t="str">
        <f t="shared" si="3"/>
        <v/>
      </c>
      <c r="H42" s="39" t="str">
        <f>IF(C42="","",C42+IFERROR(VLOOKUP(VLOOKUP(A42,BOOKINGS!$A:$Q,3,FALSE),CLIENTS!$A:$H,6,FALSE),30))</f>
        <v/>
      </c>
      <c r="I42" s="33" t="str">
        <f>IF(A42="","",IFERROR(VLOOKUP(B42,COLLECTIONS!$A:$I,7,FALSE),"Unpaid"))</f>
        <v/>
      </c>
    </row>
    <row r="43" ht="15.75" customHeight="1">
      <c r="A43" s="33" t="str">
        <f>IF(PROFITABILITY!A43="","",PROFITABILITY!A43)</f>
        <v/>
      </c>
      <c r="B43" s="33" t="str">
        <f t="shared" si="1"/>
        <v/>
      </c>
      <c r="C43" s="39" t="str">
        <f>IF(A43="","",IFERROR(VLOOKUP(A43,BOOKINGS!$A:$Q,8,FALSE),BOOKINGS!B43))</f>
        <v/>
      </c>
      <c r="D43" s="38" t="str">
        <f>IF(A43="","",PROFITABILITY!B43)</f>
        <v/>
      </c>
      <c r="E43" s="38" t="str">
        <f>IF(A43="","",SETUP_RATES!$K$4)</f>
        <v/>
      </c>
      <c r="F43" s="38" t="str">
        <f t="shared" si="2"/>
        <v/>
      </c>
      <c r="G43" s="33" t="str">
        <f t="shared" si="3"/>
        <v/>
      </c>
      <c r="H43" s="39" t="str">
        <f>IF(C43="","",C43+IFERROR(VLOOKUP(VLOOKUP(A43,BOOKINGS!$A:$Q,3,FALSE),CLIENTS!$A:$H,6,FALSE),30))</f>
        <v/>
      </c>
      <c r="I43" s="33" t="str">
        <f>IF(A43="","",IFERROR(VLOOKUP(B43,COLLECTIONS!$A:$I,7,FALSE),"Unpaid"))</f>
        <v/>
      </c>
    </row>
    <row r="44" ht="15.75" customHeight="1">
      <c r="A44" s="33" t="str">
        <f>IF(PROFITABILITY!A44="","",PROFITABILITY!A44)</f>
        <v/>
      </c>
      <c r="B44" s="33" t="str">
        <f t="shared" si="1"/>
        <v/>
      </c>
      <c r="C44" s="39" t="str">
        <f>IF(A44="","",IFERROR(VLOOKUP(A44,BOOKINGS!$A:$Q,8,FALSE),BOOKINGS!B44))</f>
        <v/>
      </c>
      <c r="D44" s="38" t="str">
        <f>IF(A44="","",PROFITABILITY!B44)</f>
        <v/>
      </c>
      <c r="E44" s="38" t="str">
        <f>IF(A44="","",SETUP_RATES!$K$4)</f>
        <v/>
      </c>
      <c r="F44" s="38" t="str">
        <f t="shared" si="2"/>
        <v/>
      </c>
      <c r="G44" s="33" t="str">
        <f t="shared" si="3"/>
        <v/>
      </c>
      <c r="H44" s="39" t="str">
        <f>IF(C44="","",C44+IFERROR(VLOOKUP(VLOOKUP(A44,BOOKINGS!$A:$Q,3,FALSE),CLIENTS!$A:$H,6,FALSE),30))</f>
        <v/>
      </c>
      <c r="I44" s="33" t="str">
        <f>IF(A44="","",IFERROR(VLOOKUP(B44,COLLECTIONS!$A:$I,7,FALSE),"Unpaid"))</f>
        <v/>
      </c>
    </row>
    <row r="45" ht="15.75" customHeight="1">
      <c r="A45" s="33" t="str">
        <f>IF(PROFITABILITY!A45="","",PROFITABILITY!A45)</f>
        <v/>
      </c>
      <c r="B45" s="33" t="str">
        <f t="shared" si="1"/>
        <v/>
      </c>
      <c r="C45" s="39" t="str">
        <f>IF(A45="","",IFERROR(VLOOKUP(A45,BOOKINGS!$A:$Q,8,FALSE),BOOKINGS!B45))</f>
        <v/>
      </c>
      <c r="D45" s="38" t="str">
        <f>IF(A45="","",PROFITABILITY!B45)</f>
        <v/>
      </c>
      <c r="E45" s="38" t="str">
        <f>IF(A45="","",SETUP_RATES!$K$4)</f>
        <v/>
      </c>
      <c r="F45" s="38" t="str">
        <f t="shared" si="2"/>
        <v/>
      </c>
      <c r="G45" s="33" t="str">
        <f t="shared" si="3"/>
        <v/>
      </c>
      <c r="H45" s="39" t="str">
        <f>IF(C45="","",C45+IFERROR(VLOOKUP(VLOOKUP(A45,BOOKINGS!$A:$Q,3,FALSE),CLIENTS!$A:$H,6,FALSE),30))</f>
        <v/>
      </c>
      <c r="I45" s="33" t="str">
        <f>IF(A45="","",IFERROR(VLOOKUP(B45,COLLECTIONS!$A:$I,7,FALSE),"Unpaid"))</f>
        <v/>
      </c>
    </row>
    <row r="46" ht="15.75" customHeight="1">
      <c r="A46" s="33" t="str">
        <f>IF(PROFITABILITY!A46="","",PROFITABILITY!A46)</f>
        <v/>
      </c>
      <c r="B46" s="33" t="str">
        <f t="shared" si="1"/>
        <v/>
      </c>
      <c r="C46" s="39" t="str">
        <f>IF(A46="","",IFERROR(VLOOKUP(A46,BOOKINGS!$A:$Q,8,FALSE),BOOKINGS!B46))</f>
        <v/>
      </c>
      <c r="D46" s="38" t="str">
        <f>IF(A46="","",PROFITABILITY!B46)</f>
        <v/>
      </c>
      <c r="E46" s="38" t="str">
        <f>IF(A46="","",SETUP_RATES!$K$4)</f>
        <v/>
      </c>
      <c r="F46" s="38" t="str">
        <f t="shared" si="2"/>
        <v/>
      </c>
      <c r="G46" s="33" t="str">
        <f t="shared" si="3"/>
        <v/>
      </c>
      <c r="H46" s="39" t="str">
        <f>IF(C46="","",C46+IFERROR(VLOOKUP(VLOOKUP(A46,BOOKINGS!$A:$Q,3,FALSE),CLIENTS!$A:$H,6,FALSE),30))</f>
        <v/>
      </c>
      <c r="I46" s="33" t="str">
        <f>IF(A46="","",IFERROR(VLOOKUP(B46,COLLECTIONS!$A:$I,7,FALSE),"Unpaid"))</f>
        <v/>
      </c>
    </row>
    <row r="47" ht="15.75" customHeight="1">
      <c r="A47" s="33" t="str">
        <f>IF(PROFITABILITY!A47="","",PROFITABILITY!A47)</f>
        <v/>
      </c>
      <c r="B47" s="33" t="str">
        <f t="shared" si="1"/>
        <v/>
      </c>
      <c r="C47" s="39" t="str">
        <f>IF(A47="","",IFERROR(VLOOKUP(A47,BOOKINGS!$A:$Q,8,FALSE),BOOKINGS!B47))</f>
        <v/>
      </c>
      <c r="D47" s="38" t="str">
        <f>IF(A47="","",PROFITABILITY!B47)</f>
        <v/>
      </c>
      <c r="E47" s="38" t="str">
        <f>IF(A47="","",SETUP_RATES!$K$4)</f>
        <v/>
      </c>
      <c r="F47" s="38" t="str">
        <f t="shared" si="2"/>
        <v/>
      </c>
      <c r="G47" s="33" t="str">
        <f t="shared" si="3"/>
        <v/>
      </c>
      <c r="H47" s="39" t="str">
        <f>IF(C47="","",C47+IFERROR(VLOOKUP(VLOOKUP(A47,BOOKINGS!$A:$Q,3,FALSE),CLIENTS!$A:$H,6,FALSE),30))</f>
        <v/>
      </c>
      <c r="I47" s="33" t="str">
        <f>IF(A47="","",IFERROR(VLOOKUP(B47,COLLECTIONS!$A:$I,7,FALSE),"Unpaid"))</f>
        <v/>
      </c>
    </row>
    <row r="48" ht="15.75" customHeight="1">
      <c r="A48" s="33" t="str">
        <f>IF(PROFITABILITY!A48="","",PROFITABILITY!A48)</f>
        <v/>
      </c>
      <c r="B48" s="33" t="str">
        <f t="shared" si="1"/>
        <v/>
      </c>
      <c r="C48" s="39" t="str">
        <f>IF(A48="","",IFERROR(VLOOKUP(A48,BOOKINGS!$A:$Q,8,FALSE),BOOKINGS!B48))</f>
        <v/>
      </c>
      <c r="D48" s="38" t="str">
        <f>IF(A48="","",PROFITABILITY!B48)</f>
        <v/>
      </c>
      <c r="E48" s="38" t="str">
        <f>IF(A48="","",SETUP_RATES!$K$4)</f>
        <v/>
      </c>
      <c r="F48" s="38" t="str">
        <f t="shared" si="2"/>
        <v/>
      </c>
      <c r="G48" s="33" t="str">
        <f t="shared" si="3"/>
        <v/>
      </c>
      <c r="H48" s="39" t="str">
        <f>IF(C48="","",C48+IFERROR(VLOOKUP(VLOOKUP(A48,BOOKINGS!$A:$Q,3,FALSE),CLIENTS!$A:$H,6,FALSE),30))</f>
        <v/>
      </c>
      <c r="I48" s="33" t="str">
        <f>IF(A48="","",IFERROR(VLOOKUP(B48,COLLECTIONS!$A:$I,7,FALSE),"Unpaid"))</f>
        <v/>
      </c>
    </row>
    <row r="49" ht="15.75" customHeight="1">
      <c r="A49" s="33" t="str">
        <f>IF(PROFITABILITY!A49="","",PROFITABILITY!A49)</f>
        <v/>
      </c>
      <c r="B49" s="33" t="str">
        <f t="shared" si="1"/>
        <v/>
      </c>
      <c r="C49" s="39" t="str">
        <f>IF(A49="","",IFERROR(VLOOKUP(A49,BOOKINGS!$A:$Q,8,FALSE),BOOKINGS!B49))</f>
        <v/>
      </c>
      <c r="D49" s="38" t="str">
        <f>IF(A49="","",PROFITABILITY!B49)</f>
        <v/>
      </c>
      <c r="E49" s="38" t="str">
        <f>IF(A49="","",SETUP_RATES!$K$4)</f>
        <v/>
      </c>
      <c r="F49" s="38" t="str">
        <f t="shared" si="2"/>
        <v/>
      </c>
      <c r="G49" s="33" t="str">
        <f t="shared" si="3"/>
        <v/>
      </c>
      <c r="H49" s="39" t="str">
        <f>IF(C49="","",C49+IFERROR(VLOOKUP(VLOOKUP(A49,BOOKINGS!$A:$Q,3,FALSE),CLIENTS!$A:$H,6,FALSE),30))</f>
        <v/>
      </c>
      <c r="I49" s="33" t="str">
        <f>IF(A49="","",IFERROR(VLOOKUP(B49,COLLECTIONS!$A:$I,7,FALSE),"Unpaid"))</f>
        <v/>
      </c>
    </row>
    <row r="50" ht="15.75" customHeight="1">
      <c r="A50" s="33" t="str">
        <f>IF(PROFITABILITY!A50="","",PROFITABILITY!A50)</f>
        <v/>
      </c>
      <c r="B50" s="33" t="str">
        <f t="shared" si="1"/>
        <v/>
      </c>
      <c r="C50" s="39" t="str">
        <f>IF(A50="","",IFERROR(VLOOKUP(A50,BOOKINGS!$A:$Q,8,FALSE),BOOKINGS!B50))</f>
        <v/>
      </c>
      <c r="D50" s="38" t="str">
        <f>IF(A50="","",PROFITABILITY!B50)</f>
        <v/>
      </c>
      <c r="E50" s="38" t="str">
        <f>IF(A50="","",SETUP_RATES!$K$4)</f>
        <v/>
      </c>
      <c r="F50" s="38" t="str">
        <f t="shared" si="2"/>
        <v/>
      </c>
      <c r="G50" s="33" t="str">
        <f t="shared" si="3"/>
        <v/>
      </c>
      <c r="H50" s="39" t="str">
        <f>IF(C50="","",C50+IFERROR(VLOOKUP(VLOOKUP(A50,BOOKINGS!$A:$Q,3,FALSE),CLIENTS!$A:$H,6,FALSE),30))</f>
        <v/>
      </c>
      <c r="I50" s="33" t="str">
        <f>IF(A50="","",IFERROR(VLOOKUP(B50,COLLECTIONS!$A:$I,7,FALSE),"Unpaid"))</f>
        <v/>
      </c>
    </row>
    <row r="51" ht="15.75" customHeight="1">
      <c r="A51" s="33" t="str">
        <f>IF(PROFITABILITY!A51="","",PROFITABILITY!A51)</f>
        <v/>
      </c>
      <c r="B51" s="33" t="str">
        <f t="shared" si="1"/>
        <v/>
      </c>
      <c r="C51" s="39" t="str">
        <f>IF(A51="","",IFERROR(VLOOKUP(A51,BOOKINGS!$A:$Q,8,FALSE),BOOKINGS!B51))</f>
        <v/>
      </c>
      <c r="D51" s="38" t="str">
        <f>IF(A51="","",PROFITABILITY!B51)</f>
        <v/>
      </c>
      <c r="E51" s="38" t="str">
        <f>IF(A51="","",SETUP_RATES!$K$4)</f>
        <v/>
      </c>
      <c r="F51" s="38" t="str">
        <f t="shared" si="2"/>
        <v/>
      </c>
      <c r="G51" s="33" t="str">
        <f t="shared" si="3"/>
        <v/>
      </c>
      <c r="H51" s="39" t="str">
        <f>IF(C51="","",C51+IFERROR(VLOOKUP(VLOOKUP(A51,BOOKINGS!$A:$Q,3,FALSE),CLIENTS!$A:$H,6,FALSE),30))</f>
        <v/>
      </c>
      <c r="I51" s="33" t="str">
        <f>IF(A51="","",IFERROR(VLOOKUP(B51,COLLECTIONS!$A:$I,7,FALSE),"Unpaid"))</f>
        <v/>
      </c>
    </row>
    <row r="52" ht="15.75" customHeight="1">
      <c r="A52" s="33" t="str">
        <f>IF(PROFITABILITY!A52="","",PROFITABILITY!A52)</f>
        <v/>
      </c>
      <c r="B52" s="33" t="str">
        <f t="shared" si="1"/>
        <v/>
      </c>
      <c r="C52" s="39" t="str">
        <f>IF(A52="","",IFERROR(VLOOKUP(A52,BOOKINGS!$A:$Q,8,FALSE),BOOKINGS!B52))</f>
        <v/>
      </c>
      <c r="D52" s="38" t="str">
        <f>IF(A52="","",PROFITABILITY!B52)</f>
        <v/>
      </c>
      <c r="E52" s="38" t="str">
        <f>IF(A52="","",SETUP_RATES!$K$4)</f>
        <v/>
      </c>
      <c r="F52" s="38" t="str">
        <f t="shared" si="2"/>
        <v/>
      </c>
      <c r="G52" s="33" t="str">
        <f t="shared" si="3"/>
        <v/>
      </c>
      <c r="H52" s="39" t="str">
        <f>IF(C52="","",C52+IFERROR(VLOOKUP(VLOOKUP(A52,BOOKINGS!$A:$Q,3,FALSE),CLIENTS!$A:$H,6,FALSE),30))</f>
        <v/>
      </c>
      <c r="I52" s="33" t="str">
        <f>IF(A52="","",IFERROR(VLOOKUP(B52,COLLECTIONS!$A:$I,7,FALSE),"Unpaid"))</f>
        <v/>
      </c>
    </row>
    <row r="53" ht="15.75" customHeight="1">
      <c r="A53" s="33" t="str">
        <f>IF(PROFITABILITY!A53="","",PROFITABILITY!A53)</f>
        <v/>
      </c>
      <c r="B53" s="33" t="str">
        <f t="shared" si="1"/>
        <v/>
      </c>
      <c r="C53" s="39" t="str">
        <f>IF(A53="","",IFERROR(VLOOKUP(A53,BOOKINGS!$A:$Q,8,FALSE),BOOKINGS!B53))</f>
        <v/>
      </c>
      <c r="D53" s="38" t="str">
        <f>IF(A53="","",PROFITABILITY!B53)</f>
        <v/>
      </c>
      <c r="E53" s="38" t="str">
        <f>IF(A53="","",SETUP_RATES!$K$4)</f>
        <v/>
      </c>
      <c r="F53" s="38" t="str">
        <f t="shared" si="2"/>
        <v/>
      </c>
      <c r="G53" s="33" t="str">
        <f t="shared" si="3"/>
        <v/>
      </c>
      <c r="H53" s="39" t="str">
        <f>IF(C53="","",C53+IFERROR(VLOOKUP(VLOOKUP(A53,BOOKINGS!$A:$Q,3,FALSE),CLIENTS!$A:$H,6,FALSE),30))</f>
        <v/>
      </c>
      <c r="I53" s="33" t="str">
        <f>IF(A53="","",IFERROR(VLOOKUP(B53,COLLECTIONS!$A:$I,7,FALSE),"Unpaid"))</f>
        <v/>
      </c>
    </row>
    <row r="54" ht="15.75" customHeight="1">
      <c r="A54" s="33" t="str">
        <f>IF(PROFITABILITY!A54="","",PROFITABILITY!A54)</f>
        <v/>
      </c>
      <c r="B54" s="33" t="str">
        <f t="shared" si="1"/>
        <v/>
      </c>
      <c r="C54" s="39" t="str">
        <f>IF(A54="","",IFERROR(VLOOKUP(A54,BOOKINGS!$A:$Q,8,FALSE),BOOKINGS!B54))</f>
        <v/>
      </c>
      <c r="D54" s="38" t="str">
        <f>IF(A54="","",PROFITABILITY!B54)</f>
        <v/>
      </c>
      <c r="E54" s="38" t="str">
        <f>IF(A54="","",SETUP_RATES!$K$4)</f>
        <v/>
      </c>
      <c r="F54" s="38" t="str">
        <f t="shared" si="2"/>
        <v/>
      </c>
      <c r="G54" s="33" t="str">
        <f t="shared" si="3"/>
        <v/>
      </c>
      <c r="H54" s="39" t="str">
        <f>IF(C54="","",C54+IFERROR(VLOOKUP(VLOOKUP(A54,BOOKINGS!$A:$Q,3,FALSE),CLIENTS!$A:$H,6,FALSE),30))</f>
        <v/>
      </c>
      <c r="I54" s="33" t="str">
        <f>IF(A54="","",IFERROR(VLOOKUP(B54,COLLECTIONS!$A:$I,7,FALSE),"Unpaid"))</f>
        <v/>
      </c>
    </row>
    <row r="55" ht="15.75" customHeight="1">
      <c r="A55" s="33" t="str">
        <f>IF(PROFITABILITY!A55="","",PROFITABILITY!A55)</f>
        <v/>
      </c>
      <c r="B55" s="33" t="str">
        <f t="shared" si="1"/>
        <v/>
      </c>
      <c r="C55" s="39" t="str">
        <f>IF(A55="","",IFERROR(VLOOKUP(A55,BOOKINGS!$A:$Q,8,FALSE),BOOKINGS!B55))</f>
        <v/>
      </c>
      <c r="D55" s="38" t="str">
        <f>IF(A55="","",PROFITABILITY!B55)</f>
        <v/>
      </c>
      <c r="E55" s="38" t="str">
        <f>IF(A55="","",SETUP_RATES!$K$4)</f>
        <v/>
      </c>
      <c r="F55" s="38" t="str">
        <f t="shared" si="2"/>
        <v/>
      </c>
      <c r="G55" s="33" t="str">
        <f t="shared" si="3"/>
        <v/>
      </c>
      <c r="H55" s="39" t="str">
        <f>IF(C55="","",C55+IFERROR(VLOOKUP(VLOOKUP(A55,BOOKINGS!$A:$Q,3,FALSE),CLIENTS!$A:$H,6,FALSE),30))</f>
        <v/>
      </c>
      <c r="I55" s="33" t="str">
        <f>IF(A55="","",IFERROR(VLOOKUP(B55,COLLECTIONS!$A:$I,7,FALSE),"Unpaid"))</f>
        <v/>
      </c>
    </row>
    <row r="56" ht="15.75" customHeight="1">
      <c r="A56" s="33" t="str">
        <f>IF(PROFITABILITY!A56="","",PROFITABILITY!A56)</f>
        <v/>
      </c>
      <c r="B56" s="33" t="str">
        <f t="shared" si="1"/>
        <v/>
      </c>
      <c r="C56" s="39" t="str">
        <f>IF(A56="","",IFERROR(VLOOKUP(A56,BOOKINGS!$A:$Q,8,FALSE),BOOKINGS!B56))</f>
        <v/>
      </c>
      <c r="D56" s="38" t="str">
        <f>IF(A56="","",PROFITABILITY!B56)</f>
        <v/>
      </c>
      <c r="E56" s="38" t="str">
        <f>IF(A56="","",SETUP_RATES!$K$4)</f>
        <v/>
      </c>
      <c r="F56" s="38" t="str">
        <f t="shared" si="2"/>
        <v/>
      </c>
      <c r="G56" s="33" t="str">
        <f t="shared" si="3"/>
        <v/>
      </c>
      <c r="H56" s="39" t="str">
        <f>IF(C56="","",C56+IFERROR(VLOOKUP(VLOOKUP(A56,BOOKINGS!$A:$Q,3,FALSE),CLIENTS!$A:$H,6,FALSE),30))</f>
        <v/>
      </c>
      <c r="I56" s="33" t="str">
        <f>IF(A56="","",IFERROR(VLOOKUP(B56,COLLECTIONS!$A:$I,7,FALSE),"Unpaid"))</f>
        <v/>
      </c>
    </row>
    <row r="57" ht="15.75" customHeight="1">
      <c r="A57" s="33" t="str">
        <f>IF(PROFITABILITY!A57="","",PROFITABILITY!A57)</f>
        <v/>
      </c>
      <c r="B57" s="33" t="str">
        <f t="shared" si="1"/>
        <v/>
      </c>
      <c r="C57" s="39" t="str">
        <f>IF(A57="","",IFERROR(VLOOKUP(A57,BOOKINGS!$A:$Q,8,FALSE),BOOKINGS!B57))</f>
        <v/>
      </c>
      <c r="D57" s="38" t="str">
        <f>IF(A57="","",PROFITABILITY!B57)</f>
        <v/>
      </c>
      <c r="E57" s="38" t="str">
        <f>IF(A57="","",SETUP_RATES!$K$4)</f>
        <v/>
      </c>
      <c r="F57" s="38" t="str">
        <f t="shared" si="2"/>
        <v/>
      </c>
      <c r="G57" s="33" t="str">
        <f t="shared" si="3"/>
        <v/>
      </c>
      <c r="H57" s="39" t="str">
        <f>IF(C57="","",C57+IFERROR(VLOOKUP(VLOOKUP(A57,BOOKINGS!$A:$Q,3,FALSE),CLIENTS!$A:$H,6,FALSE),30))</f>
        <v/>
      </c>
      <c r="I57" s="33" t="str">
        <f>IF(A57="","",IFERROR(VLOOKUP(B57,COLLECTIONS!$A:$I,7,FALSE),"Unpaid"))</f>
        <v/>
      </c>
    </row>
    <row r="58" ht="15.75" customHeight="1">
      <c r="A58" s="33" t="str">
        <f>IF(PROFITABILITY!A58="","",PROFITABILITY!A58)</f>
        <v/>
      </c>
      <c r="B58" s="33" t="str">
        <f t="shared" si="1"/>
        <v/>
      </c>
      <c r="C58" s="39" t="str">
        <f>IF(A58="","",IFERROR(VLOOKUP(A58,BOOKINGS!$A:$Q,8,FALSE),BOOKINGS!B58))</f>
        <v/>
      </c>
      <c r="D58" s="38" t="str">
        <f>IF(A58="","",PROFITABILITY!B58)</f>
        <v/>
      </c>
      <c r="E58" s="38" t="str">
        <f>IF(A58="","",SETUP_RATES!$K$4)</f>
        <v/>
      </c>
      <c r="F58" s="38" t="str">
        <f t="shared" si="2"/>
        <v/>
      </c>
      <c r="G58" s="33" t="str">
        <f t="shared" si="3"/>
        <v/>
      </c>
      <c r="H58" s="39" t="str">
        <f>IF(C58="","",C58+IFERROR(VLOOKUP(VLOOKUP(A58,BOOKINGS!$A:$Q,3,FALSE),CLIENTS!$A:$H,6,FALSE),30))</f>
        <v/>
      </c>
      <c r="I58" s="33" t="str">
        <f>IF(A58="","",IFERROR(VLOOKUP(B58,COLLECTIONS!$A:$I,7,FALSE),"Unpaid"))</f>
        <v/>
      </c>
    </row>
    <row r="59" ht="15.75" customHeight="1">
      <c r="A59" s="33" t="str">
        <f>IF(PROFITABILITY!A59="","",PROFITABILITY!A59)</f>
        <v/>
      </c>
      <c r="B59" s="33" t="str">
        <f t="shared" si="1"/>
        <v/>
      </c>
      <c r="C59" s="39" t="str">
        <f>IF(A59="","",IFERROR(VLOOKUP(A59,BOOKINGS!$A:$Q,8,FALSE),BOOKINGS!B59))</f>
        <v/>
      </c>
      <c r="D59" s="38" t="str">
        <f>IF(A59="","",PROFITABILITY!B59)</f>
        <v/>
      </c>
      <c r="E59" s="38" t="str">
        <f>IF(A59="","",SETUP_RATES!$K$4)</f>
        <v/>
      </c>
      <c r="F59" s="38" t="str">
        <f t="shared" si="2"/>
        <v/>
      </c>
      <c r="G59" s="33" t="str">
        <f t="shared" si="3"/>
        <v/>
      </c>
      <c r="H59" s="39" t="str">
        <f>IF(C59="","",C59+IFERROR(VLOOKUP(VLOOKUP(A59,BOOKINGS!$A:$Q,3,FALSE),CLIENTS!$A:$H,6,FALSE),30))</f>
        <v/>
      </c>
      <c r="I59" s="33" t="str">
        <f>IF(A59="","",IFERROR(VLOOKUP(B59,COLLECTIONS!$A:$I,7,FALSE),"Unpaid"))</f>
        <v/>
      </c>
    </row>
    <row r="60" ht="15.75" customHeight="1">
      <c r="A60" s="33" t="str">
        <f>IF(PROFITABILITY!A60="","",PROFITABILITY!A60)</f>
        <v/>
      </c>
      <c r="B60" s="33" t="str">
        <f t="shared" si="1"/>
        <v/>
      </c>
      <c r="C60" s="39" t="str">
        <f>IF(A60="","",IFERROR(VLOOKUP(A60,BOOKINGS!$A:$Q,8,FALSE),BOOKINGS!B60))</f>
        <v/>
      </c>
      <c r="D60" s="38" t="str">
        <f>IF(A60="","",PROFITABILITY!B60)</f>
        <v/>
      </c>
      <c r="E60" s="38" t="str">
        <f>IF(A60="","",SETUP_RATES!$K$4)</f>
        <v/>
      </c>
      <c r="F60" s="38" t="str">
        <f t="shared" si="2"/>
        <v/>
      </c>
      <c r="G60" s="33" t="str">
        <f t="shared" si="3"/>
        <v/>
      </c>
      <c r="H60" s="39" t="str">
        <f>IF(C60="","",C60+IFERROR(VLOOKUP(VLOOKUP(A60,BOOKINGS!$A:$Q,3,FALSE),CLIENTS!$A:$H,6,FALSE),30))</f>
        <v/>
      </c>
      <c r="I60" s="33" t="str">
        <f>IF(A60="","",IFERROR(VLOOKUP(B60,COLLECTIONS!$A:$I,7,FALSE),"Unpaid"))</f>
        <v/>
      </c>
    </row>
    <row r="61" ht="15.75" customHeight="1">
      <c r="A61" s="33" t="str">
        <f>IF(PROFITABILITY!A61="","",PROFITABILITY!A61)</f>
        <v/>
      </c>
      <c r="B61" s="33" t="str">
        <f t="shared" si="1"/>
        <v/>
      </c>
      <c r="C61" s="39" t="str">
        <f>IF(A61="","",IFERROR(VLOOKUP(A61,BOOKINGS!$A:$Q,8,FALSE),BOOKINGS!B61))</f>
        <v/>
      </c>
      <c r="D61" s="38" t="str">
        <f>IF(A61="","",PROFITABILITY!B61)</f>
        <v/>
      </c>
      <c r="E61" s="38" t="str">
        <f>IF(A61="","",SETUP_RATES!$K$4)</f>
        <v/>
      </c>
      <c r="F61" s="38" t="str">
        <f t="shared" si="2"/>
        <v/>
      </c>
      <c r="G61" s="33" t="str">
        <f t="shared" si="3"/>
        <v/>
      </c>
      <c r="H61" s="39" t="str">
        <f>IF(C61="","",C61+IFERROR(VLOOKUP(VLOOKUP(A61,BOOKINGS!$A:$Q,3,FALSE),CLIENTS!$A:$H,6,FALSE),30))</f>
        <v/>
      </c>
      <c r="I61" s="33" t="str">
        <f>IF(A61="","",IFERROR(VLOOKUP(B61,COLLECTIONS!$A:$I,7,FALSE),"Unpaid"))</f>
        <v/>
      </c>
    </row>
    <row r="62" ht="15.75" customHeight="1">
      <c r="A62" s="33" t="str">
        <f>IF(PROFITABILITY!A62="","",PROFITABILITY!A62)</f>
        <v/>
      </c>
      <c r="B62" s="33" t="str">
        <f t="shared" si="1"/>
        <v/>
      </c>
      <c r="C62" s="39" t="str">
        <f>IF(A62="","",IFERROR(VLOOKUP(A62,BOOKINGS!$A:$Q,8,FALSE),BOOKINGS!B62))</f>
        <v/>
      </c>
      <c r="D62" s="38" t="str">
        <f>IF(A62="","",PROFITABILITY!B62)</f>
        <v/>
      </c>
      <c r="E62" s="38" t="str">
        <f>IF(A62="","",SETUP_RATES!$K$4)</f>
        <v/>
      </c>
      <c r="F62" s="38" t="str">
        <f t="shared" si="2"/>
        <v/>
      </c>
      <c r="G62" s="33" t="str">
        <f t="shared" si="3"/>
        <v/>
      </c>
      <c r="H62" s="39" t="str">
        <f>IF(C62="","",C62+IFERROR(VLOOKUP(VLOOKUP(A62,BOOKINGS!$A:$Q,3,FALSE),CLIENTS!$A:$H,6,FALSE),30))</f>
        <v/>
      </c>
      <c r="I62" s="33" t="str">
        <f>IF(A62="","",IFERROR(VLOOKUP(B62,COLLECTIONS!$A:$I,7,FALSE),"Unpaid"))</f>
        <v/>
      </c>
    </row>
    <row r="63" ht="15.75" customHeight="1">
      <c r="A63" s="33" t="str">
        <f>IF(PROFITABILITY!A63="","",PROFITABILITY!A63)</f>
        <v/>
      </c>
      <c r="B63" s="33" t="str">
        <f t="shared" si="1"/>
        <v/>
      </c>
      <c r="C63" s="39" t="str">
        <f>IF(A63="","",IFERROR(VLOOKUP(A63,BOOKINGS!$A:$Q,8,FALSE),BOOKINGS!B63))</f>
        <v/>
      </c>
      <c r="D63" s="38" t="str">
        <f>IF(A63="","",PROFITABILITY!B63)</f>
        <v/>
      </c>
      <c r="E63" s="38" t="str">
        <f>IF(A63="","",SETUP_RATES!$K$4)</f>
        <v/>
      </c>
      <c r="F63" s="38" t="str">
        <f t="shared" si="2"/>
        <v/>
      </c>
      <c r="G63" s="33" t="str">
        <f t="shared" si="3"/>
        <v/>
      </c>
      <c r="H63" s="39" t="str">
        <f>IF(C63="","",C63+IFERROR(VLOOKUP(VLOOKUP(A63,BOOKINGS!$A:$Q,3,FALSE),CLIENTS!$A:$H,6,FALSE),30))</f>
        <v/>
      </c>
      <c r="I63" s="33" t="str">
        <f>IF(A63="","",IFERROR(VLOOKUP(B63,COLLECTIONS!$A:$I,7,FALSE),"Unpaid"))</f>
        <v/>
      </c>
    </row>
    <row r="64" ht="15.75" customHeight="1">
      <c r="A64" s="33" t="str">
        <f>IF(PROFITABILITY!A64="","",PROFITABILITY!A64)</f>
        <v/>
      </c>
      <c r="B64" s="33" t="str">
        <f t="shared" si="1"/>
        <v/>
      </c>
      <c r="C64" s="39" t="str">
        <f>IF(A64="","",IFERROR(VLOOKUP(A64,BOOKINGS!$A:$Q,8,FALSE),BOOKINGS!B64))</f>
        <v/>
      </c>
      <c r="D64" s="38" t="str">
        <f>IF(A64="","",PROFITABILITY!B64)</f>
        <v/>
      </c>
      <c r="E64" s="38" t="str">
        <f>IF(A64="","",SETUP_RATES!$K$4)</f>
        <v/>
      </c>
      <c r="F64" s="38" t="str">
        <f t="shared" si="2"/>
        <v/>
      </c>
      <c r="G64" s="33" t="str">
        <f t="shared" si="3"/>
        <v/>
      </c>
      <c r="H64" s="39" t="str">
        <f>IF(C64="","",C64+IFERROR(VLOOKUP(VLOOKUP(A64,BOOKINGS!$A:$Q,3,FALSE),CLIENTS!$A:$H,6,FALSE),30))</f>
        <v/>
      </c>
      <c r="I64" s="33" t="str">
        <f>IF(A64="","",IFERROR(VLOOKUP(B64,COLLECTIONS!$A:$I,7,FALSE),"Unpaid"))</f>
        <v/>
      </c>
    </row>
    <row r="65" ht="15.75" customHeight="1">
      <c r="A65" s="33" t="str">
        <f>IF(PROFITABILITY!A65="","",PROFITABILITY!A65)</f>
        <v/>
      </c>
      <c r="B65" s="33" t="str">
        <f t="shared" si="1"/>
        <v/>
      </c>
      <c r="C65" s="39" t="str">
        <f>IF(A65="","",IFERROR(VLOOKUP(A65,BOOKINGS!$A:$Q,8,FALSE),BOOKINGS!B65))</f>
        <v/>
      </c>
      <c r="D65" s="38" t="str">
        <f>IF(A65="","",PROFITABILITY!B65)</f>
        <v/>
      </c>
      <c r="E65" s="38" t="str">
        <f>IF(A65="","",SETUP_RATES!$K$4)</f>
        <v/>
      </c>
      <c r="F65" s="38" t="str">
        <f t="shared" si="2"/>
        <v/>
      </c>
      <c r="G65" s="33" t="str">
        <f t="shared" si="3"/>
        <v/>
      </c>
      <c r="H65" s="39" t="str">
        <f>IF(C65="","",C65+IFERROR(VLOOKUP(VLOOKUP(A65,BOOKINGS!$A:$Q,3,FALSE),CLIENTS!$A:$H,6,FALSE),30))</f>
        <v/>
      </c>
      <c r="I65" s="33" t="str">
        <f>IF(A65="","",IFERROR(VLOOKUP(B65,COLLECTIONS!$A:$I,7,FALSE),"Unpaid"))</f>
        <v/>
      </c>
    </row>
    <row r="66" ht="15.75" customHeight="1">
      <c r="A66" s="33" t="str">
        <f>IF(PROFITABILITY!A66="","",PROFITABILITY!A66)</f>
        <v/>
      </c>
      <c r="B66" s="33" t="str">
        <f t="shared" si="1"/>
        <v/>
      </c>
      <c r="C66" s="39" t="str">
        <f>IF(A66="","",IFERROR(VLOOKUP(A66,BOOKINGS!$A:$Q,8,FALSE),BOOKINGS!B66))</f>
        <v/>
      </c>
      <c r="D66" s="38" t="str">
        <f>IF(A66="","",PROFITABILITY!B66)</f>
        <v/>
      </c>
      <c r="E66" s="38" t="str">
        <f>IF(A66="","",SETUP_RATES!$K$4)</f>
        <v/>
      </c>
      <c r="F66" s="38" t="str">
        <f t="shared" si="2"/>
        <v/>
      </c>
      <c r="G66" s="33" t="str">
        <f t="shared" si="3"/>
        <v/>
      </c>
      <c r="H66" s="39" t="str">
        <f>IF(C66="","",C66+IFERROR(VLOOKUP(VLOOKUP(A66,BOOKINGS!$A:$Q,3,FALSE),CLIENTS!$A:$H,6,FALSE),30))</f>
        <v/>
      </c>
      <c r="I66" s="33" t="str">
        <f>IF(A66="","",IFERROR(VLOOKUP(B66,COLLECTIONS!$A:$I,7,FALSE),"Unpaid"))</f>
        <v/>
      </c>
    </row>
    <row r="67" ht="15.75" customHeight="1">
      <c r="A67" s="33" t="str">
        <f>IF(PROFITABILITY!A67="","",PROFITABILITY!A67)</f>
        <v/>
      </c>
      <c r="B67" s="33" t="str">
        <f t="shared" si="1"/>
        <v/>
      </c>
      <c r="C67" s="39" t="str">
        <f>IF(A67="","",IFERROR(VLOOKUP(A67,BOOKINGS!$A:$Q,8,FALSE),BOOKINGS!B67))</f>
        <v/>
      </c>
      <c r="D67" s="38" t="str">
        <f>IF(A67="","",PROFITABILITY!B67)</f>
        <v/>
      </c>
      <c r="E67" s="38" t="str">
        <f>IF(A67="","",SETUP_RATES!$K$4)</f>
        <v/>
      </c>
      <c r="F67" s="38" t="str">
        <f t="shared" si="2"/>
        <v/>
      </c>
      <c r="G67" s="33" t="str">
        <f t="shared" si="3"/>
        <v/>
      </c>
      <c r="H67" s="39" t="str">
        <f>IF(C67="","",C67+IFERROR(VLOOKUP(VLOOKUP(A67,BOOKINGS!$A:$Q,3,FALSE),CLIENTS!$A:$H,6,FALSE),30))</f>
        <v/>
      </c>
      <c r="I67" s="33" t="str">
        <f>IF(A67="","",IFERROR(VLOOKUP(B67,COLLECTIONS!$A:$I,7,FALSE),"Unpaid"))</f>
        <v/>
      </c>
    </row>
    <row r="68" ht="15.75" customHeight="1">
      <c r="A68" s="33" t="str">
        <f>IF(PROFITABILITY!A68="","",PROFITABILITY!A68)</f>
        <v/>
      </c>
      <c r="B68" s="33" t="str">
        <f t="shared" si="1"/>
        <v/>
      </c>
      <c r="C68" s="39" t="str">
        <f>IF(A68="","",IFERROR(VLOOKUP(A68,BOOKINGS!$A:$Q,8,FALSE),BOOKINGS!B68))</f>
        <v/>
      </c>
      <c r="D68" s="38" t="str">
        <f>IF(A68="","",PROFITABILITY!B68)</f>
        <v/>
      </c>
      <c r="E68" s="38" t="str">
        <f>IF(A68="","",SETUP_RATES!$K$4)</f>
        <v/>
      </c>
      <c r="F68" s="38" t="str">
        <f t="shared" si="2"/>
        <v/>
      </c>
      <c r="G68" s="33" t="str">
        <f t="shared" si="3"/>
        <v/>
      </c>
      <c r="H68" s="39" t="str">
        <f>IF(C68="","",C68+IFERROR(VLOOKUP(VLOOKUP(A68,BOOKINGS!$A:$Q,3,FALSE),CLIENTS!$A:$H,6,FALSE),30))</f>
        <v/>
      </c>
      <c r="I68" s="33" t="str">
        <f>IF(A68="","",IFERROR(VLOOKUP(B68,COLLECTIONS!$A:$I,7,FALSE),"Unpaid"))</f>
        <v/>
      </c>
    </row>
    <row r="69" ht="15.75" customHeight="1">
      <c r="A69" s="33" t="str">
        <f>IF(PROFITABILITY!A69="","",PROFITABILITY!A69)</f>
        <v/>
      </c>
      <c r="B69" s="33" t="str">
        <f t="shared" si="1"/>
        <v/>
      </c>
      <c r="C69" s="39" t="str">
        <f>IF(A69="","",IFERROR(VLOOKUP(A69,BOOKINGS!$A:$Q,8,FALSE),BOOKINGS!B69))</f>
        <v/>
      </c>
      <c r="D69" s="38" t="str">
        <f>IF(A69="","",PROFITABILITY!B69)</f>
        <v/>
      </c>
      <c r="E69" s="38" t="str">
        <f>IF(A69="","",SETUP_RATES!$K$4)</f>
        <v/>
      </c>
      <c r="F69" s="38" t="str">
        <f t="shared" si="2"/>
        <v/>
      </c>
      <c r="G69" s="33" t="str">
        <f t="shared" si="3"/>
        <v/>
      </c>
      <c r="H69" s="39" t="str">
        <f>IF(C69="","",C69+IFERROR(VLOOKUP(VLOOKUP(A69,BOOKINGS!$A:$Q,3,FALSE),CLIENTS!$A:$H,6,FALSE),30))</f>
        <v/>
      </c>
      <c r="I69" s="33" t="str">
        <f>IF(A69="","",IFERROR(VLOOKUP(B69,COLLECTIONS!$A:$I,7,FALSE),"Unpaid"))</f>
        <v/>
      </c>
    </row>
    <row r="70" ht="15.75" customHeight="1">
      <c r="A70" s="33" t="str">
        <f>IF(PROFITABILITY!A70="","",PROFITABILITY!A70)</f>
        <v/>
      </c>
      <c r="B70" s="33" t="str">
        <f t="shared" si="1"/>
        <v/>
      </c>
      <c r="C70" s="39" t="str">
        <f>IF(A70="","",IFERROR(VLOOKUP(A70,BOOKINGS!$A:$Q,8,FALSE),BOOKINGS!B70))</f>
        <v/>
      </c>
      <c r="D70" s="38" t="str">
        <f>IF(A70="","",PROFITABILITY!B70)</f>
        <v/>
      </c>
      <c r="E70" s="38" t="str">
        <f>IF(A70="","",SETUP_RATES!$K$4)</f>
        <v/>
      </c>
      <c r="F70" s="38" t="str">
        <f t="shared" si="2"/>
        <v/>
      </c>
      <c r="G70" s="33" t="str">
        <f t="shared" si="3"/>
        <v/>
      </c>
      <c r="H70" s="39" t="str">
        <f>IF(C70="","",C70+IFERROR(VLOOKUP(VLOOKUP(A70,BOOKINGS!$A:$Q,3,FALSE),CLIENTS!$A:$H,6,FALSE),30))</f>
        <v/>
      </c>
      <c r="I70" s="33" t="str">
        <f>IF(A70="","",IFERROR(VLOOKUP(B70,COLLECTIONS!$A:$I,7,FALSE),"Unpaid"))</f>
        <v/>
      </c>
    </row>
    <row r="71" ht="15.75" customHeight="1">
      <c r="A71" s="33" t="str">
        <f>IF(PROFITABILITY!A71="","",PROFITABILITY!A71)</f>
        <v/>
      </c>
      <c r="B71" s="33" t="str">
        <f t="shared" si="1"/>
        <v/>
      </c>
      <c r="C71" s="39" t="str">
        <f>IF(A71="","",IFERROR(VLOOKUP(A71,BOOKINGS!$A:$Q,8,FALSE),BOOKINGS!B71))</f>
        <v/>
      </c>
      <c r="D71" s="38" t="str">
        <f>IF(A71="","",PROFITABILITY!B71)</f>
        <v/>
      </c>
      <c r="E71" s="38" t="str">
        <f>IF(A71="","",SETUP_RATES!$K$4)</f>
        <v/>
      </c>
      <c r="F71" s="38" t="str">
        <f t="shared" si="2"/>
        <v/>
      </c>
      <c r="G71" s="33" t="str">
        <f t="shared" si="3"/>
        <v/>
      </c>
      <c r="H71" s="39" t="str">
        <f>IF(C71="","",C71+IFERROR(VLOOKUP(VLOOKUP(A71,BOOKINGS!$A:$Q,3,FALSE),CLIENTS!$A:$H,6,FALSE),30))</f>
        <v/>
      </c>
      <c r="I71" s="33" t="str">
        <f>IF(A71="","",IFERROR(VLOOKUP(B71,COLLECTIONS!$A:$I,7,FALSE),"Unpaid"))</f>
        <v/>
      </c>
    </row>
    <row r="72" ht="15.75" customHeight="1">
      <c r="A72" s="33" t="str">
        <f>IF(PROFITABILITY!A72="","",PROFITABILITY!A72)</f>
        <v/>
      </c>
      <c r="B72" s="33" t="str">
        <f t="shared" si="1"/>
        <v/>
      </c>
      <c r="C72" s="39" t="str">
        <f>IF(A72="","",IFERROR(VLOOKUP(A72,BOOKINGS!$A:$Q,8,FALSE),BOOKINGS!B72))</f>
        <v/>
      </c>
      <c r="D72" s="38" t="str">
        <f>IF(A72="","",PROFITABILITY!B72)</f>
        <v/>
      </c>
      <c r="E72" s="38" t="str">
        <f>IF(A72="","",SETUP_RATES!$K$4)</f>
        <v/>
      </c>
      <c r="F72" s="38" t="str">
        <f t="shared" si="2"/>
        <v/>
      </c>
      <c r="G72" s="33" t="str">
        <f t="shared" si="3"/>
        <v/>
      </c>
      <c r="H72" s="39" t="str">
        <f>IF(C72="","",C72+IFERROR(VLOOKUP(VLOOKUP(A72,BOOKINGS!$A:$Q,3,FALSE),CLIENTS!$A:$H,6,FALSE),30))</f>
        <v/>
      </c>
      <c r="I72" s="33" t="str">
        <f>IF(A72="","",IFERROR(VLOOKUP(B72,COLLECTIONS!$A:$I,7,FALSE),"Unpaid"))</f>
        <v/>
      </c>
    </row>
    <row r="73" ht="15.75" customHeight="1">
      <c r="A73" s="33" t="str">
        <f>IF(PROFITABILITY!A73="","",PROFITABILITY!A73)</f>
        <v/>
      </c>
      <c r="B73" s="33" t="str">
        <f t="shared" si="1"/>
        <v/>
      </c>
      <c r="C73" s="39" t="str">
        <f>IF(A73="","",IFERROR(VLOOKUP(A73,BOOKINGS!$A:$Q,8,FALSE),BOOKINGS!B73))</f>
        <v/>
      </c>
      <c r="D73" s="38" t="str">
        <f>IF(A73="","",PROFITABILITY!B73)</f>
        <v/>
      </c>
      <c r="E73" s="38" t="str">
        <f>IF(A73="","",SETUP_RATES!$K$4)</f>
        <v/>
      </c>
      <c r="F73" s="38" t="str">
        <f t="shared" si="2"/>
        <v/>
      </c>
      <c r="G73" s="33" t="str">
        <f t="shared" si="3"/>
        <v/>
      </c>
      <c r="H73" s="39" t="str">
        <f>IF(C73="","",C73+IFERROR(VLOOKUP(VLOOKUP(A73,BOOKINGS!$A:$Q,3,FALSE),CLIENTS!$A:$H,6,FALSE),30))</f>
        <v/>
      </c>
      <c r="I73" s="33" t="str">
        <f>IF(A73="","",IFERROR(VLOOKUP(B73,COLLECTIONS!$A:$I,7,FALSE),"Unpaid"))</f>
        <v/>
      </c>
    </row>
    <row r="74" ht="15.75" customHeight="1">
      <c r="A74" s="33" t="str">
        <f>IF(PROFITABILITY!A74="","",PROFITABILITY!A74)</f>
        <v/>
      </c>
      <c r="B74" s="33" t="str">
        <f t="shared" si="1"/>
        <v/>
      </c>
      <c r="C74" s="39" t="str">
        <f>IF(A74="","",IFERROR(VLOOKUP(A74,BOOKINGS!$A:$Q,8,FALSE),BOOKINGS!B74))</f>
        <v/>
      </c>
      <c r="D74" s="38" t="str">
        <f>IF(A74="","",PROFITABILITY!B74)</f>
        <v/>
      </c>
      <c r="E74" s="38" t="str">
        <f>IF(A74="","",SETUP_RATES!$K$4)</f>
        <v/>
      </c>
      <c r="F74" s="38" t="str">
        <f t="shared" si="2"/>
        <v/>
      </c>
      <c r="G74" s="33" t="str">
        <f t="shared" si="3"/>
        <v/>
      </c>
      <c r="H74" s="39" t="str">
        <f>IF(C74="","",C74+IFERROR(VLOOKUP(VLOOKUP(A74,BOOKINGS!$A:$Q,3,FALSE),CLIENTS!$A:$H,6,FALSE),30))</f>
        <v/>
      </c>
      <c r="I74" s="33" t="str">
        <f>IF(A74="","",IFERROR(VLOOKUP(B74,COLLECTIONS!$A:$I,7,FALSE),"Unpaid"))</f>
        <v/>
      </c>
    </row>
    <row r="75" ht="15.75" customHeight="1">
      <c r="A75" s="33" t="str">
        <f>IF(PROFITABILITY!A75="","",PROFITABILITY!A75)</f>
        <v/>
      </c>
      <c r="B75" s="33" t="str">
        <f t="shared" si="1"/>
        <v/>
      </c>
      <c r="C75" s="39" t="str">
        <f>IF(A75="","",IFERROR(VLOOKUP(A75,BOOKINGS!$A:$Q,8,FALSE),BOOKINGS!B75))</f>
        <v/>
      </c>
      <c r="D75" s="38" t="str">
        <f>IF(A75="","",PROFITABILITY!B75)</f>
        <v/>
      </c>
      <c r="E75" s="38" t="str">
        <f>IF(A75="","",SETUP_RATES!$K$4)</f>
        <v/>
      </c>
      <c r="F75" s="38" t="str">
        <f t="shared" si="2"/>
        <v/>
      </c>
      <c r="G75" s="33" t="str">
        <f t="shared" si="3"/>
        <v/>
      </c>
      <c r="H75" s="39" t="str">
        <f>IF(C75="","",C75+IFERROR(VLOOKUP(VLOOKUP(A75,BOOKINGS!$A:$Q,3,FALSE),CLIENTS!$A:$H,6,FALSE),30))</f>
        <v/>
      </c>
      <c r="I75" s="33" t="str">
        <f>IF(A75="","",IFERROR(VLOOKUP(B75,COLLECTIONS!$A:$I,7,FALSE),"Unpaid"))</f>
        <v/>
      </c>
    </row>
    <row r="76" ht="15.75" customHeight="1">
      <c r="A76" s="33" t="str">
        <f>IF(PROFITABILITY!A76="","",PROFITABILITY!A76)</f>
        <v/>
      </c>
      <c r="B76" s="33" t="str">
        <f t="shared" si="1"/>
        <v/>
      </c>
      <c r="C76" s="39" t="str">
        <f>IF(A76="","",IFERROR(VLOOKUP(A76,BOOKINGS!$A:$Q,8,FALSE),BOOKINGS!B76))</f>
        <v/>
      </c>
      <c r="D76" s="38" t="str">
        <f>IF(A76="","",PROFITABILITY!B76)</f>
        <v/>
      </c>
      <c r="E76" s="38" t="str">
        <f>IF(A76="","",SETUP_RATES!$K$4)</f>
        <v/>
      </c>
      <c r="F76" s="38" t="str">
        <f t="shared" si="2"/>
        <v/>
      </c>
      <c r="G76" s="33" t="str">
        <f t="shared" si="3"/>
        <v/>
      </c>
      <c r="H76" s="39" t="str">
        <f>IF(C76="","",C76+IFERROR(VLOOKUP(VLOOKUP(A76,BOOKINGS!$A:$Q,3,FALSE),CLIENTS!$A:$H,6,FALSE),30))</f>
        <v/>
      </c>
      <c r="I76" s="33" t="str">
        <f>IF(A76="","",IFERROR(VLOOKUP(B76,COLLECTIONS!$A:$I,7,FALSE),"Unpaid"))</f>
        <v/>
      </c>
    </row>
    <row r="77" ht="15.75" customHeight="1">
      <c r="A77" s="33" t="str">
        <f>IF(PROFITABILITY!A77="","",PROFITABILITY!A77)</f>
        <v/>
      </c>
      <c r="B77" s="33" t="str">
        <f t="shared" si="1"/>
        <v/>
      </c>
      <c r="C77" s="39" t="str">
        <f>IF(A77="","",IFERROR(VLOOKUP(A77,BOOKINGS!$A:$Q,8,FALSE),BOOKINGS!B77))</f>
        <v/>
      </c>
      <c r="D77" s="38" t="str">
        <f>IF(A77="","",PROFITABILITY!B77)</f>
        <v/>
      </c>
      <c r="E77" s="38" t="str">
        <f>IF(A77="","",SETUP_RATES!$K$4)</f>
        <v/>
      </c>
      <c r="F77" s="38" t="str">
        <f t="shared" si="2"/>
        <v/>
      </c>
      <c r="G77" s="33" t="str">
        <f t="shared" si="3"/>
        <v/>
      </c>
      <c r="H77" s="39" t="str">
        <f>IF(C77="","",C77+IFERROR(VLOOKUP(VLOOKUP(A77,BOOKINGS!$A:$Q,3,FALSE),CLIENTS!$A:$H,6,FALSE),30))</f>
        <v/>
      </c>
      <c r="I77" s="33" t="str">
        <f>IF(A77="","",IFERROR(VLOOKUP(B77,COLLECTIONS!$A:$I,7,FALSE),"Unpaid"))</f>
        <v/>
      </c>
    </row>
    <row r="78" ht="15.75" customHeight="1">
      <c r="A78" s="33" t="str">
        <f>IF(PROFITABILITY!A78="","",PROFITABILITY!A78)</f>
        <v/>
      </c>
      <c r="B78" s="33" t="str">
        <f t="shared" si="1"/>
        <v/>
      </c>
      <c r="C78" s="39" t="str">
        <f>IF(A78="","",IFERROR(VLOOKUP(A78,BOOKINGS!$A:$Q,8,FALSE),BOOKINGS!B78))</f>
        <v/>
      </c>
      <c r="D78" s="38" t="str">
        <f>IF(A78="","",PROFITABILITY!B78)</f>
        <v/>
      </c>
      <c r="E78" s="38" t="str">
        <f>IF(A78="","",SETUP_RATES!$K$4)</f>
        <v/>
      </c>
      <c r="F78" s="38" t="str">
        <f t="shared" si="2"/>
        <v/>
      </c>
      <c r="G78" s="33" t="str">
        <f t="shared" si="3"/>
        <v/>
      </c>
      <c r="H78" s="39" t="str">
        <f>IF(C78="","",C78+IFERROR(VLOOKUP(VLOOKUP(A78,BOOKINGS!$A:$Q,3,FALSE),CLIENTS!$A:$H,6,FALSE),30))</f>
        <v/>
      </c>
      <c r="I78" s="33" t="str">
        <f>IF(A78="","",IFERROR(VLOOKUP(B78,COLLECTIONS!$A:$I,7,FALSE),"Unpaid"))</f>
        <v/>
      </c>
    </row>
    <row r="79" ht="15.75" customHeight="1">
      <c r="A79" s="33" t="str">
        <f>IF(PROFITABILITY!A79="","",PROFITABILITY!A79)</f>
        <v/>
      </c>
      <c r="B79" s="33" t="str">
        <f t="shared" si="1"/>
        <v/>
      </c>
      <c r="C79" s="39" t="str">
        <f>IF(A79="","",IFERROR(VLOOKUP(A79,BOOKINGS!$A:$Q,8,FALSE),BOOKINGS!B79))</f>
        <v/>
      </c>
      <c r="D79" s="38" t="str">
        <f>IF(A79="","",PROFITABILITY!B79)</f>
        <v/>
      </c>
      <c r="E79" s="38" t="str">
        <f>IF(A79="","",SETUP_RATES!$K$4)</f>
        <v/>
      </c>
      <c r="F79" s="38" t="str">
        <f t="shared" si="2"/>
        <v/>
      </c>
      <c r="G79" s="33" t="str">
        <f t="shared" si="3"/>
        <v/>
      </c>
      <c r="H79" s="39" t="str">
        <f>IF(C79="","",C79+IFERROR(VLOOKUP(VLOOKUP(A79,BOOKINGS!$A:$Q,3,FALSE),CLIENTS!$A:$H,6,FALSE),30))</f>
        <v/>
      </c>
      <c r="I79" s="33" t="str">
        <f>IF(A79="","",IFERROR(VLOOKUP(B79,COLLECTIONS!$A:$I,7,FALSE),"Unpaid"))</f>
        <v/>
      </c>
    </row>
    <row r="80" ht="15.75" customHeight="1">
      <c r="A80" s="33" t="str">
        <f>IF(PROFITABILITY!A80="","",PROFITABILITY!A80)</f>
        <v/>
      </c>
      <c r="B80" s="33" t="str">
        <f t="shared" si="1"/>
        <v/>
      </c>
      <c r="C80" s="39" t="str">
        <f>IF(A80="","",IFERROR(VLOOKUP(A80,BOOKINGS!$A:$Q,8,FALSE),BOOKINGS!B80))</f>
        <v/>
      </c>
      <c r="D80" s="38" t="str">
        <f>IF(A80="","",PROFITABILITY!B80)</f>
        <v/>
      </c>
      <c r="E80" s="38" t="str">
        <f>IF(A80="","",SETUP_RATES!$K$4)</f>
        <v/>
      </c>
      <c r="F80" s="38" t="str">
        <f t="shared" si="2"/>
        <v/>
      </c>
      <c r="G80" s="33" t="str">
        <f t="shared" si="3"/>
        <v/>
      </c>
      <c r="H80" s="39" t="str">
        <f>IF(C80="","",C80+IFERROR(VLOOKUP(VLOOKUP(A80,BOOKINGS!$A:$Q,3,FALSE),CLIENTS!$A:$H,6,FALSE),30))</f>
        <v/>
      </c>
      <c r="I80" s="33" t="str">
        <f>IF(A80="","",IFERROR(VLOOKUP(B80,COLLECTIONS!$A:$I,7,FALSE),"Unpaid"))</f>
        <v/>
      </c>
    </row>
    <row r="81" ht="15.75" customHeight="1">
      <c r="A81" s="33" t="str">
        <f>IF(PROFITABILITY!A81="","",PROFITABILITY!A81)</f>
        <v/>
      </c>
      <c r="B81" s="33" t="str">
        <f t="shared" si="1"/>
        <v/>
      </c>
      <c r="C81" s="39" t="str">
        <f>IF(A81="","",IFERROR(VLOOKUP(A81,BOOKINGS!$A:$Q,8,FALSE),BOOKINGS!B81))</f>
        <v/>
      </c>
      <c r="D81" s="38" t="str">
        <f>IF(A81="","",PROFITABILITY!B81)</f>
        <v/>
      </c>
      <c r="E81" s="38" t="str">
        <f>IF(A81="","",SETUP_RATES!$K$4)</f>
        <v/>
      </c>
      <c r="F81" s="38" t="str">
        <f t="shared" si="2"/>
        <v/>
      </c>
      <c r="G81" s="33" t="str">
        <f t="shared" si="3"/>
        <v/>
      </c>
      <c r="H81" s="39" t="str">
        <f>IF(C81="","",C81+IFERROR(VLOOKUP(VLOOKUP(A81,BOOKINGS!$A:$Q,3,FALSE),CLIENTS!$A:$H,6,FALSE),30))</f>
        <v/>
      </c>
      <c r="I81" s="33" t="str">
        <f>IF(A81="","",IFERROR(VLOOKUP(B81,COLLECTIONS!$A:$I,7,FALSE),"Unpaid"))</f>
        <v/>
      </c>
    </row>
    <row r="82" ht="15.75" customHeight="1">
      <c r="A82" s="33" t="str">
        <f>IF(PROFITABILITY!A82="","",PROFITABILITY!A82)</f>
        <v/>
      </c>
      <c r="B82" s="33" t="str">
        <f t="shared" si="1"/>
        <v/>
      </c>
      <c r="C82" s="39" t="str">
        <f>IF(A82="","",IFERROR(VLOOKUP(A82,BOOKINGS!$A:$Q,8,FALSE),BOOKINGS!B82))</f>
        <v/>
      </c>
      <c r="D82" s="38" t="str">
        <f>IF(A82="","",PROFITABILITY!B82)</f>
        <v/>
      </c>
      <c r="E82" s="38" t="str">
        <f>IF(A82="","",SETUP_RATES!$K$4)</f>
        <v/>
      </c>
      <c r="F82" s="38" t="str">
        <f t="shared" si="2"/>
        <v/>
      </c>
      <c r="G82" s="33" t="str">
        <f t="shared" si="3"/>
        <v/>
      </c>
      <c r="H82" s="39" t="str">
        <f>IF(C82="","",C82+IFERROR(VLOOKUP(VLOOKUP(A82,BOOKINGS!$A:$Q,3,FALSE),CLIENTS!$A:$H,6,FALSE),30))</f>
        <v/>
      </c>
      <c r="I82" s="33" t="str">
        <f>IF(A82="","",IFERROR(VLOOKUP(B82,COLLECTIONS!$A:$I,7,FALSE),"Unpaid"))</f>
        <v/>
      </c>
    </row>
    <row r="83" ht="15.75" customHeight="1">
      <c r="A83" s="33" t="str">
        <f>IF(PROFITABILITY!A83="","",PROFITABILITY!A83)</f>
        <v/>
      </c>
      <c r="B83" s="33" t="str">
        <f t="shared" si="1"/>
        <v/>
      </c>
      <c r="C83" s="39" t="str">
        <f>IF(A83="","",IFERROR(VLOOKUP(A83,BOOKINGS!$A:$Q,8,FALSE),BOOKINGS!B83))</f>
        <v/>
      </c>
      <c r="D83" s="38" t="str">
        <f>IF(A83="","",PROFITABILITY!B83)</f>
        <v/>
      </c>
      <c r="E83" s="38" t="str">
        <f>IF(A83="","",SETUP_RATES!$K$4)</f>
        <v/>
      </c>
      <c r="F83" s="38" t="str">
        <f t="shared" si="2"/>
        <v/>
      </c>
      <c r="G83" s="33" t="str">
        <f t="shared" si="3"/>
        <v/>
      </c>
      <c r="H83" s="39" t="str">
        <f>IF(C83="","",C83+IFERROR(VLOOKUP(VLOOKUP(A83,BOOKINGS!$A:$Q,3,FALSE),CLIENTS!$A:$H,6,FALSE),30))</f>
        <v/>
      </c>
      <c r="I83" s="33" t="str">
        <f>IF(A83="","",IFERROR(VLOOKUP(B83,COLLECTIONS!$A:$I,7,FALSE),"Unpaid"))</f>
        <v/>
      </c>
    </row>
    <row r="84" ht="15.75" customHeight="1">
      <c r="A84" s="33" t="str">
        <f>IF(PROFITABILITY!A84="","",PROFITABILITY!A84)</f>
        <v/>
      </c>
      <c r="B84" s="33" t="str">
        <f t="shared" si="1"/>
        <v/>
      </c>
      <c r="C84" s="39" t="str">
        <f>IF(A84="","",IFERROR(VLOOKUP(A84,BOOKINGS!$A:$Q,8,FALSE),BOOKINGS!B84))</f>
        <v/>
      </c>
      <c r="D84" s="38" t="str">
        <f>IF(A84="","",PROFITABILITY!B84)</f>
        <v/>
      </c>
      <c r="E84" s="38" t="str">
        <f>IF(A84="","",SETUP_RATES!$K$4)</f>
        <v/>
      </c>
      <c r="F84" s="38" t="str">
        <f t="shared" si="2"/>
        <v/>
      </c>
      <c r="G84" s="33" t="str">
        <f t="shared" si="3"/>
        <v/>
      </c>
      <c r="H84" s="39" t="str">
        <f>IF(C84="","",C84+IFERROR(VLOOKUP(VLOOKUP(A84,BOOKINGS!$A:$Q,3,FALSE),CLIENTS!$A:$H,6,FALSE),30))</f>
        <v/>
      </c>
      <c r="I84" s="33" t="str">
        <f>IF(A84="","",IFERROR(VLOOKUP(B84,COLLECTIONS!$A:$I,7,FALSE),"Unpaid"))</f>
        <v/>
      </c>
    </row>
    <row r="85" ht="15.75" customHeight="1">
      <c r="A85" s="33" t="str">
        <f>IF(PROFITABILITY!A85="","",PROFITABILITY!A85)</f>
        <v/>
      </c>
      <c r="B85" s="33" t="str">
        <f t="shared" si="1"/>
        <v/>
      </c>
      <c r="C85" s="39" t="str">
        <f>IF(A85="","",IFERROR(VLOOKUP(A85,BOOKINGS!$A:$Q,8,FALSE),BOOKINGS!B85))</f>
        <v/>
      </c>
      <c r="D85" s="38" t="str">
        <f>IF(A85="","",PROFITABILITY!B85)</f>
        <v/>
      </c>
      <c r="E85" s="38" t="str">
        <f>IF(A85="","",SETUP_RATES!$K$4)</f>
        <v/>
      </c>
      <c r="F85" s="38" t="str">
        <f t="shared" si="2"/>
        <v/>
      </c>
      <c r="G85" s="33" t="str">
        <f t="shared" si="3"/>
        <v/>
      </c>
      <c r="H85" s="39" t="str">
        <f>IF(C85="","",C85+IFERROR(VLOOKUP(VLOOKUP(A85,BOOKINGS!$A:$Q,3,FALSE),CLIENTS!$A:$H,6,FALSE),30))</f>
        <v/>
      </c>
      <c r="I85" s="33" t="str">
        <f>IF(A85="","",IFERROR(VLOOKUP(B85,COLLECTIONS!$A:$I,7,FALSE),"Unpaid"))</f>
        <v/>
      </c>
    </row>
    <row r="86" ht="15.75" customHeight="1">
      <c r="A86" s="33" t="str">
        <f>IF(PROFITABILITY!A86="","",PROFITABILITY!A86)</f>
        <v/>
      </c>
      <c r="B86" s="33" t="str">
        <f t="shared" si="1"/>
        <v/>
      </c>
      <c r="C86" s="39" t="str">
        <f>IF(A86="","",IFERROR(VLOOKUP(A86,BOOKINGS!$A:$Q,8,FALSE),BOOKINGS!B86))</f>
        <v/>
      </c>
      <c r="D86" s="38" t="str">
        <f>IF(A86="","",PROFITABILITY!B86)</f>
        <v/>
      </c>
      <c r="E86" s="38" t="str">
        <f>IF(A86="","",SETUP_RATES!$K$4)</f>
        <v/>
      </c>
      <c r="F86" s="38" t="str">
        <f t="shared" si="2"/>
        <v/>
      </c>
      <c r="G86" s="33" t="str">
        <f t="shared" si="3"/>
        <v/>
      </c>
      <c r="H86" s="39" t="str">
        <f>IF(C86="","",C86+IFERROR(VLOOKUP(VLOOKUP(A86,BOOKINGS!$A:$Q,3,FALSE),CLIENTS!$A:$H,6,FALSE),30))</f>
        <v/>
      </c>
      <c r="I86" s="33" t="str">
        <f>IF(A86="","",IFERROR(VLOOKUP(B86,COLLECTIONS!$A:$I,7,FALSE),"Unpaid"))</f>
        <v/>
      </c>
    </row>
    <row r="87" ht="15.75" customHeight="1">
      <c r="A87" s="33" t="str">
        <f>IF(PROFITABILITY!A87="","",PROFITABILITY!A87)</f>
        <v/>
      </c>
      <c r="B87" s="33" t="str">
        <f t="shared" si="1"/>
        <v/>
      </c>
      <c r="C87" s="39" t="str">
        <f>IF(A87="","",IFERROR(VLOOKUP(A87,BOOKINGS!$A:$Q,8,FALSE),BOOKINGS!B87))</f>
        <v/>
      </c>
      <c r="D87" s="38" t="str">
        <f>IF(A87="","",PROFITABILITY!B87)</f>
        <v/>
      </c>
      <c r="E87" s="38" t="str">
        <f>IF(A87="","",SETUP_RATES!$K$4)</f>
        <v/>
      </c>
      <c r="F87" s="38" t="str">
        <f t="shared" si="2"/>
        <v/>
      </c>
      <c r="G87" s="33" t="str">
        <f t="shared" si="3"/>
        <v/>
      </c>
      <c r="H87" s="39" t="str">
        <f>IF(C87="","",C87+IFERROR(VLOOKUP(VLOOKUP(A87,BOOKINGS!$A:$Q,3,FALSE),CLIENTS!$A:$H,6,FALSE),30))</f>
        <v/>
      </c>
      <c r="I87" s="33" t="str">
        <f>IF(A87="","",IFERROR(VLOOKUP(B87,COLLECTIONS!$A:$I,7,FALSE),"Unpaid"))</f>
        <v/>
      </c>
    </row>
    <row r="88" ht="15.75" customHeight="1">
      <c r="A88" s="33" t="str">
        <f>IF(PROFITABILITY!A88="","",PROFITABILITY!A88)</f>
        <v/>
      </c>
      <c r="B88" s="33" t="str">
        <f t="shared" si="1"/>
        <v/>
      </c>
      <c r="C88" s="39" t="str">
        <f>IF(A88="","",IFERROR(VLOOKUP(A88,BOOKINGS!$A:$Q,8,FALSE),BOOKINGS!B88))</f>
        <v/>
      </c>
      <c r="D88" s="38" t="str">
        <f>IF(A88="","",PROFITABILITY!B88)</f>
        <v/>
      </c>
      <c r="E88" s="38" t="str">
        <f>IF(A88="","",SETUP_RATES!$K$4)</f>
        <v/>
      </c>
      <c r="F88" s="38" t="str">
        <f t="shared" si="2"/>
        <v/>
      </c>
      <c r="G88" s="33" t="str">
        <f t="shared" si="3"/>
        <v/>
      </c>
      <c r="H88" s="39" t="str">
        <f>IF(C88="","",C88+IFERROR(VLOOKUP(VLOOKUP(A88,BOOKINGS!$A:$Q,3,FALSE),CLIENTS!$A:$H,6,FALSE),30))</f>
        <v/>
      </c>
      <c r="I88" s="33" t="str">
        <f>IF(A88="","",IFERROR(VLOOKUP(B88,COLLECTIONS!$A:$I,7,FALSE),"Unpaid"))</f>
        <v/>
      </c>
    </row>
    <row r="89" ht="15.75" customHeight="1">
      <c r="A89" s="33" t="str">
        <f>IF(PROFITABILITY!A89="","",PROFITABILITY!A89)</f>
        <v/>
      </c>
      <c r="B89" s="33" t="str">
        <f t="shared" si="1"/>
        <v/>
      </c>
      <c r="C89" s="39" t="str">
        <f>IF(A89="","",IFERROR(VLOOKUP(A89,BOOKINGS!$A:$Q,8,FALSE),BOOKINGS!B89))</f>
        <v/>
      </c>
      <c r="D89" s="38" t="str">
        <f>IF(A89="","",PROFITABILITY!B89)</f>
        <v/>
      </c>
      <c r="E89" s="38" t="str">
        <f>IF(A89="","",SETUP_RATES!$K$4)</f>
        <v/>
      </c>
      <c r="F89" s="38" t="str">
        <f t="shared" si="2"/>
        <v/>
      </c>
      <c r="G89" s="33" t="str">
        <f t="shared" si="3"/>
        <v/>
      </c>
      <c r="H89" s="39" t="str">
        <f>IF(C89="","",C89+IFERROR(VLOOKUP(VLOOKUP(A89,BOOKINGS!$A:$Q,3,FALSE),CLIENTS!$A:$H,6,FALSE),30))</f>
        <v/>
      </c>
      <c r="I89" s="33" t="str">
        <f>IF(A89="","",IFERROR(VLOOKUP(B89,COLLECTIONS!$A:$I,7,FALSE),"Unpaid"))</f>
        <v/>
      </c>
    </row>
    <row r="90" ht="15.75" customHeight="1">
      <c r="A90" s="33" t="str">
        <f>IF(PROFITABILITY!A90="","",PROFITABILITY!A90)</f>
        <v/>
      </c>
      <c r="B90" s="33" t="str">
        <f t="shared" si="1"/>
        <v/>
      </c>
      <c r="C90" s="39" t="str">
        <f>IF(A90="","",IFERROR(VLOOKUP(A90,BOOKINGS!$A:$Q,8,FALSE),BOOKINGS!B90))</f>
        <v/>
      </c>
      <c r="D90" s="38" t="str">
        <f>IF(A90="","",PROFITABILITY!B90)</f>
        <v/>
      </c>
      <c r="E90" s="38" t="str">
        <f>IF(A90="","",SETUP_RATES!$K$4)</f>
        <v/>
      </c>
      <c r="F90" s="38" t="str">
        <f t="shared" si="2"/>
        <v/>
      </c>
      <c r="G90" s="33" t="str">
        <f t="shared" si="3"/>
        <v/>
      </c>
      <c r="H90" s="39" t="str">
        <f>IF(C90="","",C90+IFERROR(VLOOKUP(VLOOKUP(A90,BOOKINGS!$A:$Q,3,FALSE),CLIENTS!$A:$H,6,FALSE),30))</f>
        <v/>
      </c>
      <c r="I90" s="33" t="str">
        <f>IF(A90="","",IFERROR(VLOOKUP(B90,COLLECTIONS!$A:$I,7,FALSE),"Unpaid"))</f>
        <v/>
      </c>
    </row>
    <row r="91" ht="15.75" customHeight="1">
      <c r="A91" s="33" t="str">
        <f>IF(PROFITABILITY!A91="","",PROFITABILITY!A91)</f>
        <v/>
      </c>
      <c r="B91" s="33" t="str">
        <f t="shared" si="1"/>
        <v/>
      </c>
      <c r="C91" s="39" t="str">
        <f>IF(A91="","",IFERROR(VLOOKUP(A91,BOOKINGS!$A:$Q,8,FALSE),BOOKINGS!B91))</f>
        <v/>
      </c>
      <c r="D91" s="38" t="str">
        <f>IF(A91="","",PROFITABILITY!B91)</f>
        <v/>
      </c>
      <c r="E91" s="38" t="str">
        <f>IF(A91="","",SETUP_RATES!$K$4)</f>
        <v/>
      </c>
      <c r="F91" s="38" t="str">
        <f t="shared" si="2"/>
        <v/>
      </c>
      <c r="G91" s="33" t="str">
        <f t="shared" si="3"/>
        <v/>
      </c>
      <c r="H91" s="39" t="str">
        <f>IF(C91="","",C91+IFERROR(VLOOKUP(VLOOKUP(A91,BOOKINGS!$A:$Q,3,FALSE),CLIENTS!$A:$H,6,FALSE),30))</f>
        <v/>
      </c>
      <c r="I91" s="33" t="str">
        <f>IF(A91="","",IFERROR(VLOOKUP(B91,COLLECTIONS!$A:$I,7,FALSE),"Unpaid"))</f>
        <v/>
      </c>
    </row>
    <row r="92" ht="15.75" customHeight="1">
      <c r="A92" s="33" t="str">
        <f>IF(PROFITABILITY!A92="","",PROFITABILITY!A92)</f>
        <v/>
      </c>
      <c r="B92" s="33" t="str">
        <f t="shared" si="1"/>
        <v/>
      </c>
      <c r="C92" s="39" t="str">
        <f>IF(A92="","",IFERROR(VLOOKUP(A92,BOOKINGS!$A:$Q,8,FALSE),BOOKINGS!B92))</f>
        <v/>
      </c>
      <c r="D92" s="38" t="str">
        <f>IF(A92="","",PROFITABILITY!B92)</f>
        <v/>
      </c>
      <c r="E92" s="38" t="str">
        <f>IF(A92="","",SETUP_RATES!$K$4)</f>
        <v/>
      </c>
      <c r="F92" s="38" t="str">
        <f t="shared" si="2"/>
        <v/>
      </c>
      <c r="G92" s="33" t="str">
        <f t="shared" si="3"/>
        <v/>
      </c>
      <c r="H92" s="39" t="str">
        <f>IF(C92="","",C92+IFERROR(VLOOKUP(VLOOKUP(A92,BOOKINGS!$A:$Q,3,FALSE),CLIENTS!$A:$H,6,FALSE),30))</f>
        <v/>
      </c>
      <c r="I92" s="33" t="str">
        <f>IF(A92="","",IFERROR(VLOOKUP(B92,COLLECTIONS!$A:$I,7,FALSE),"Unpaid"))</f>
        <v/>
      </c>
    </row>
    <row r="93" ht="15.75" customHeight="1">
      <c r="A93" s="33" t="str">
        <f>IF(PROFITABILITY!A93="","",PROFITABILITY!A93)</f>
        <v/>
      </c>
      <c r="B93" s="33" t="str">
        <f t="shared" si="1"/>
        <v/>
      </c>
      <c r="C93" s="39" t="str">
        <f>IF(A93="","",IFERROR(VLOOKUP(A93,BOOKINGS!$A:$Q,8,FALSE),BOOKINGS!B93))</f>
        <v/>
      </c>
      <c r="D93" s="38" t="str">
        <f>IF(A93="","",PROFITABILITY!B93)</f>
        <v/>
      </c>
      <c r="E93" s="38" t="str">
        <f>IF(A93="","",SETUP_RATES!$K$4)</f>
        <v/>
      </c>
      <c r="F93" s="38" t="str">
        <f t="shared" si="2"/>
        <v/>
      </c>
      <c r="G93" s="33" t="str">
        <f t="shared" si="3"/>
        <v/>
      </c>
      <c r="H93" s="39" t="str">
        <f>IF(C93="","",C93+IFERROR(VLOOKUP(VLOOKUP(A93,BOOKINGS!$A:$Q,3,FALSE),CLIENTS!$A:$H,6,FALSE),30))</f>
        <v/>
      </c>
      <c r="I93" s="33" t="str">
        <f>IF(A93="","",IFERROR(VLOOKUP(B93,COLLECTIONS!$A:$I,7,FALSE),"Unpaid"))</f>
        <v/>
      </c>
    </row>
    <row r="94" ht="15.75" customHeight="1">
      <c r="A94" s="33" t="str">
        <f>IF(PROFITABILITY!A94="","",PROFITABILITY!A94)</f>
        <v/>
      </c>
      <c r="B94" s="33" t="str">
        <f t="shared" si="1"/>
        <v/>
      </c>
      <c r="C94" s="39" t="str">
        <f>IF(A94="","",IFERROR(VLOOKUP(A94,BOOKINGS!$A:$Q,8,FALSE),BOOKINGS!B94))</f>
        <v/>
      </c>
      <c r="D94" s="38" t="str">
        <f>IF(A94="","",PROFITABILITY!B94)</f>
        <v/>
      </c>
      <c r="E94" s="38" t="str">
        <f>IF(A94="","",SETUP_RATES!$K$4)</f>
        <v/>
      </c>
      <c r="F94" s="38" t="str">
        <f t="shared" si="2"/>
        <v/>
      </c>
      <c r="G94" s="33" t="str">
        <f t="shared" si="3"/>
        <v/>
      </c>
      <c r="H94" s="39" t="str">
        <f>IF(C94="","",C94+IFERROR(VLOOKUP(VLOOKUP(A94,BOOKINGS!$A:$Q,3,FALSE),CLIENTS!$A:$H,6,FALSE),30))</f>
        <v/>
      </c>
      <c r="I94" s="33" t="str">
        <f>IF(A94="","",IFERROR(VLOOKUP(B94,COLLECTIONS!$A:$I,7,FALSE),"Unpaid"))</f>
        <v/>
      </c>
    </row>
    <row r="95" ht="15.75" customHeight="1">
      <c r="A95" s="33" t="str">
        <f>IF(PROFITABILITY!A95="","",PROFITABILITY!A95)</f>
        <v/>
      </c>
      <c r="B95" s="33" t="str">
        <f t="shared" si="1"/>
        <v/>
      </c>
      <c r="C95" s="39" t="str">
        <f>IF(A95="","",IFERROR(VLOOKUP(A95,BOOKINGS!$A:$Q,8,FALSE),BOOKINGS!B95))</f>
        <v/>
      </c>
      <c r="D95" s="38" t="str">
        <f>IF(A95="","",PROFITABILITY!B95)</f>
        <v/>
      </c>
      <c r="E95" s="38" t="str">
        <f>IF(A95="","",SETUP_RATES!$K$4)</f>
        <v/>
      </c>
      <c r="F95" s="38" t="str">
        <f t="shared" si="2"/>
        <v/>
      </c>
      <c r="G95" s="33" t="str">
        <f t="shared" si="3"/>
        <v/>
      </c>
      <c r="H95" s="39" t="str">
        <f>IF(C95="","",C95+IFERROR(VLOOKUP(VLOOKUP(A95,BOOKINGS!$A:$Q,3,FALSE),CLIENTS!$A:$H,6,FALSE),30))</f>
        <v/>
      </c>
      <c r="I95" s="33" t="str">
        <f>IF(A95="","",IFERROR(VLOOKUP(B95,COLLECTIONS!$A:$I,7,FALSE),"Unpaid"))</f>
        <v/>
      </c>
    </row>
    <row r="96" ht="15.75" customHeight="1">
      <c r="A96" s="33" t="str">
        <f>IF(PROFITABILITY!A96="","",PROFITABILITY!A96)</f>
        <v/>
      </c>
      <c r="B96" s="33" t="str">
        <f t="shared" si="1"/>
        <v/>
      </c>
      <c r="C96" s="39" t="str">
        <f>IF(A96="","",IFERROR(VLOOKUP(A96,BOOKINGS!$A:$Q,8,FALSE),BOOKINGS!B96))</f>
        <v/>
      </c>
      <c r="D96" s="38" t="str">
        <f>IF(A96="","",PROFITABILITY!B96)</f>
        <v/>
      </c>
      <c r="E96" s="38" t="str">
        <f>IF(A96="","",SETUP_RATES!$K$4)</f>
        <v/>
      </c>
      <c r="F96" s="38" t="str">
        <f t="shared" si="2"/>
        <v/>
      </c>
      <c r="G96" s="33" t="str">
        <f t="shared" si="3"/>
        <v/>
      </c>
      <c r="H96" s="39" t="str">
        <f>IF(C96="","",C96+IFERROR(VLOOKUP(VLOOKUP(A96,BOOKINGS!$A:$Q,3,FALSE),CLIENTS!$A:$H,6,FALSE),30))</f>
        <v/>
      </c>
      <c r="I96" s="33" t="str">
        <f>IF(A96="","",IFERROR(VLOOKUP(B96,COLLECTIONS!$A:$I,7,FALSE),"Unpaid"))</f>
        <v/>
      </c>
    </row>
    <row r="97" ht="15.75" customHeight="1">
      <c r="A97" s="33" t="str">
        <f>IF(PROFITABILITY!A97="","",PROFITABILITY!A97)</f>
        <v/>
      </c>
      <c r="B97" s="33" t="str">
        <f t="shared" si="1"/>
        <v/>
      </c>
      <c r="C97" s="39" t="str">
        <f>IF(A97="","",IFERROR(VLOOKUP(A97,BOOKINGS!$A:$Q,8,FALSE),BOOKINGS!B97))</f>
        <v/>
      </c>
      <c r="D97" s="38" t="str">
        <f>IF(A97="","",PROFITABILITY!B97)</f>
        <v/>
      </c>
      <c r="E97" s="38" t="str">
        <f>IF(A97="","",SETUP_RATES!$K$4)</f>
        <v/>
      </c>
      <c r="F97" s="38" t="str">
        <f t="shared" si="2"/>
        <v/>
      </c>
      <c r="G97" s="33" t="str">
        <f t="shared" si="3"/>
        <v/>
      </c>
      <c r="H97" s="39" t="str">
        <f>IF(C97="","",C97+IFERROR(VLOOKUP(VLOOKUP(A97,BOOKINGS!$A:$Q,3,FALSE),CLIENTS!$A:$H,6,FALSE),30))</f>
        <v/>
      </c>
      <c r="I97" s="33" t="str">
        <f>IF(A97="","",IFERROR(VLOOKUP(B97,COLLECTIONS!$A:$I,7,FALSE),"Unpaid"))</f>
        <v/>
      </c>
    </row>
    <row r="98" ht="15.75" customHeight="1">
      <c r="A98" s="33" t="str">
        <f>IF(PROFITABILITY!A98="","",PROFITABILITY!A98)</f>
        <v/>
      </c>
      <c r="B98" s="33" t="str">
        <f t="shared" si="1"/>
        <v/>
      </c>
      <c r="C98" s="39" t="str">
        <f>IF(A98="","",IFERROR(VLOOKUP(A98,BOOKINGS!$A:$Q,8,FALSE),BOOKINGS!B98))</f>
        <v/>
      </c>
      <c r="D98" s="38" t="str">
        <f>IF(A98="","",PROFITABILITY!B98)</f>
        <v/>
      </c>
      <c r="E98" s="38" t="str">
        <f>IF(A98="","",SETUP_RATES!$K$4)</f>
        <v/>
      </c>
      <c r="F98" s="38" t="str">
        <f t="shared" si="2"/>
        <v/>
      </c>
      <c r="G98" s="33" t="str">
        <f t="shared" si="3"/>
        <v/>
      </c>
      <c r="H98" s="39" t="str">
        <f>IF(C98="","",C98+IFERROR(VLOOKUP(VLOOKUP(A98,BOOKINGS!$A:$Q,3,FALSE),CLIENTS!$A:$H,6,FALSE),30))</f>
        <v/>
      </c>
      <c r="I98" s="33" t="str">
        <f>IF(A98="","",IFERROR(VLOOKUP(B98,COLLECTIONS!$A:$I,7,FALSE),"Unpaid"))</f>
        <v/>
      </c>
    </row>
    <row r="99" ht="15.75" customHeight="1">
      <c r="A99" s="33" t="str">
        <f>IF(PROFITABILITY!A99="","",PROFITABILITY!A99)</f>
        <v/>
      </c>
      <c r="B99" s="33" t="str">
        <f t="shared" si="1"/>
        <v/>
      </c>
      <c r="C99" s="39" t="str">
        <f>IF(A99="","",IFERROR(VLOOKUP(A99,BOOKINGS!$A:$Q,8,FALSE),BOOKINGS!B99))</f>
        <v/>
      </c>
      <c r="D99" s="38" t="str">
        <f>IF(A99="","",PROFITABILITY!B99)</f>
        <v/>
      </c>
      <c r="E99" s="38" t="str">
        <f>IF(A99="","",SETUP_RATES!$K$4)</f>
        <v/>
      </c>
      <c r="F99" s="38" t="str">
        <f t="shared" si="2"/>
        <v/>
      </c>
      <c r="G99" s="33" t="str">
        <f t="shared" si="3"/>
        <v/>
      </c>
      <c r="H99" s="39" t="str">
        <f>IF(C99="","",C99+IFERROR(VLOOKUP(VLOOKUP(A99,BOOKINGS!$A:$Q,3,FALSE),CLIENTS!$A:$H,6,FALSE),30))</f>
        <v/>
      </c>
      <c r="I99" s="33" t="str">
        <f>IF(A99="","",IFERROR(VLOOKUP(B99,COLLECTIONS!$A:$I,7,FALSE),"Unpaid"))</f>
        <v/>
      </c>
    </row>
    <row r="100" ht="15.75" customHeight="1">
      <c r="A100" s="33" t="str">
        <f>IF(PROFITABILITY!A100="","",PROFITABILITY!A100)</f>
        <v/>
      </c>
      <c r="B100" s="33" t="str">
        <f t="shared" si="1"/>
        <v/>
      </c>
      <c r="C100" s="39" t="str">
        <f>IF(A100="","",IFERROR(VLOOKUP(A100,BOOKINGS!$A:$Q,8,FALSE),BOOKINGS!B100))</f>
        <v/>
      </c>
      <c r="D100" s="38" t="str">
        <f>IF(A100="","",PROFITABILITY!B100)</f>
        <v/>
      </c>
      <c r="E100" s="38" t="str">
        <f>IF(A100="","",SETUP_RATES!$K$4)</f>
        <v/>
      </c>
      <c r="F100" s="38" t="str">
        <f t="shared" si="2"/>
        <v/>
      </c>
      <c r="G100" s="33" t="str">
        <f t="shared" si="3"/>
        <v/>
      </c>
      <c r="H100" s="39" t="str">
        <f>IF(C100="","",C100+IFERROR(VLOOKUP(VLOOKUP(A100,BOOKINGS!$A:$Q,3,FALSE),CLIENTS!$A:$H,6,FALSE),30))</f>
        <v/>
      </c>
      <c r="I100" s="33" t="str">
        <f>IF(A100="","",IFERROR(VLOOKUP(B100,COLLECTIONS!$A:$I,7,FALSE),"Unpaid"))</f>
        <v/>
      </c>
    </row>
    <row r="101" ht="15.75" customHeight="1">
      <c r="A101" s="33" t="str">
        <f>IF(PROFITABILITY!A101="","",PROFITABILITY!A101)</f>
        <v/>
      </c>
      <c r="B101" s="33" t="str">
        <f t="shared" si="1"/>
        <v/>
      </c>
      <c r="C101" s="39" t="str">
        <f>IF(A101="","",IFERROR(VLOOKUP(A101,BOOKINGS!$A:$Q,8,FALSE),BOOKINGS!B101))</f>
        <v/>
      </c>
      <c r="D101" s="38" t="str">
        <f>IF(A101="","",PROFITABILITY!B101)</f>
        <v/>
      </c>
      <c r="E101" s="38" t="str">
        <f>IF(A101="","",SETUP_RATES!$K$4)</f>
        <v/>
      </c>
      <c r="F101" s="38" t="str">
        <f t="shared" si="2"/>
        <v/>
      </c>
      <c r="G101" s="33" t="str">
        <f t="shared" si="3"/>
        <v/>
      </c>
      <c r="H101" s="39" t="str">
        <f>IF(C101="","",C101+IFERROR(VLOOKUP(VLOOKUP(A101,BOOKINGS!$A:$Q,3,FALSE),CLIENTS!$A:$H,6,FALSE),30))</f>
        <v/>
      </c>
      <c r="I101" s="33" t="str">
        <f>IF(A101="","",IFERROR(VLOOKUP(B101,COLLECTIONS!$A:$I,7,FALSE),"Unpaid"))</f>
        <v/>
      </c>
    </row>
    <row r="102" ht="15.75" customHeight="1">
      <c r="A102" s="33" t="str">
        <f>IF(PROFITABILITY!A102="","",PROFITABILITY!A102)</f>
        <v/>
      </c>
      <c r="B102" s="33" t="str">
        <f t="shared" si="1"/>
        <v/>
      </c>
      <c r="C102" s="39" t="str">
        <f>IF(A102="","",IFERROR(VLOOKUP(A102,BOOKINGS!$A:$Q,8,FALSE),BOOKINGS!B102))</f>
        <v/>
      </c>
      <c r="D102" s="38" t="str">
        <f>IF(A102="","",PROFITABILITY!B102)</f>
        <v/>
      </c>
      <c r="E102" s="38" t="str">
        <f>IF(A102="","",SETUP_RATES!$K$4)</f>
        <v/>
      </c>
      <c r="F102" s="38" t="str">
        <f t="shared" si="2"/>
        <v/>
      </c>
      <c r="G102" s="33" t="str">
        <f t="shared" si="3"/>
        <v/>
      </c>
      <c r="H102" s="39" t="str">
        <f>IF(C102="","",C102+IFERROR(VLOOKUP(VLOOKUP(A102,BOOKINGS!$A:$Q,3,FALSE),CLIENTS!$A:$H,6,FALSE),30))</f>
        <v/>
      </c>
      <c r="I102" s="33" t="str">
        <f>IF(A102="","",IFERROR(VLOOKUP(B102,COLLECTIONS!$A:$I,7,FALSE),"Unpaid"))</f>
        <v/>
      </c>
    </row>
    <row r="103" ht="15.75" customHeight="1">
      <c r="A103" s="33" t="str">
        <f>IF(PROFITABILITY!A103="","",PROFITABILITY!A103)</f>
        <v/>
      </c>
      <c r="B103" s="33" t="str">
        <f t="shared" si="1"/>
        <v/>
      </c>
      <c r="C103" s="39" t="str">
        <f>IF(A103="","",IFERROR(VLOOKUP(A103,BOOKINGS!$A:$Q,8,FALSE),BOOKINGS!B103))</f>
        <v/>
      </c>
      <c r="D103" s="38" t="str">
        <f>IF(A103="","",PROFITABILITY!B103)</f>
        <v/>
      </c>
      <c r="E103" s="38" t="str">
        <f>IF(A103="","",SETUP_RATES!$K$4)</f>
        <v/>
      </c>
      <c r="F103" s="38" t="str">
        <f t="shared" si="2"/>
        <v/>
      </c>
      <c r="G103" s="33" t="str">
        <f t="shared" si="3"/>
        <v/>
      </c>
      <c r="H103" s="39" t="str">
        <f>IF(C103="","",C103+IFERROR(VLOOKUP(VLOOKUP(A103,BOOKINGS!$A:$Q,3,FALSE),CLIENTS!$A:$H,6,FALSE),30))</f>
        <v/>
      </c>
      <c r="I103" s="33" t="str">
        <f>IF(A103="","",IFERROR(VLOOKUP(B103,COLLECTIONS!$A:$I,7,FALSE),"Unpaid"))</f>
        <v/>
      </c>
    </row>
    <row r="104" ht="15.75" customHeight="1">
      <c r="A104" s="33" t="str">
        <f>IF(PROFITABILITY!A104="","",PROFITABILITY!A104)</f>
        <v/>
      </c>
      <c r="B104" s="33" t="str">
        <f t="shared" si="1"/>
        <v/>
      </c>
      <c r="C104" s="39" t="str">
        <f>IF(A104="","",IFERROR(VLOOKUP(A104,BOOKINGS!$A:$Q,8,FALSE),BOOKINGS!B104))</f>
        <v/>
      </c>
      <c r="D104" s="38" t="str">
        <f>IF(A104="","",PROFITABILITY!B104)</f>
        <v/>
      </c>
      <c r="E104" s="38" t="str">
        <f>IF(A104="","",SETUP_RATES!$K$4)</f>
        <v/>
      </c>
      <c r="F104" s="38" t="str">
        <f t="shared" si="2"/>
        <v/>
      </c>
      <c r="G104" s="33" t="str">
        <f t="shared" si="3"/>
        <v/>
      </c>
      <c r="H104" s="39" t="str">
        <f>IF(C104="","",C104+IFERROR(VLOOKUP(VLOOKUP(A104,BOOKINGS!$A:$Q,3,FALSE),CLIENTS!$A:$H,6,FALSE),30))</f>
        <v/>
      </c>
      <c r="I104" s="33" t="str">
        <f>IF(A104="","",IFERROR(VLOOKUP(B104,COLLECTIONS!$A:$I,7,FALSE),"Unpaid"))</f>
        <v/>
      </c>
    </row>
    <row r="105" ht="15.75" customHeight="1">
      <c r="A105" s="33" t="str">
        <f>IF(PROFITABILITY!A105="","",PROFITABILITY!A105)</f>
        <v/>
      </c>
      <c r="B105" s="33" t="str">
        <f t="shared" si="1"/>
        <v/>
      </c>
      <c r="C105" s="39" t="str">
        <f>IF(A105="","",IFERROR(VLOOKUP(A105,BOOKINGS!$A:$Q,8,FALSE),BOOKINGS!B105))</f>
        <v/>
      </c>
      <c r="D105" s="38" t="str">
        <f>IF(A105="","",PROFITABILITY!B105)</f>
        <v/>
      </c>
      <c r="E105" s="38" t="str">
        <f>IF(A105="","",SETUP_RATES!$K$4)</f>
        <v/>
      </c>
      <c r="F105" s="38" t="str">
        <f t="shared" si="2"/>
        <v/>
      </c>
      <c r="G105" s="33" t="str">
        <f t="shared" si="3"/>
        <v/>
      </c>
      <c r="H105" s="39" t="str">
        <f>IF(C105="","",C105+IFERROR(VLOOKUP(VLOOKUP(A105,BOOKINGS!$A:$Q,3,FALSE),CLIENTS!$A:$H,6,FALSE),30))</f>
        <v/>
      </c>
      <c r="I105" s="33" t="str">
        <f>IF(A105="","",IFERROR(VLOOKUP(B105,COLLECTIONS!$A:$I,7,FALSE),"Unpaid"))</f>
        <v/>
      </c>
    </row>
    <row r="106" ht="15.75" customHeight="1">
      <c r="A106" s="33" t="str">
        <f>IF(PROFITABILITY!A106="","",PROFITABILITY!A106)</f>
        <v/>
      </c>
      <c r="B106" s="33" t="str">
        <f t="shared" si="1"/>
        <v/>
      </c>
      <c r="C106" s="39" t="str">
        <f>IF(A106="","",IFERROR(VLOOKUP(A106,BOOKINGS!$A:$Q,8,FALSE),BOOKINGS!B106))</f>
        <v/>
      </c>
      <c r="D106" s="38" t="str">
        <f>IF(A106="","",PROFITABILITY!B106)</f>
        <v/>
      </c>
      <c r="E106" s="38" t="str">
        <f>IF(A106="","",SETUP_RATES!$K$4)</f>
        <v/>
      </c>
      <c r="F106" s="38" t="str">
        <f t="shared" si="2"/>
        <v/>
      </c>
      <c r="G106" s="33" t="str">
        <f t="shared" si="3"/>
        <v/>
      </c>
      <c r="H106" s="39" t="str">
        <f>IF(C106="","",C106+IFERROR(VLOOKUP(VLOOKUP(A106,BOOKINGS!$A:$Q,3,FALSE),CLIENTS!$A:$H,6,FALSE),30))</f>
        <v/>
      </c>
      <c r="I106" s="33" t="str">
        <f>IF(A106="","",IFERROR(VLOOKUP(B106,COLLECTIONS!$A:$I,7,FALSE),"Unpaid"))</f>
        <v/>
      </c>
    </row>
    <row r="107" ht="15.75" customHeight="1">
      <c r="A107" s="33" t="str">
        <f>IF(PROFITABILITY!A107="","",PROFITABILITY!A107)</f>
        <v/>
      </c>
      <c r="B107" s="33" t="str">
        <f t="shared" si="1"/>
        <v/>
      </c>
      <c r="C107" s="39" t="str">
        <f>IF(A107="","",IFERROR(VLOOKUP(A107,BOOKINGS!$A:$Q,8,FALSE),BOOKINGS!B107))</f>
        <v/>
      </c>
      <c r="D107" s="38" t="str">
        <f>IF(A107="","",PROFITABILITY!B107)</f>
        <v/>
      </c>
      <c r="E107" s="38" t="str">
        <f>IF(A107="","",SETUP_RATES!$K$4)</f>
        <v/>
      </c>
      <c r="F107" s="38" t="str">
        <f t="shared" si="2"/>
        <v/>
      </c>
      <c r="G107" s="33" t="str">
        <f t="shared" si="3"/>
        <v/>
      </c>
      <c r="H107" s="39" t="str">
        <f>IF(C107="","",C107+IFERROR(VLOOKUP(VLOOKUP(A107,BOOKINGS!$A:$Q,3,FALSE),CLIENTS!$A:$H,6,FALSE),30))</f>
        <v/>
      </c>
      <c r="I107" s="33" t="str">
        <f>IF(A107="","",IFERROR(VLOOKUP(B107,COLLECTIONS!$A:$I,7,FALSE),"Unpaid"))</f>
        <v/>
      </c>
    </row>
    <row r="108" ht="15.75" customHeight="1">
      <c r="A108" s="33" t="str">
        <f>IF(PROFITABILITY!A108="","",PROFITABILITY!A108)</f>
        <v/>
      </c>
      <c r="B108" s="33" t="str">
        <f t="shared" si="1"/>
        <v/>
      </c>
      <c r="C108" s="39" t="str">
        <f>IF(A108="","",IFERROR(VLOOKUP(A108,BOOKINGS!$A:$Q,8,FALSE),BOOKINGS!B108))</f>
        <v/>
      </c>
      <c r="D108" s="38" t="str">
        <f>IF(A108="","",PROFITABILITY!B108)</f>
        <v/>
      </c>
      <c r="E108" s="38" t="str">
        <f>IF(A108="","",SETUP_RATES!$K$4)</f>
        <v/>
      </c>
      <c r="F108" s="38" t="str">
        <f t="shared" si="2"/>
        <v/>
      </c>
      <c r="G108" s="33" t="str">
        <f t="shared" si="3"/>
        <v/>
      </c>
      <c r="H108" s="39" t="str">
        <f>IF(C108="","",C108+IFERROR(VLOOKUP(VLOOKUP(A108,BOOKINGS!$A:$Q,3,FALSE),CLIENTS!$A:$H,6,FALSE),30))</f>
        <v/>
      </c>
      <c r="I108" s="33" t="str">
        <f>IF(A108="","",IFERROR(VLOOKUP(B108,COLLECTIONS!$A:$I,7,FALSE),"Unpaid"))</f>
        <v/>
      </c>
    </row>
    <row r="109" ht="15.75" customHeight="1">
      <c r="A109" s="33" t="str">
        <f>IF(PROFITABILITY!A109="","",PROFITABILITY!A109)</f>
        <v/>
      </c>
      <c r="B109" s="33" t="str">
        <f t="shared" si="1"/>
        <v/>
      </c>
      <c r="C109" s="39" t="str">
        <f>IF(A109="","",IFERROR(VLOOKUP(A109,BOOKINGS!$A:$Q,8,FALSE),BOOKINGS!B109))</f>
        <v/>
      </c>
      <c r="D109" s="38" t="str">
        <f>IF(A109="","",PROFITABILITY!B109)</f>
        <v/>
      </c>
      <c r="E109" s="38" t="str">
        <f>IF(A109="","",SETUP_RATES!$K$4)</f>
        <v/>
      </c>
      <c r="F109" s="38" t="str">
        <f t="shared" si="2"/>
        <v/>
      </c>
      <c r="G109" s="33" t="str">
        <f t="shared" si="3"/>
        <v/>
      </c>
      <c r="H109" s="39" t="str">
        <f>IF(C109="","",C109+IFERROR(VLOOKUP(VLOOKUP(A109,BOOKINGS!$A:$Q,3,FALSE),CLIENTS!$A:$H,6,FALSE),30))</f>
        <v/>
      </c>
      <c r="I109" s="33" t="str">
        <f>IF(A109="","",IFERROR(VLOOKUP(B109,COLLECTIONS!$A:$I,7,FALSE),"Unpaid"))</f>
        <v/>
      </c>
    </row>
    <row r="110" ht="15.75" customHeight="1">
      <c r="A110" s="33" t="str">
        <f>IF(PROFITABILITY!A110="","",PROFITABILITY!A110)</f>
        <v/>
      </c>
      <c r="B110" s="33" t="str">
        <f t="shared" si="1"/>
        <v/>
      </c>
      <c r="C110" s="39" t="str">
        <f>IF(A110="","",IFERROR(VLOOKUP(A110,BOOKINGS!$A:$Q,8,FALSE),BOOKINGS!B110))</f>
        <v/>
      </c>
      <c r="D110" s="38" t="str">
        <f>IF(A110="","",PROFITABILITY!B110)</f>
        <v/>
      </c>
      <c r="E110" s="38" t="str">
        <f>IF(A110="","",SETUP_RATES!$K$4)</f>
        <v/>
      </c>
      <c r="F110" s="38" t="str">
        <f t="shared" si="2"/>
        <v/>
      </c>
      <c r="G110" s="33" t="str">
        <f t="shared" si="3"/>
        <v/>
      </c>
      <c r="H110" s="39" t="str">
        <f>IF(C110="","",C110+IFERROR(VLOOKUP(VLOOKUP(A110,BOOKINGS!$A:$Q,3,FALSE),CLIENTS!$A:$H,6,FALSE),30))</f>
        <v/>
      </c>
      <c r="I110" s="33" t="str">
        <f>IF(A110="","",IFERROR(VLOOKUP(B110,COLLECTIONS!$A:$I,7,FALSE),"Unpaid"))</f>
        <v/>
      </c>
    </row>
    <row r="111" ht="15.75" customHeight="1">
      <c r="A111" s="33" t="str">
        <f>IF(PROFITABILITY!A111="","",PROFITABILITY!A111)</f>
        <v/>
      </c>
      <c r="B111" s="33" t="str">
        <f t="shared" si="1"/>
        <v/>
      </c>
      <c r="C111" s="39" t="str">
        <f>IF(A111="","",IFERROR(VLOOKUP(A111,BOOKINGS!$A:$Q,8,FALSE),BOOKINGS!B111))</f>
        <v/>
      </c>
      <c r="D111" s="38" t="str">
        <f>IF(A111="","",PROFITABILITY!B111)</f>
        <v/>
      </c>
      <c r="E111" s="38" t="str">
        <f>IF(A111="","",SETUP_RATES!$K$4)</f>
        <v/>
      </c>
      <c r="F111" s="38" t="str">
        <f t="shared" si="2"/>
        <v/>
      </c>
      <c r="G111" s="33" t="str">
        <f t="shared" si="3"/>
        <v/>
      </c>
      <c r="H111" s="39" t="str">
        <f>IF(C111="","",C111+IFERROR(VLOOKUP(VLOOKUP(A111,BOOKINGS!$A:$Q,3,FALSE),CLIENTS!$A:$H,6,FALSE),30))</f>
        <v/>
      </c>
      <c r="I111" s="33" t="str">
        <f>IF(A111="","",IFERROR(VLOOKUP(B111,COLLECTIONS!$A:$I,7,FALSE),"Unpaid"))</f>
        <v/>
      </c>
    </row>
    <row r="112" ht="15.75" customHeight="1">
      <c r="A112" s="33" t="str">
        <f>IF(PROFITABILITY!A112="","",PROFITABILITY!A112)</f>
        <v/>
      </c>
      <c r="B112" s="33" t="str">
        <f t="shared" si="1"/>
        <v/>
      </c>
      <c r="C112" s="39" t="str">
        <f>IF(A112="","",IFERROR(VLOOKUP(A112,BOOKINGS!$A:$Q,8,FALSE),BOOKINGS!B112))</f>
        <v/>
      </c>
      <c r="D112" s="38" t="str">
        <f>IF(A112="","",PROFITABILITY!B112)</f>
        <v/>
      </c>
      <c r="E112" s="38" t="str">
        <f>IF(A112="","",SETUP_RATES!$K$4)</f>
        <v/>
      </c>
      <c r="F112" s="38" t="str">
        <f t="shared" si="2"/>
        <v/>
      </c>
      <c r="G112" s="33" t="str">
        <f t="shared" si="3"/>
        <v/>
      </c>
      <c r="H112" s="39" t="str">
        <f>IF(C112="","",C112+IFERROR(VLOOKUP(VLOOKUP(A112,BOOKINGS!$A:$Q,3,FALSE),CLIENTS!$A:$H,6,FALSE),30))</f>
        <v/>
      </c>
      <c r="I112" s="33" t="str">
        <f>IF(A112="","",IFERROR(VLOOKUP(B112,COLLECTIONS!$A:$I,7,FALSE),"Unpaid"))</f>
        <v/>
      </c>
    </row>
    <row r="113" ht="15.75" customHeight="1">
      <c r="A113" s="33" t="str">
        <f>IF(PROFITABILITY!A113="","",PROFITABILITY!A113)</f>
        <v/>
      </c>
      <c r="B113" s="33" t="str">
        <f t="shared" si="1"/>
        <v/>
      </c>
      <c r="C113" s="39" t="str">
        <f>IF(A113="","",IFERROR(VLOOKUP(A113,BOOKINGS!$A:$Q,8,FALSE),BOOKINGS!B113))</f>
        <v/>
      </c>
      <c r="D113" s="38" t="str">
        <f>IF(A113="","",PROFITABILITY!B113)</f>
        <v/>
      </c>
      <c r="E113" s="38" t="str">
        <f>IF(A113="","",SETUP_RATES!$K$4)</f>
        <v/>
      </c>
      <c r="F113" s="38" t="str">
        <f t="shared" si="2"/>
        <v/>
      </c>
      <c r="G113" s="33" t="str">
        <f t="shared" si="3"/>
        <v/>
      </c>
      <c r="H113" s="39" t="str">
        <f>IF(C113="","",C113+IFERROR(VLOOKUP(VLOOKUP(A113,BOOKINGS!$A:$Q,3,FALSE),CLIENTS!$A:$H,6,FALSE),30))</f>
        <v/>
      </c>
      <c r="I113" s="33" t="str">
        <f>IF(A113="","",IFERROR(VLOOKUP(B113,COLLECTIONS!$A:$I,7,FALSE),"Unpaid"))</f>
        <v/>
      </c>
    </row>
    <row r="114" ht="15.75" customHeight="1">
      <c r="A114" s="33" t="str">
        <f>IF(PROFITABILITY!A114="","",PROFITABILITY!A114)</f>
        <v/>
      </c>
      <c r="B114" s="33" t="str">
        <f t="shared" si="1"/>
        <v/>
      </c>
      <c r="C114" s="39" t="str">
        <f>IF(A114="","",IFERROR(VLOOKUP(A114,BOOKINGS!$A:$Q,8,FALSE),BOOKINGS!B114))</f>
        <v/>
      </c>
      <c r="D114" s="38" t="str">
        <f>IF(A114="","",PROFITABILITY!B114)</f>
        <v/>
      </c>
      <c r="E114" s="38" t="str">
        <f>IF(A114="","",SETUP_RATES!$K$4)</f>
        <v/>
      </c>
      <c r="F114" s="38" t="str">
        <f t="shared" si="2"/>
        <v/>
      </c>
      <c r="G114" s="33" t="str">
        <f t="shared" si="3"/>
        <v/>
      </c>
      <c r="H114" s="39" t="str">
        <f>IF(C114="","",C114+IFERROR(VLOOKUP(VLOOKUP(A114,BOOKINGS!$A:$Q,3,FALSE),CLIENTS!$A:$H,6,FALSE),30))</f>
        <v/>
      </c>
      <c r="I114" s="33" t="str">
        <f>IF(A114="","",IFERROR(VLOOKUP(B114,COLLECTIONS!$A:$I,7,FALSE),"Unpaid"))</f>
        <v/>
      </c>
    </row>
    <row r="115" ht="15.75" customHeight="1">
      <c r="A115" s="33" t="str">
        <f>IF(PROFITABILITY!A115="","",PROFITABILITY!A115)</f>
        <v/>
      </c>
      <c r="B115" s="33" t="str">
        <f t="shared" si="1"/>
        <v/>
      </c>
      <c r="C115" s="39" t="str">
        <f>IF(A115="","",IFERROR(VLOOKUP(A115,BOOKINGS!$A:$Q,8,FALSE),BOOKINGS!B115))</f>
        <v/>
      </c>
      <c r="D115" s="38" t="str">
        <f>IF(A115="","",PROFITABILITY!B115)</f>
        <v/>
      </c>
      <c r="E115" s="38" t="str">
        <f>IF(A115="","",SETUP_RATES!$K$4)</f>
        <v/>
      </c>
      <c r="F115" s="38" t="str">
        <f t="shared" si="2"/>
        <v/>
      </c>
      <c r="G115" s="33" t="str">
        <f t="shared" si="3"/>
        <v/>
      </c>
      <c r="H115" s="39" t="str">
        <f>IF(C115="","",C115+IFERROR(VLOOKUP(VLOOKUP(A115,BOOKINGS!$A:$Q,3,FALSE),CLIENTS!$A:$H,6,FALSE),30))</f>
        <v/>
      </c>
      <c r="I115" s="33" t="str">
        <f>IF(A115="","",IFERROR(VLOOKUP(B115,COLLECTIONS!$A:$I,7,FALSE),"Unpaid"))</f>
        <v/>
      </c>
    </row>
    <row r="116" ht="15.75" customHeight="1">
      <c r="A116" s="33" t="str">
        <f>IF(PROFITABILITY!A116="","",PROFITABILITY!A116)</f>
        <v/>
      </c>
      <c r="B116" s="33" t="str">
        <f t="shared" si="1"/>
        <v/>
      </c>
      <c r="C116" s="39" t="str">
        <f>IF(A116="","",IFERROR(VLOOKUP(A116,BOOKINGS!$A:$Q,8,FALSE),BOOKINGS!B116))</f>
        <v/>
      </c>
      <c r="D116" s="38" t="str">
        <f>IF(A116="","",PROFITABILITY!B116)</f>
        <v/>
      </c>
      <c r="E116" s="38" t="str">
        <f>IF(A116="","",SETUP_RATES!$K$4)</f>
        <v/>
      </c>
      <c r="F116" s="38" t="str">
        <f t="shared" si="2"/>
        <v/>
      </c>
      <c r="G116" s="33" t="str">
        <f t="shared" si="3"/>
        <v/>
      </c>
      <c r="H116" s="39" t="str">
        <f>IF(C116="","",C116+IFERROR(VLOOKUP(VLOOKUP(A116,BOOKINGS!$A:$Q,3,FALSE),CLIENTS!$A:$H,6,FALSE),30))</f>
        <v/>
      </c>
      <c r="I116" s="33" t="str">
        <f>IF(A116="","",IFERROR(VLOOKUP(B116,COLLECTIONS!$A:$I,7,FALSE),"Unpaid"))</f>
        <v/>
      </c>
    </row>
    <row r="117" ht="15.75" customHeight="1">
      <c r="A117" s="33" t="str">
        <f>IF(PROFITABILITY!A117="","",PROFITABILITY!A117)</f>
        <v/>
      </c>
      <c r="B117" s="33" t="str">
        <f t="shared" si="1"/>
        <v/>
      </c>
      <c r="C117" s="39" t="str">
        <f>IF(A117="","",IFERROR(VLOOKUP(A117,BOOKINGS!$A:$Q,8,FALSE),BOOKINGS!B117))</f>
        <v/>
      </c>
      <c r="D117" s="38" t="str">
        <f>IF(A117="","",PROFITABILITY!B117)</f>
        <v/>
      </c>
      <c r="E117" s="38" t="str">
        <f>IF(A117="","",SETUP_RATES!$K$4)</f>
        <v/>
      </c>
      <c r="F117" s="38" t="str">
        <f t="shared" si="2"/>
        <v/>
      </c>
      <c r="G117" s="33" t="str">
        <f t="shared" si="3"/>
        <v/>
      </c>
      <c r="H117" s="39" t="str">
        <f>IF(C117="","",C117+IFERROR(VLOOKUP(VLOOKUP(A117,BOOKINGS!$A:$Q,3,FALSE),CLIENTS!$A:$H,6,FALSE),30))</f>
        <v/>
      </c>
      <c r="I117" s="33" t="str">
        <f>IF(A117="","",IFERROR(VLOOKUP(B117,COLLECTIONS!$A:$I,7,FALSE),"Unpaid"))</f>
        <v/>
      </c>
    </row>
    <row r="118" ht="15.75" customHeight="1">
      <c r="A118" s="33" t="str">
        <f>IF(PROFITABILITY!A118="","",PROFITABILITY!A118)</f>
        <v/>
      </c>
      <c r="B118" s="33" t="str">
        <f t="shared" si="1"/>
        <v/>
      </c>
      <c r="C118" s="39" t="str">
        <f>IF(A118="","",IFERROR(VLOOKUP(A118,BOOKINGS!$A:$Q,8,FALSE),BOOKINGS!B118))</f>
        <v/>
      </c>
      <c r="D118" s="38" t="str">
        <f>IF(A118="","",PROFITABILITY!B118)</f>
        <v/>
      </c>
      <c r="E118" s="38" t="str">
        <f>IF(A118="","",SETUP_RATES!$K$4)</f>
        <v/>
      </c>
      <c r="F118" s="38" t="str">
        <f t="shared" si="2"/>
        <v/>
      </c>
      <c r="G118" s="33" t="str">
        <f t="shared" si="3"/>
        <v/>
      </c>
      <c r="H118" s="39" t="str">
        <f>IF(C118="","",C118+IFERROR(VLOOKUP(VLOOKUP(A118,BOOKINGS!$A:$Q,3,FALSE),CLIENTS!$A:$H,6,FALSE),30))</f>
        <v/>
      </c>
      <c r="I118" s="33" t="str">
        <f>IF(A118="","",IFERROR(VLOOKUP(B118,COLLECTIONS!$A:$I,7,FALSE),"Unpaid"))</f>
        <v/>
      </c>
    </row>
    <row r="119" ht="15.75" customHeight="1">
      <c r="A119" s="33" t="str">
        <f>IF(PROFITABILITY!A119="","",PROFITABILITY!A119)</f>
        <v/>
      </c>
      <c r="B119" s="33" t="str">
        <f t="shared" si="1"/>
        <v/>
      </c>
      <c r="C119" s="39" t="str">
        <f>IF(A119="","",IFERROR(VLOOKUP(A119,BOOKINGS!$A:$Q,8,FALSE),BOOKINGS!B119))</f>
        <v/>
      </c>
      <c r="D119" s="38" t="str">
        <f>IF(A119="","",PROFITABILITY!B119)</f>
        <v/>
      </c>
      <c r="E119" s="38" t="str">
        <f>IF(A119="","",SETUP_RATES!$K$4)</f>
        <v/>
      </c>
      <c r="F119" s="38" t="str">
        <f t="shared" si="2"/>
        <v/>
      </c>
      <c r="G119" s="33" t="str">
        <f t="shared" si="3"/>
        <v/>
      </c>
      <c r="H119" s="39" t="str">
        <f>IF(C119="","",C119+IFERROR(VLOOKUP(VLOOKUP(A119,BOOKINGS!$A:$Q,3,FALSE),CLIENTS!$A:$H,6,FALSE),30))</f>
        <v/>
      </c>
      <c r="I119" s="33" t="str">
        <f>IF(A119="","",IFERROR(VLOOKUP(B119,COLLECTIONS!$A:$I,7,FALSE),"Unpaid"))</f>
        <v/>
      </c>
    </row>
    <row r="120" ht="15.75" customHeight="1">
      <c r="A120" s="33" t="str">
        <f>IF(PROFITABILITY!A120="","",PROFITABILITY!A120)</f>
        <v/>
      </c>
      <c r="B120" s="33" t="str">
        <f t="shared" si="1"/>
        <v/>
      </c>
      <c r="C120" s="39" t="str">
        <f>IF(A120="","",IFERROR(VLOOKUP(A120,BOOKINGS!$A:$Q,8,FALSE),BOOKINGS!B120))</f>
        <v/>
      </c>
      <c r="D120" s="38" t="str">
        <f>IF(A120="","",PROFITABILITY!B120)</f>
        <v/>
      </c>
      <c r="E120" s="38" t="str">
        <f>IF(A120="","",SETUP_RATES!$K$4)</f>
        <v/>
      </c>
      <c r="F120" s="38" t="str">
        <f t="shared" si="2"/>
        <v/>
      </c>
      <c r="G120" s="33" t="str">
        <f t="shared" si="3"/>
        <v/>
      </c>
      <c r="H120" s="39" t="str">
        <f>IF(C120="","",C120+IFERROR(VLOOKUP(VLOOKUP(A120,BOOKINGS!$A:$Q,3,FALSE),CLIENTS!$A:$H,6,FALSE),30))</f>
        <v/>
      </c>
      <c r="I120" s="33" t="str">
        <f>IF(A120="","",IFERROR(VLOOKUP(B120,COLLECTIONS!$A:$I,7,FALSE),"Unpaid"))</f>
        <v/>
      </c>
    </row>
    <row r="121" ht="15.75" customHeight="1">
      <c r="A121" s="33" t="str">
        <f>IF(PROFITABILITY!A121="","",PROFITABILITY!A121)</f>
        <v/>
      </c>
      <c r="B121" s="33" t="str">
        <f t="shared" si="1"/>
        <v/>
      </c>
      <c r="C121" s="39" t="str">
        <f>IF(A121="","",IFERROR(VLOOKUP(A121,BOOKINGS!$A:$Q,8,FALSE),BOOKINGS!B121))</f>
        <v/>
      </c>
      <c r="D121" s="38" t="str">
        <f>IF(A121="","",PROFITABILITY!B121)</f>
        <v/>
      </c>
      <c r="E121" s="38" t="str">
        <f>IF(A121="","",SETUP_RATES!$K$4)</f>
        <v/>
      </c>
      <c r="F121" s="38" t="str">
        <f t="shared" si="2"/>
        <v/>
      </c>
      <c r="G121" s="33" t="str">
        <f t="shared" si="3"/>
        <v/>
      </c>
      <c r="H121" s="39" t="str">
        <f>IF(C121="","",C121+IFERROR(VLOOKUP(VLOOKUP(A121,BOOKINGS!$A:$Q,3,FALSE),CLIENTS!$A:$H,6,FALSE),30))</f>
        <v/>
      </c>
      <c r="I121" s="33" t="str">
        <f>IF(A121="","",IFERROR(VLOOKUP(B121,COLLECTIONS!$A:$I,7,FALSE),"Unpaid"))</f>
        <v/>
      </c>
    </row>
    <row r="122" ht="15.75" customHeight="1">
      <c r="A122" s="33" t="str">
        <f>IF(PROFITABILITY!A122="","",PROFITABILITY!A122)</f>
        <v/>
      </c>
      <c r="B122" s="33" t="str">
        <f t="shared" si="1"/>
        <v/>
      </c>
      <c r="C122" s="39" t="str">
        <f>IF(A122="","",IFERROR(VLOOKUP(A122,BOOKINGS!$A:$Q,8,FALSE),BOOKINGS!B122))</f>
        <v/>
      </c>
      <c r="D122" s="38" t="str">
        <f>IF(A122="","",PROFITABILITY!B122)</f>
        <v/>
      </c>
      <c r="E122" s="38" t="str">
        <f>IF(A122="","",SETUP_RATES!$K$4)</f>
        <v/>
      </c>
      <c r="F122" s="38" t="str">
        <f t="shared" si="2"/>
        <v/>
      </c>
      <c r="G122" s="33" t="str">
        <f t="shared" si="3"/>
        <v/>
      </c>
      <c r="H122" s="39" t="str">
        <f>IF(C122="","",C122+IFERROR(VLOOKUP(VLOOKUP(A122,BOOKINGS!$A:$Q,3,FALSE),CLIENTS!$A:$H,6,FALSE),30))</f>
        <v/>
      </c>
      <c r="I122" s="33" t="str">
        <f>IF(A122="","",IFERROR(VLOOKUP(B122,COLLECTIONS!$A:$I,7,FALSE),"Unpaid"))</f>
        <v/>
      </c>
    </row>
    <row r="123" ht="15.75" customHeight="1">
      <c r="A123" s="33" t="str">
        <f>IF(PROFITABILITY!A123="","",PROFITABILITY!A123)</f>
        <v/>
      </c>
      <c r="B123" s="33" t="str">
        <f t="shared" si="1"/>
        <v/>
      </c>
      <c r="C123" s="39" t="str">
        <f>IF(A123="","",IFERROR(VLOOKUP(A123,BOOKINGS!$A:$Q,8,FALSE),BOOKINGS!B123))</f>
        <v/>
      </c>
      <c r="D123" s="38" t="str">
        <f>IF(A123="","",PROFITABILITY!B123)</f>
        <v/>
      </c>
      <c r="E123" s="38" t="str">
        <f>IF(A123="","",SETUP_RATES!$K$4)</f>
        <v/>
      </c>
      <c r="F123" s="38" t="str">
        <f t="shared" si="2"/>
        <v/>
      </c>
      <c r="G123" s="33" t="str">
        <f t="shared" si="3"/>
        <v/>
      </c>
      <c r="H123" s="39" t="str">
        <f>IF(C123="","",C123+IFERROR(VLOOKUP(VLOOKUP(A123,BOOKINGS!$A:$Q,3,FALSE),CLIENTS!$A:$H,6,FALSE),30))</f>
        <v/>
      </c>
      <c r="I123" s="33" t="str">
        <f>IF(A123="","",IFERROR(VLOOKUP(B123,COLLECTIONS!$A:$I,7,FALSE),"Unpaid"))</f>
        <v/>
      </c>
    </row>
    <row r="124" ht="15.75" customHeight="1">
      <c r="A124" s="33" t="str">
        <f>IF(PROFITABILITY!A124="","",PROFITABILITY!A124)</f>
        <v/>
      </c>
      <c r="B124" s="33" t="str">
        <f t="shared" si="1"/>
        <v/>
      </c>
      <c r="C124" s="39" t="str">
        <f>IF(A124="","",IFERROR(VLOOKUP(A124,BOOKINGS!$A:$Q,8,FALSE),BOOKINGS!B124))</f>
        <v/>
      </c>
      <c r="D124" s="38" t="str">
        <f>IF(A124="","",PROFITABILITY!B124)</f>
        <v/>
      </c>
      <c r="E124" s="38" t="str">
        <f>IF(A124="","",SETUP_RATES!$K$4)</f>
        <v/>
      </c>
      <c r="F124" s="38" t="str">
        <f t="shared" si="2"/>
        <v/>
      </c>
      <c r="G124" s="33" t="str">
        <f t="shared" si="3"/>
        <v/>
      </c>
      <c r="H124" s="39" t="str">
        <f>IF(C124="","",C124+IFERROR(VLOOKUP(VLOOKUP(A124,BOOKINGS!$A:$Q,3,FALSE),CLIENTS!$A:$H,6,FALSE),30))</f>
        <v/>
      </c>
      <c r="I124" s="33" t="str">
        <f>IF(A124="","",IFERROR(VLOOKUP(B124,COLLECTIONS!$A:$I,7,FALSE),"Unpaid"))</f>
        <v/>
      </c>
    </row>
    <row r="125" ht="15.75" customHeight="1">
      <c r="A125" s="33" t="str">
        <f>IF(PROFITABILITY!A125="","",PROFITABILITY!A125)</f>
        <v/>
      </c>
      <c r="B125" s="33" t="str">
        <f t="shared" si="1"/>
        <v/>
      </c>
      <c r="C125" s="39" t="str">
        <f>IF(A125="","",IFERROR(VLOOKUP(A125,BOOKINGS!$A:$Q,8,FALSE),BOOKINGS!B125))</f>
        <v/>
      </c>
      <c r="D125" s="38" t="str">
        <f>IF(A125="","",PROFITABILITY!B125)</f>
        <v/>
      </c>
      <c r="E125" s="38" t="str">
        <f>IF(A125="","",SETUP_RATES!$K$4)</f>
        <v/>
      </c>
      <c r="F125" s="38" t="str">
        <f t="shared" si="2"/>
        <v/>
      </c>
      <c r="G125" s="33" t="str">
        <f t="shared" si="3"/>
        <v/>
      </c>
      <c r="H125" s="39" t="str">
        <f>IF(C125="","",C125+IFERROR(VLOOKUP(VLOOKUP(A125,BOOKINGS!$A:$Q,3,FALSE),CLIENTS!$A:$H,6,FALSE),30))</f>
        <v/>
      </c>
      <c r="I125" s="33" t="str">
        <f>IF(A125="","",IFERROR(VLOOKUP(B125,COLLECTIONS!$A:$I,7,FALSE),"Unpaid"))</f>
        <v/>
      </c>
    </row>
    <row r="126" ht="15.75" customHeight="1">
      <c r="A126" s="33" t="str">
        <f>IF(PROFITABILITY!A126="","",PROFITABILITY!A126)</f>
        <v/>
      </c>
      <c r="B126" s="33" t="str">
        <f t="shared" si="1"/>
        <v/>
      </c>
      <c r="C126" s="39" t="str">
        <f>IF(A126="","",IFERROR(VLOOKUP(A126,BOOKINGS!$A:$Q,8,FALSE),BOOKINGS!B126))</f>
        <v/>
      </c>
      <c r="D126" s="38" t="str">
        <f>IF(A126="","",PROFITABILITY!B126)</f>
        <v/>
      </c>
      <c r="E126" s="38" t="str">
        <f>IF(A126="","",SETUP_RATES!$K$4)</f>
        <v/>
      </c>
      <c r="F126" s="38" t="str">
        <f t="shared" si="2"/>
        <v/>
      </c>
      <c r="G126" s="33" t="str">
        <f t="shared" si="3"/>
        <v/>
      </c>
      <c r="H126" s="39" t="str">
        <f>IF(C126="","",C126+IFERROR(VLOOKUP(VLOOKUP(A126,BOOKINGS!$A:$Q,3,FALSE),CLIENTS!$A:$H,6,FALSE),30))</f>
        <v/>
      </c>
      <c r="I126" s="33" t="str">
        <f>IF(A126="","",IFERROR(VLOOKUP(B126,COLLECTIONS!$A:$I,7,FALSE),"Unpaid"))</f>
        <v/>
      </c>
    </row>
    <row r="127" ht="15.75" customHeight="1">
      <c r="A127" s="33" t="str">
        <f>IF(PROFITABILITY!A127="","",PROFITABILITY!A127)</f>
        <v/>
      </c>
      <c r="B127" s="33" t="str">
        <f t="shared" si="1"/>
        <v/>
      </c>
      <c r="C127" s="39" t="str">
        <f>IF(A127="","",IFERROR(VLOOKUP(A127,BOOKINGS!$A:$Q,8,FALSE),BOOKINGS!B127))</f>
        <v/>
      </c>
      <c r="D127" s="38" t="str">
        <f>IF(A127="","",PROFITABILITY!B127)</f>
        <v/>
      </c>
      <c r="E127" s="38" t="str">
        <f>IF(A127="","",SETUP_RATES!$K$4)</f>
        <v/>
      </c>
      <c r="F127" s="38" t="str">
        <f t="shared" si="2"/>
        <v/>
      </c>
      <c r="G127" s="33" t="str">
        <f t="shared" si="3"/>
        <v/>
      </c>
      <c r="H127" s="39" t="str">
        <f>IF(C127="","",C127+IFERROR(VLOOKUP(VLOOKUP(A127,BOOKINGS!$A:$Q,3,FALSE),CLIENTS!$A:$H,6,FALSE),30))</f>
        <v/>
      </c>
      <c r="I127" s="33" t="str">
        <f>IF(A127="","",IFERROR(VLOOKUP(B127,COLLECTIONS!$A:$I,7,FALSE),"Unpaid"))</f>
        <v/>
      </c>
    </row>
    <row r="128" ht="15.75" customHeight="1">
      <c r="A128" s="33" t="str">
        <f>IF(PROFITABILITY!A128="","",PROFITABILITY!A128)</f>
        <v/>
      </c>
      <c r="B128" s="33" t="str">
        <f t="shared" si="1"/>
        <v/>
      </c>
      <c r="C128" s="39" t="str">
        <f>IF(A128="","",IFERROR(VLOOKUP(A128,BOOKINGS!$A:$Q,8,FALSE),BOOKINGS!B128))</f>
        <v/>
      </c>
      <c r="D128" s="38" t="str">
        <f>IF(A128="","",PROFITABILITY!B128)</f>
        <v/>
      </c>
      <c r="E128" s="38" t="str">
        <f>IF(A128="","",SETUP_RATES!$K$4)</f>
        <v/>
      </c>
      <c r="F128" s="38" t="str">
        <f t="shared" si="2"/>
        <v/>
      </c>
      <c r="G128" s="33" t="str">
        <f t="shared" si="3"/>
        <v/>
      </c>
      <c r="H128" s="39" t="str">
        <f>IF(C128="","",C128+IFERROR(VLOOKUP(VLOOKUP(A128,BOOKINGS!$A:$Q,3,FALSE),CLIENTS!$A:$H,6,FALSE),30))</f>
        <v/>
      </c>
      <c r="I128" s="33" t="str">
        <f>IF(A128="","",IFERROR(VLOOKUP(B128,COLLECTIONS!$A:$I,7,FALSE),"Unpaid"))</f>
        <v/>
      </c>
    </row>
    <row r="129" ht="15.75" customHeight="1">
      <c r="A129" s="33" t="str">
        <f>IF(PROFITABILITY!A129="","",PROFITABILITY!A129)</f>
        <v/>
      </c>
      <c r="B129" s="33" t="str">
        <f t="shared" si="1"/>
        <v/>
      </c>
      <c r="C129" s="39" t="str">
        <f>IF(A129="","",IFERROR(VLOOKUP(A129,BOOKINGS!$A:$Q,8,FALSE),BOOKINGS!B129))</f>
        <v/>
      </c>
      <c r="D129" s="38" t="str">
        <f>IF(A129="","",PROFITABILITY!B129)</f>
        <v/>
      </c>
      <c r="E129" s="38" t="str">
        <f>IF(A129="","",SETUP_RATES!$K$4)</f>
        <v/>
      </c>
      <c r="F129" s="38" t="str">
        <f t="shared" si="2"/>
        <v/>
      </c>
      <c r="G129" s="33" t="str">
        <f t="shared" si="3"/>
        <v/>
      </c>
      <c r="H129" s="39" t="str">
        <f>IF(C129="","",C129+IFERROR(VLOOKUP(VLOOKUP(A129,BOOKINGS!$A:$Q,3,FALSE),CLIENTS!$A:$H,6,FALSE),30))</f>
        <v/>
      </c>
      <c r="I129" s="33" t="str">
        <f>IF(A129="","",IFERROR(VLOOKUP(B129,COLLECTIONS!$A:$I,7,FALSE),"Unpaid"))</f>
        <v/>
      </c>
    </row>
    <row r="130" ht="15.75" customHeight="1">
      <c r="A130" s="33" t="str">
        <f>IF(PROFITABILITY!A130="","",PROFITABILITY!A130)</f>
        <v/>
      </c>
      <c r="B130" s="33" t="str">
        <f t="shared" si="1"/>
        <v/>
      </c>
      <c r="C130" s="39" t="str">
        <f>IF(A130="","",IFERROR(VLOOKUP(A130,BOOKINGS!$A:$Q,8,FALSE),BOOKINGS!B130))</f>
        <v/>
      </c>
      <c r="D130" s="38" t="str">
        <f>IF(A130="","",PROFITABILITY!B130)</f>
        <v/>
      </c>
      <c r="E130" s="38" t="str">
        <f>IF(A130="","",SETUP_RATES!$K$4)</f>
        <v/>
      </c>
      <c r="F130" s="38" t="str">
        <f t="shared" si="2"/>
        <v/>
      </c>
      <c r="G130" s="33" t="str">
        <f t="shared" si="3"/>
        <v/>
      </c>
      <c r="H130" s="39" t="str">
        <f>IF(C130="","",C130+IFERROR(VLOOKUP(VLOOKUP(A130,BOOKINGS!$A:$Q,3,FALSE),CLIENTS!$A:$H,6,FALSE),30))</f>
        <v/>
      </c>
      <c r="I130" s="33" t="str">
        <f>IF(A130="","",IFERROR(VLOOKUP(B130,COLLECTIONS!$A:$I,7,FALSE),"Unpaid"))</f>
        <v/>
      </c>
    </row>
    <row r="131" ht="15.75" customHeight="1">
      <c r="A131" s="33" t="str">
        <f>IF(PROFITABILITY!A131="","",PROFITABILITY!A131)</f>
        <v/>
      </c>
      <c r="B131" s="33" t="str">
        <f t="shared" si="1"/>
        <v/>
      </c>
      <c r="C131" s="39" t="str">
        <f>IF(A131="","",IFERROR(VLOOKUP(A131,BOOKINGS!$A:$Q,8,FALSE),BOOKINGS!B131))</f>
        <v/>
      </c>
      <c r="D131" s="38" t="str">
        <f>IF(A131="","",PROFITABILITY!B131)</f>
        <v/>
      </c>
      <c r="E131" s="38" t="str">
        <f>IF(A131="","",SETUP_RATES!$K$4)</f>
        <v/>
      </c>
      <c r="F131" s="38" t="str">
        <f t="shared" si="2"/>
        <v/>
      </c>
      <c r="G131" s="33" t="str">
        <f t="shared" si="3"/>
        <v/>
      </c>
      <c r="H131" s="39" t="str">
        <f>IF(C131="","",C131+IFERROR(VLOOKUP(VLOOKUP(A131,BOOKINGS!$A:$Q,3,FALSE),CLIENTS!$A:$H,6,FALSE),30))</f>
        <v/>
      </c>
      <c r="I131" s="33" t="str">
        <f>IF(A131="","",IFERROR(VLOOKUP(B131,COLLECTIONS!$A:$I,7,FALSE),"Unpaid"))</f>
        <v/>
      </c>
    </row>
    <row r="132" ht="15.75" customHeight="1">
      <c r="A132" s="33" t="str">
        <f>IF(PROFITABILITY!A132="","",PROFITABILITY!A132)</f>
        <v/>
      </c>
      <c r="B132" s="33" t="str">
        <f t="shared" si="1"/>
        <v/>
      </c>
      <c r="C132" s="39" t="str">
        <f>IF(A132="","",IFERROR(VLOOKUP(A132,BOOKINGS!$A:$Q,8,FALSE),BOOKINGS!B132))</f>
        <v/>
      </c>
      <c r="D132" s="38" t="str">
        <f>IF(A132="","",PROFITABILITY!B132)</f>
        <v/>
      </c>
      <c r="E132" s="38" t="str">
        <f>IF(A132="","",SETUP_RATES!$K$4)</f>
        <v/>
      </c>
      <c r="F132" s="38" t="str">
        <f t="shared" si="2"/>
        <v/>
      </c>
      <c r="G132" s="33" t="str">
        <f t="shared" si="3"/>
        <v/>
      </c>
      <c r="H132" s="39" t="str">
        <f>IF(C132="","",C132+IFERROR(VLOOKUP(VLOOKUP(A132,BOOKINGS!$A:$Q,3,FALSE),CLIENTS!$A:$H,6,FALSE),30))</f>
        <v/>
      </c>
      <c r="I132" s="33" t="str">
        <f>IF(A132="","",IFERROR(VLOOKUP(B132,COLLECTIONS!$A:$I,7,FALSE),"Unpaid"))</f>
        <v/>
      </c>
    </row>
    <row r="133" ht="15.75" customHeight="1">
      <c r="A133" s="33" t="str">
        <f>IF(PROFITABILITY!A133="","",PROFITABILITY!A133)</f>
        <v/>
      </c>
      <c r="B133" s="33" t="str">
        <f t="shared" si="1"/>
        <v/>
      </c>
      <c r="C133" s="39" t="str">
        <f>IF(A133="","",IFERROR(VLOOKUP(A133,BOOKINGS!$A:$Q,8,FALSE),BOOKINGS!B133))</f>
        <v/>
      </c>
      <c r="D133" s="38" t="str">
        <f>IF(A133="","",PROFITABILITY!B133)</f>
        <v/>
      </c>
      <c r="E133" s="38" t="str">
        <f>IF(A133="","",SETUP_RATES!$K$4)</f>
        <v/>
      </c>
      <c r="F133" s="38" t="str">
        <f t="shared" si="2"/>
        <v/>
      </c>
      <c r="G133" s="33" t="str">
        <f t="shared" si="3"/>
        <v/>
      </c>
      <c r="H133" s="39" t="str">
        <f>IF(C133="","",C133+IFERROR(VLOOKUP(VLOOKUP(A133,BOOKINGS!$A:$Q,3,FALSE),CLIENTS!$A:$H,6,FALSE),30))</f>
        <v/>
      </c>
      <c r="I133" s="33" t="str">
        <f>IF(A133="","",IFERROR(VLOOKUP(B133,COLLECTIONS!$A:$I,7,FALSE),"Unpaid"))</f>
        <v/>
      </c>
    </row>
    <row r="134" ht="15.75" customHeight="1">
      <c r="A134" s="33" t="str">
        <f>IF(PROFITABILITY!A134="","",PROFITABILITY!A134)</f>
        <v/>
      </c>
      <c r="B134" s="33" t="str">
        <f t="shared" si="1"/>
        <v/>
      </c>
      <c r="C134" s="39" t="str">
        <f>IF(A134="","",IFERROR(VLOOKUP(A134,BOOKINGS!$A:$Q,8,FALSE),BOOKINGS!B134))</f>
        <v/>
      </c>
      <c r="D134" s="38" t="str">
        <f>IF(A134="","",PROFITABILITY!B134)</f>
        <v/>
      </c>
      <c r="E134" s="38" t="str">
        <f>IF(A134="","",SETUP_RATES!$K$4)</f>
        <v/>
      </c>
      <c r="F134" s="38" t="str">
        <f t="shared" si="2"/>
        <v/>
      </c>
      <c r="G134" s="33" t="str">
        <f t="shared" si="3"/>
        <v/>
      </c>
      <c r="H134" s="39" t="str">
        <f>IF(C134="","",C134+IFERROR(VLOOKUP(VLOOKUP(A134,BOOKINGS!$A:$Q,3,FALSE),CLIENTS!$A:$H,6,FALSE),30))</f>
        <v/>
      </c>
      <c r="I134" s="33" t="str">
        <f>IF(A134="","",IFERROR(VLOOKUP(B134,COLLECTIONS!$A:$I,7,FALSE),"Unpaid"))</f>
        <v/>
      </c>
    </row>
    <row r="135" ht="15.75" customHeight="1">
      <c r="A135" s="33" t="str">
        <f>IF(PROFITABILITY!A135="","",PROFITABILITY!A135)</f>
        <v/>
      </c>
      <c r="B135" s="33" t="str">
        <f t="shared" si="1"/>
        <v/>
      </c>
      <c r="C135" s="39" t="str">
        <f>IF(A135="","",IFERROR(VLOOKUP(A135,BOOKINGS!$A:$Q,8,FALSE),BOOKINGS!B135))</f>
        <v/>
      </c>
      <c r="D135" s="38" t="str">
        <f>IF(A135="","",PROFITABILITY!B135)</f>
        <v/>
      </c>
      <c r="E135" s="38" t="str">
        <f>IF(A135="","",SETUP_RATES!$K$4)</f>
        <v/>
      </c>
      <c r="F135" s="38" t="str">
        <f t="shared" si="2"/>
        <v/>
      </c>
      <c r="G135" s="33" t="str">
        <f t="shared" si="3"/>
        <v/>
      </c>
      <c r="H135" s="39" t="str">
        <f>IF(C135="","",C135+IFERROR(VLOOKUP(VLOOKUP(A135,BOOKINGS!$A:$Q,3,FALSE),CLIENTS!$A:$H,6,FALSE),30))</f>
        <v/>
      </c>
      <c r="I135" s="33" t="str">
        <f>IF(A135="","",IFERROR(VLOOKUP(B135,COLLECTIONS!$A:$I,7,FALSE),"Unpaid"))</f>
        <v/>
      </c>
    </row>
    <row r="136" ht="15.75" customHeight="1">
      <c r="A136" s="33" t="str">
        <f>IF(PROFITABILITY!A136="","",PROFITABILITY!A136)</f>
        <v/>
      </c>
      <c r="B136" s="33" t="str">
        <f t="shared" si="1"/>
        <v/>
      </c>
      <c r="C136" s="39" t="str">
        <f>IF(A136="","",IFERROR(VLOOKUP(A136,BOOKINGS!$A:$Q,8,FALSE),BOOKINGS!B136))</f>
        <v/>
      </c>
      <c r="D136" s="38" t="str">
        <f>IF(A136="","",PROFITABILITY!B136)</f>
        <v/>
      </c>
      <c r="E136" s="38" t="str">
        <f>IF(A136="","",SETUP_RATES!$K$4)</f>
        <v/>
      </c>
      <c r="F136" s="38" t="str">
        <f t="shared" si="2"/>
        <v/>
      </c>
      <c r="G136" s="33" t="str">
        <f t="shared" si="3"/>
        <v/>
      </c>
      <c r="H136" s="39" t="str">
        <f>IF(C136="","",C136+IFERROR(VLOOKUP(VLOOKUP(A136,BOOKINGS!$A:$Q,3,FALSE),CLIENTS!$A:$H,6,FALSE),30))</f>
        <v/>
      </c>
      <c r="I136" s="33" t="str">
        <f>IF(A136="","",IFERROR(VLOOKUP(B136,COLLECTIONS!$A:$I,7,FALSE),"Unpaid"))</f>
        <v/>
      </c>
    </row>
    <row r="137" ht="15.75" customHeight="1">
      <c r="A137" s="33" t="str">
        <f>IF(PROFITABILITY!A137="","",PROFITABILITY!A137)</f>
        <v/>
      </c>
      <c r="B137" s="33" t="str">
        <f t="shared" si="1"/>
        <v/>
      </c>
      <c r="C137" s="39" t="str">
        <f>IF(A137="","",IFERROR(VLOOKUP(A137,BOOKINGS!$A:$Q,8,FALSE),BOOKINGS!B137))</f>
        <v/>
      </c>
      <c r="D137" s="38" t="str">
        <f>IF(A137="","",PROFITABILITY!B137)</f>
        <v/>
      </c>
      <c r="E137" s="38" t="str">
        <f>IF(A137="","",SETUP_RATES!$K$4)</f>
        <v/>
      </c>
      <c r="F137" s="38" t="str">
        <f t="shared" si="2"/>
        <v/>
      </c>
      <c r="G137" s="33" t="str">
        <f t="shared" si="3"/>
        <v/>
      </c>
      <c r="H137" s="39" t="str">
        <f>IF(C137="","",C137+IFERROR(VLOOKUP(VLOOKUP(A137,BOOKINGS!$A:$Q,3,FALSE),CLIENTS!$A:$H,6,FALSE),30))</f>
        <v/>
      </c>
      <c r="I137" s="33" t="str">
        <f>IF(A137="","",IFERROR(VLOOKUP(B137,COLLECTIONS!$A:$I,7,FALSE),"Unpaid"))</f>
        <v/>
      </c>
    </row>
    <row r="138" ht="15.75" customHeight="1">
      <c r="A138" s="33" t="str">
        <f>IF(PROFITABILITY!A138="","",PROFITABILITY!A138)</f>
        <v/>
      </c>
      <c r="B138" s="33" t="str">
        <f t="shared" si="1"/>
        <v/>
      </c>
      <c r="C138" s="39" t="str">
        <f>IF(A138="","",IFERROR(VLOOKUP(A138,BOOKINGS!$A:$Q,8,FALSE),BOOKINGS!B138))</f>
        <v/>
      </c>
      <c r="D138" s="38" t="str">
        <f>IF(A138="","",PROFITABILITY!B138)</f>
        <v/>
      </c>
      <c r="E138" s="38" t="str">
        <f>IF(A138="","",SETUP_RATES!$K$4)</f>
        <v/>
      </c>
      <c r="F138" s="38" t="str">
        <f t="shared" si="2"/>
        <v/>
      </c>
      <c r="G138" s="33" t="str">
        <f t="shared" si="3"/>
        <v/>
      </c>
      <c r="H138" s="39" t="str">
        <f>IF(C138="","",C138+IFERROR(VLOOKUP(VLOOKUP(A138,BOOKINGS!$A:$Q,3,FALSE),CLIENTS!$A:$H,6,FALSE),30))</f>
        <v/>
      </c>
      <c r="I138" s="33" t="str">
        <f>IF(A138="","",IFERROR(VLOOKUP(B138,COLLECTIONS!$A:$I,7,FALSE),"Unpaid"))</f>
        <v/>
      </c>
    </row>
    <row r="139" ht="15.75" customHeight="1">
      <c r="A139" s="33" t="str">
        <f>IF(PROFITABILITY!A139="","",PROFITABILITY!A139)</f>
        <v/>
      </c>
      <c r="B139" s="33" t="str">
        <f t="shared" si="1"/>
        <v/>
      </c>
      <c r="C139" s="39" t="str">
        <f>IF(A139="","",IFERROR(VLOOKUP(A139,BOOKINGS!$A:$Q,8,FALSE),BOOKINGS!B139))</f>
        <v/>
      </c>
      <c r="D139" s="38" t="str">
        <f>IF(A139="","",PROFITABILITY!B139)</f>
        <v/>
      </c>
      <c r="E139" s="38" t="str">
        <f>IF(A139="","",SETUP_RATES!$K$4)</f>
        <v/>
      </c>
      <c r="F139" s="38" t="str">
        <f t="shared" si="2"/>
        <v/>
      </c>
      <c r="G139" s="33" t="str">
        <f t="shared" si="3"/>
        <v/>
      </c>
      <c r="H139" s="39" t="str">
        <f>IF(C139="","",C139+IFERROR(VLOOKUP(VLOOKUP(A139,BOOKINGS!$A:$Q,3,FALSE),CLIENTS!$A:$H,6,FALSE),30))</f>
        <v/>
      </c>
      <c r="I139" s="33" t="str">
        <f>IF(A139="","",IFERROR(VLOOKUP(B139,COLLECTIONS!$A:$I,7,FALSE),"Unpaid"))</f>
        <v/>
      </c>
    </row>
    <row r="140" ht="15.75" customHeight="1">
      <c r="A140" s="33" t="str">
        <f>IF(PROFITABILITY!A140="","",PROFITABILITY!A140)</f>
        <v/>
      </c>
      <c r="B140" s="33" t="str">
        <f t="shared" si="1"/>
        <v/>
      </c>
      <c r="C140" s="39" t="str">
        <f>IF(A140="","",IFERROR(VLOOKUP(A140,BOOKINGS!$A:$Q,8,FALSE),BOOKINGS!B140))</f>
        <v/>
      </c>
      <c r="D140" s="38" t="str">
        <f>IF(A140="","",PROFITABILITY!B140)</f>
        <v/>
      </c>
      <c r="E140" s="38" t="str">
        <f>IF(A140="","",SETUP_RATES!$K$4)</f>
        <v/>
      </c>
      <c r="F140" s="38" t="str">
        <f t="shared" si="2"/>
        <v/>
      </c>
      <c r="G140" s="33" t="str">
        <f t="shared" si="3"/>
        <v/>
      </c>
      <c r="H140" s="39" t="str">
        <f>IF(C140="","",C140+IFERROR(VLOOKUP(VLOOKUP(A140,BOOKINGS!$A:$Q,3,FALSE),CLIENTS!$A:$H,6,FALSE),30))</f>
        <v/>
      </c>
      <c r="I140" s="33" t="str">
        <f>IF(A140="","",IFERROR(VLOOKUP(B140,COLLECTIONS!$A:$I,7,FALSE),"Unpaid"))</f>
        <v/>
      </c>
    </row>
    <row r="141" ht="15.75" customHeight="1">
      <c r="A141" s="33" t="str">
        <f>IF(PROFITABILITY!A141="","",PROFITABILITY!A141)</f>
        <v/>
      </c>
      <c r="B141" s="33" t="str">
        <f t="shared" si="1"/>
        <v/>
      </c>
      <c r="C141" s="39" t="str">
        <f>IF(A141="","",IFERROR(VLOOKUP(A141,BOOKINGS!$A:$Q,8,FALSE),BOOKINGS!B141))</f>
        <v/>
      </c>
      <c r="D141" s="38" t="str">
        <f>IF(A141="","",PROFITABILITY!B141)</f>
        <v/>
      </c>
      <c r="E141" s="38" t="str">
        <f>IF(A141="","",SETUP_RATES!$K$4)</f>
        <v/>
      </c>
      <c r="F141" s="38" t="str">
        <f t="shared" si="2"/>
        <v/>
      </c>
      <c r="G141" s="33" t="str">
        <f t="shared" si="3"/>
        <v/>
      </c>
      <c r="H141" s="39" t="str">
        <f>IF(C141="","",C141+IFERROR(VLOOKUP(VLOOKUP(A141,BOOKINGS!$A:$Q,3,FALSE),CLIENTS!$A:$H,6,FALSE),30))</f>
        <v/>
      </c>
      <c r="I141" s="33" t="str">
        <f>IF(A141="","",IFERROR(VLOOKUP(B141,COLLECTIONS!$A:$I,7,FALSE),"Unpaid"))</f>
        <v/>
      </c>
    </row>
    <row r="142" ht="15.75" customHeight="1">
      <c r="A142" s="33" t="str">
        <f>IF(PROFITABILITY!A142="","",PROFITABILITY!A142)</f>
        <v/>
      </c>
      <c r="B142" s="33" t="str">
        <f t="shared" si="1"/>
        <v/>
      </c>
      <c r="C142" s="39" t="str">
        <f>IF(A142="","",IFERROR(VLOOKUP(A142,BOOKINGS!$A:$Q,8,FALSE),BOOKINGS!B142))</f>
        <v/>
      </c>
      <c r="D142" s="38" t="str">
        <f>IF(A142="","",PROFITABILITY!B142)</f>
        <v/>
      </c>
      <c r="E142" s="38" t="str">
        <f>IF(A142="","",SETUP_RATES!$K$4)</f>
        <v/>
      </c>
      <c r="F142" s="38" t="str">
        <f t="shared" si="2"/>
        <v/>
      </c>
      <c r="G142" s="33" t="str">
        <f t="shared" si="3"/>
        <v/>
      </c>
      <c r="H142" s="39" t="str">
        <f>IF(C142="","",C142+IFERROR(VLOOKUP(VLOOKUP(A142,BOOKINGS!$A:$Q,3,FALSE),CLIENTS!$A:$H,6,FALSE),30))</f>
        <v/>
      </c>
      <c r="I142" s="33" t="str">
        <f>IF(A142="","",IFERROR(VLOOKUP(B142,COLLECTIONS!$A:$I,7,FALSE),"Unpaid"))</f>
        <v/>
      </c>
    </row>
    <row r="143" ht="15.75" customHeight="1">
      <c r="A143" s="33" t="str">
        <f>IF(PROFITABILITY!A143="","",PROFITABILITY!A143)</f>
        <v/>
      </c>
      <c r="B143" s="33" t="str">
        <f t="shared" si="1"/>
        <v/>
      </c>
      <c r="C143" s="39" t="str">
        <f>IF(A143="","",IFERROR(VLOOKUP(A143,BOOKINGS!$A:$Q,8,FALSE),BOOKINGS!B143))</f>
        <v/>
      </c>
      <c r="D143" s="38" t="str">
        <f>IF(A143="","",PROFITABILITY!B143)</f>
        <v/>
      </c>
      <c r="E143" s="38" t="str">
        <f>IF(A143="","",SETUP_RATES!$K$4)</f>
        <v/>
      </c>
      <c r="F143" s="38" t="str">
        <f t="shared" si="2"/>
        <v/>
      </c>
      <c r="G143" s="33" t="str">
        <f t="shared" si="3"/>
        <v/>
      </c>
      <c r="H143" s="39" t="str">
        <f>IF(C143="","",C143+IFERROR(VLOOKUP(VLOOKUP(A143,BOOKINGS!$A:$Q,3,FALSE),CLIENTS!$A:$H,6,FALSE),30))</f>
        <v/>
      </c>
      <c r="I143" s="33" t="str">
        <f>IF(A143="","",IFERROR(VLOOKUP(B143,COLLECTIONS!$A:$I,7,FALSE),"Unpaid"))</f>
        <v/>
      </c>
    </row>
    <row r="144" ht="15.75" customHeight="1">
      <c r="A144" s="33" t="str">
        <f>IF(PROFITABILITY!A144="","",PROFITABILITY!A144)</f>
        <v/>
      </c>
      <c r="B144" s="33" t="str">
        <f t="shared" si="1"/>
        <v/>
      </c>
      <c r="C144" s="39" t="str">
        <f>IF(A144="","",IFERROR(VLOOKUP(A144,BOOKINGS!$A:$Q,8,FALSE),BOOKINGS!B144))</f>
        <v/>
      </c>
      <c r="D144" s="38" t="str">
        <f>IF(A144="","",PROFITABILITY!B144)</f>
        <v/>
      </c>
      <c r="E144" s="38" t="str">
        <f>IF(A144="","",SETUP_RATES!$K$4)</f>
        <v/>
      </c>
      <c r="F144" s="38" t="str">
        <f t="shared" si="2"/>
        <v/>
      </c>
      <c r="G144" s="33" t="str">
        <f t="shared" si="3"/>
        <v/>
      </c>
      <c r="H144" s="39" t="str">
        <f>IF(C144="","",C144+IFERROR(VLOOKUP(VLOOKUP(A144,BOOKINGS!$A:$Q,3,FALSE),CLIENTS!$A:$H,6,FALSE),30))</f>
        <v/>
      </c>
      <c r="I144" s="33" t="str">
        <f>IF(A144="","",IFERROR(VLOOKUP(B144,COLLECTIONS!$A:$I,7,FALSE),"Unpaid"))</f>
        <v/>
      </c>
    </row>
    <row r="145" ht="15.75" customHeight="1">
      <c r="A145" s="33" t="str">
        <f>IF(PROFITABILITY!A145="","",PROFITABILITY!A145)</f>
        <v/>
      </c>
      <c r="B145" s="33" t="str">
        <f t="shared" si="1"/>
        <v/>
      </c>
      <c r="C145" s="39" t="str">
        <f>IF(A145="","",IFERROR(VLOOKUP(A145,BOOKINGS!$A:$Q,8,FALSE),BOOKINGS!B145))</f>
        <v/>
      </c>
      <c r="D145" s="38" t="str">
        <f>IF(A145="","",PROFITABILITY!B145)</f>
        <v/>
      </c>
      <c r="E145" s="38" t="str">
        <f>IF(A145="","",SETUP_RATES!$K$4)</f>
        <v/>
      </c>
      <c r="F145" s="38" t="str">
        <f t="shared" si="2"/>
        <v/>
      </c>
      <c r="G145" s="33" t="str">
        <f t="shared" si="3"/>
        <v/>
      </c>
      <c r="H145" s="39" t="str">
        <f>IF(C145="","",C145+IFERROR(VLOOKUP(VLOOKUP(A145,BOOKINGS!$A:$Q,3,FALSE),CLIENTS!$A:$H,6,FALSE),30))</f>
        <v/>
      </c>
      <c r="I145" s="33" t="str">
        <f>IF(A145="","",IFERROR(VLOOKUP(B145,COLLECTIONS!$A:$I,7,FALSE),"Unpaid"))</f>
        <v/>
      </c>
    </row>
    <row r="146" ht="15.75" customHeight="1">
      <c r="A146" s="33" t="str">
        <f>IF(PROFITABILITY!A146="","",PROFITABILITY!A146)</f>
        <v/>
      </c>
      <c r="B146" s="33" t="str">
        <f t="shared" si="1"/>
        <v/>
      </c>
      <c r="C146" s="39" t="str">
        <f>IF(A146="","",IFERROR(VLOOKUP(A146,BOOKINGS!$A:$Q,8,FALSE),BOOKINGS!B146))</f>
        <v/>
      </c>
      <c r="D146" s="38" t="str">
        <f>IF(A146="","",PROFITABILITY!B146)</f>
        <v/>
      </c>
      <c r="E146" s="38" t="str">
        <f>IF(A146="","",SETUP_RATES!$K$4)</f>
        <v/>
      </c>
      <c r="F146" s="38" t="str">
        <f t="shared" si="2"/>
        <v/>
      </c>
      <c r="G146" s="33" t="str">
        <f t="shared" si="3"/>
        <v/>
      </c>
      <c r="H146" s="39" t="str">
        <f>IF(C146="","",C146+IFERROR(VLOOKUP(VLOOKUP(A146,BOOKINGS!$A:$Q,3,FALSE),CLIENTS!$A:$H,6,FALSE),30))</f>
        <v/>
      </c>
      <c r="I146" s="33" t="str">
        <f>IF(A146="","",IFERROR(VLOOKUP(B146,COLLECTIONS!$A:$I,7,FALSE),"Unpaid"))</f>
        <v/>
      </c>
    </row>
    <row r="147" ht="15.75" customHeight="1">
      <c r="A147" s="33" t="str">
        <f>IF(PROFITABILITY!A147="","",PROFITABILITY!A147)</f>
        <v/>
      </c>
      <c r="B147" s="33" t="str">
        <f t="shared" si="1"/>
        <v/>
      </c>
      <c r="C147" s="39" t="str">
        <f>IF(A147="","",IFERROR(VLOOKUP(A147,BOOKINGS!$A:$Q,8,FALSE),BOOKINGS!B147))</f>
        <v/>
      </c>
      <c r="D147" s="38" t="str">
        <f>IF(A147="","",PROFITABILITY!B147)</f>
        <v/>
      </c>
      <c r="E147" s="38" t="str">
        <f>IF(A147="","",SETUP_RATES!$K$4)</f>
        <v/>
      </c>
      <c r="F147" s="38" t="str">
        <f t="shared" si="2"/>
        <v/>
      </c>
      <c r="G147" s="33" t="str">
        <f t="shared" si="3"/>
        <v/>
      </c>
      <c r="H147" s="39" t="str">
        <f>IF(C147="","",C147+IFERROR(VLOOKUP(VLOOKUP(A147,BOOKINGS!$A:$Q,3,FALSE),CLIENTS!$A:$H,6,FALSE),30))</f>
        <v/>
      </c>
      <c r="I147" s="33" t="str">
        <f>IF(A147="","",IFERROR(VLOOKUP(B147,COLLECTIONS!$A:$I,7,FALSE),"Unpaid"))</f>
        <v/>
      </c>
    </row>
    <row r="148" ht="15.75" customHeight="1">
      <c r="A148" s="33" t="str">
        <f>IF(PROFITABILITY!A148="","",PROFITABILITY!A148)</f>
        <v/>
      </c>
      <c r="B148" s="33" t="str">
        <f t="shared" si="1"/>
        <v/>
      </c>
      <c r="C148" s="39" t="str">
        <f>IF(A148="","",IFERROR(VLOOKUP(A148,BOOKINGS!$A:$Q,8,FALSE),BOOKINGS!B148))</f>
        <v/>
      </c>
      <c r="D148" s="38" t="str">
        <f>IF(A148="","",PROFITABILITY!B148)</f>
        <v/>
      </c>
      <c r="E148" s="38" t="str">
        <f>IF(A148="","",SETUP_RATES!$K$4)</f>
        <v/>
      </c>
      <c r="F148" s="38" t="str">
        <f t="shared" si="2"/>
        <v/>
      </c>
      <c r="G148" s="33" t="str">
        <f t="shared" si="3"/>
        <v/>
      </c>
      <c r="H148" s="39" t="str">
        <f>IF(C148="","",C148+IFERROR(VLOOKUP(VLOOKUP(A148,BOOKINGS!$A:$Q,3,FALSE),CLIENTS!$A:$H,6,FALSE),30))</f>
        <v/>
      </c>
      <c r="I148" s="33" t="str">
        <f>IF(A148="","",IFERROR(VLOOKUP(B148,COLLECTIONS!$A:$I,7,FALSE),"Unpaid"))</f>
        <v/>
      </c>
    </row>
    <row r="149" ht="15.75" customHeight="1">
      <c r="A149" s="33" t="str">
        <f>IF(PROFITABILITY!A149="","",PROFITABILITY!A149)</f>
        <v/>
      </c>
      <c r="B149" s="33" t="str">
        <f t="shared" si="1"/>
        <v/>
      </c>
      <c r="C149" s="39" t="str">
        <f>IF(A149="","",IFERROR(VLOOKUP(A149,BOOKINGS!$A:$Q,8,FALSE),BOOKINGS!B149))</f>
        <v/>
      </c>
      <c r="D149" s="38" t="str">
        <f>IF(A149="","",PROFITABILITY!B149)</f>
        <v/>
      </c>
      <c r="E149" s="38" t="str">
        <f>IF(A149="","",SETUP_RATES!$K$4)</f>
        <v/>
      </c>
      <c r="F149" s="38" t="str">
        <f t="shared" si="2"/>
        <v/>
      </c>
      <c r="G149" s="33" t="str">
        <f t="shared" si="3"/>
        <v/>
      </c>
      <c r="H149" s="39" t="str">
        <f>IF(C149="","",C149+IFERROR(VLOOKUP(VLOOKUP(A149,BOOKINGS!$A:$Q,3,FALSE),CLIENTS!$A:$H,6,FALSE),30))</f>
        <v/>
      </c>
      <c r="I149" s="33" t="str">
        <f>IF(A149="","",IFERROR(VLOOKUP(B149,COLLECTIONS!$A:$I,7,FALSE),"Unpaid"))</f>
        <v/>
      </c>
    </row>
    <row r="150" ht="15.75" customHeight="1">
      <c r="A150" s="33" t="str">
        <f>IF(PROFITABILITY!A150="","",PROFITABILITY!A150)</f>
        <v/>
      </c>
      <c r="B150" s="33" t="str">
        <f t="shared" si="1"/>
        <v/>
      </c>
      <c r="C150" s="39" t="str">
        <f>IF(A150="","",IFERROR(VLOOKUP(A150,BOOKINGS!$A:$Q,8,FALSE),BOOKINGS!B150))</f>
        <v/>
      </c>
      <c r="D150" s="38" t="str">
        <f>IF(A150="","",PROFITABILITY!B150)</f>
        <v/>
      </c>
      <c r="E150" s="38" t="str">
        <f>IF(A150="","",SETUP_RATES!$K$4)</f>
        <v/>
      </c>
      <c r="F150" s="38" t="str">
        <f t="shared" si="2"/>
        <v/>
      </c>
      <c r="G150" s="33" t="str">
        <f t="shared" si="3"/>
        <v/>
      </c>
      <c r="H150" s="39" t="str">
        <f>IF(C150="","",C150+IFERROR(VLOOKUP(VLOOKUP(A150,BOOKINGS!$A:$Q,3,FALSE),CLIENTS!$A:$H,6,FALSE),30))</f>
        <v/>
      </c>
      <c r="I150" s="33" t="str">
        <f>IF(A150="","",IFERROR(VLOOKUP(B150,COLLECTIONS!$A:$I,7,FALSE),"Unpaid"))</f>
        <v/>
      </c>
    </row>
    <row r="151" ht="15.75" customHeight="1">
      <c r="A151" s="33" t="str">
        <f>IF(PROFITABILITY!A151="","",PROFITABILITY!A151)</f>
        <v/>
      </c>
      <c r="B151" s="33" t="str">
        <f t="shared" si="1"/>
        <v/>
      </c>
      <c r="C151" s="39" t="str">
        <f>IF(A151="","",IFERROR(VLOOKUP(A151,BOOKINGS!$A:$Q,8,FALSE),BOOKINGS!B151))</f>
        <v/>
      </c>
      <c r="D151" s="38" t="str">
        <f>IF(A151="","",PROFITABILITY!B151)</f>
        <v/>
      </c>
      <c r="E151" s="38" t="str">
        <f>IF(A151="","",SETUP_RATES!$K$4)</f>
        <v/>
      </c>
      <c r="F151" s="38" t="str">
        <f t="shared" si="2"/>
        <v/>
      </c>
      <c r="G151" s="33" t="str">
        <f t="shared" si="3"/>
        <v/>
      </c>
      <c r="H151" s="39" t="str">
        <f>IF(C151="","",C151+IFERROR(VLOOKUP(VLOOKUP(A151,BOOKINGS!$A:$Q,3,FALSE),CLIENTS!$A:$H,6,FALSE),30))</f>
        <v/>
      </c>
      <c r="I151" s="33" t="str">
        <f>IF(A151="","",IFERROR(VLOOKUP(B151,COLLECTIONS!$A:$I,7,FALSE),"Unpaid"))</f>
        <v/>
      </c>
    </row>
    <row r="152" ht="15.75" customHeight="1">
      <c r="A152" s="33" t="str">
        <f>IF(PROFITABILITY!A152="","",PROFITABILITY!A152)</f>
        <v/>
      </c>
      <c r="B152" s="33" t="str">
        <f t="shared" si="1"/>
        <v/>
      </c>
      <c r="C152" s="39" t="str">
        <f>IF(A152="","",IFERROR(VLOOKUP(A152,BOOKINGS!$A:$Q,8,FALSE),BOOKINGS!B152))</f>
        <v/>
      </c>
      <c r="D152" s="38" t="str">
        <f>IF(A152="","",PROFITABILITY!B152)</f>
        <v/>
      </c>
      <c r="E152" s="38" t="str">
        <f>IF(A152="","",SETUP_RATES!$K$4)</f>
        <v/>
      </c>
      <c r="F152" s="38" t="str">
        <f t="shared" si="2"/>
        <v/>
      </c>
      <c r="G152" s="33" t="str">
        <f t="shared" si="3"/>
        <v/>
      </c>
      <c r="H152" s="39" t="str">
        <f>IF(C152="","",C152+IFERROR(VLOOKUP(VLOOKUP(A152,BOOKINGS!$A:$Q,3,FALSE),CLIENTS!$A:$H,6,FALSE),30))</f>
        <v/>
      </c>
      <c r="I152" s="33" t="str">
        <f>IF(A152="","",IFERROR(VLOOKUP(B152,COLLECTIONS!$A:$I,7,FALSE),"Unpaid"))</f>
        <v/>
      </c>
    </row>
    <row r="153" ht="15.75" customHeight="1">
      <c r="A153" s="33" t="str">
        <f>IF(PROFITABILITY!A153="","",PROFITABILITY!A153)</f>
        <v/>
      </c>
      <c r="B153" s="33" t="str">
        <f t="shared" si="1"/>
        <v/>
      </c>
      <c r="C153" s="39" t="str">
        <f>IF(A153="","",IFERROR(VLOOKUP(A153,BOOKINGS!$A:$Q,8,FALSE),BOOKINGS!B153))</f>
        <v/>
      </c>
      <c r="D153" s="38" t="str">
        <f>IF(A153="","",PROFITABILITY!B153)</f>
        <v/>
      </c>
      <c r="E153" s="38" t="str">
        <f>IF(A153="","",SETUP_RATES!$K$4)</f>
        <v/>
      </c>
      <c r="F153" s="38" t="str">
        <f t="shared" si="2"/>
        <v/>
      </c>
      <c r="G153" s="33" t="str">
        <f t="shared" si="3"/>
        <v/>
      </c>
      <c r="H153" s="39" t="str">
        <f>IF(C153="","",C153+IFERROR(VLOOKUP(VLOOKUP(A153,BOOKINGS!$A:$Q,3,FALSE),CLIENTS!$A:$H,6,FALSE),30))</f>
        <v/>
      </c>
      <c r="I153" s="33" t="str">
        <f>IF(A153="","",IFERROR(VLOOKUP(B153,COLLECTIONS!$A:$I,7,FALSE),"Unpaid"))</f>
        <v/>
      </c>
    </row>
    <row r="154" ht="15.75" customHeight="1">
      <c r="A154" s="33" t="str">
        <f>IF(PROFITABILITY!A154="","",PROFITABILITY!A154)</f>
        <v/>
      </c>
      <c r="B154" s="33" t="str">
        <f t="shared" si="1"/>
        <v/>
      </c>
      <c r="C154" s="39" t="str">
        <f>IF(A154="","",IFERROR(VLOOKUP(A154,BOOKINGS!$A:$Q,8,FALSE),BOOKINGS!B154))</f>
        <v/>
      </c>
      <c r="D154" s="38" t="str">
        <f>IF(A154="","",PROFITABILITY!B154)</f>
        <v/>
      </c>
      <c r="E154" s="38" t="str">
        <f>IF(A154="","",SETUP_RATES!$K$4)</f>
        <v/>
      </c>
      <c r="F154" s="38" t="str">
        <f t="shared" si="2"/>
        <v/>
      </c>
      <c r="G154" s="33" t="str">
        <f t="shared" si="3"/>
        <v/>
      </c>
      <c r="H154" s="39" t="str">
        <f>IF(C154="","",C154+IFERROR(VLOOKUP(VLOOKUP(A154,BOOKINGS!$A:$Q,3,FALSE),CLIENTS!$A:$H,6,FALSE),30))</f>
        <v/>
      </c>
      <c r="I154" s="33" t="str">
        <f>IF(A154="","",IFERROR(VLOOKUP(B154,COLLECTIONS!$A:$I,7,FALSE),"Unpaid"))</f>
        <v/>
      </c>
    </row>
    <row r="155" ht="15.75" customHeight="1">
      <c r="A155" s="33" t="str">
        <f>IF(PROFITABILITY!A155="","",PROFITABILITY!A155)</f>
        <v/>
      </c>
      <c r="B155" s="33" t="str">
        <f t="shared" si="1"/>
        <v/>
      </c>
      <c r="C155" s="39" t="str">
        <f>IF(A155="","",IFERROR(VLOOKUP(A155,BOOKINGS!$A:$Q,8,FALSE),BOOKINGS!B155))</f>
        <v/>
      </c>
      <c r="D155" s="38" t="str">
        <f>IF(A155="","",PROFITABILITY!B155)</f>
        <v/>
      </c>
      <c r="E155" s="38" t="str">
        <f>IF(A155="","",SETUP_RATES!$K$4)</f>
        <v/>
      </c>
      <c r="F155" s="38" t="str">
        <f t="shared" si="2"/>
        <v/>
      </c>
      <c r="G155" s="33" t="str">
        <f t="shared" si="3"/>
        <v/>
      </c>
      <c r="H155" s="39" t="str">
        <f>IF(C155="","",C155+IFERROR(VLOOKUP(VLOOKUP(A155,BOOKINGS!$A:$Q,3,FALSE),CLIENTS!$A:$H,6,FALSE),30))</f>
        <v/>
      </c>
      <c r="I155" s="33" t="str">
        <f>IF(A155="","",IFERROR(VLOOKUP(B155,COLLECTIONS!$A:$I,7,FALSE),"Unpaid"))</f>
        <v/>
      </c>
    </row>
    <row r="156" ht="15.75" customHeight="1">
      <c r="A156" s="33" t="str">
        <f>IF(PROFITABILITY!A156="","",PROFITABILITY!A156)</f>
        <v/>
      </c>
      <c r="B156" s="33" t="str">
        <f t="shared" si="1"/>
        <v/>
      </c>
      <c r="C156" s="39" t="str">
        <f>IF(A156="","",IFERROR(VLOOKUP(A156,BOOKINGS!$A:$Q,8,FALSE),BOOKINGS!B156))</f>
        <v/>
      </c>
      <c r="D156" s="38" t="str">
        <f>IF(A156="","",PROFITABILITY!B156)</f>
        <v/>
      </c>
      <c r="E156" s="38" t="str">
        <f>IF(A156="","",SETUP_RATES!$K$4)</f>
        <v/>
      </c>
      <c r="F156" s="38" t="str">
        <f t="shared" si="2"/>
        <v/>
      </c>
      <c r="G156" s="33" t="str">
        <f t="shared" si="3"/>
        <v/>
      </c>
      <c r="H156" s="39" t="str">
        <f>IF(C156="","",C156+IFERROR(VLOOKUP(VLOOKUP(A156,BOOKINGS!$A:$Q,3,FALSE),CLIENTS!$A:$H,6,FALSE),30))</f>
        <v/>
      </c>
      <c r="I156" s="33" t="str">
        <f>IF(A156="","",IFERROR(VLOOKUP(B156,COLLECTIONS!$A:$I,7,FALSE),"Unpaid"))</f>
        <v/>
      </c>
    </row>
    <row r="157" ht="15.75" customHeight="1">
      <c r="A157" s="33" t="str">
        <f>IF(PROFITABILITY!A157="","",PROFITABILITY!A157)</f>
        <v/>
      </c>
      <c r="B157" s="33" t="str">
        <f t="shared" si="1"/>
        <v/>
      </c>
      <c r="C157" s="39" t="str">
        <f>IF(A157="","",IFERROR(VLOOKUP(A157,BOOKINGS!$A:$Q,8,FALSE),BOOKINGS!B157))</f>
        <v/>
      </c>
      <c r="D157" s="38" t="str">
        <f>IF(A157="","",PROFITABILITY!B157)</f>
        <v/>
      </c>
      <c r="E157" s="38" t="str">
        <f>IF(A157="","",SETUP_RATES!$K$4)</f>
        <v/>
      </c>
      <c r="F157" s="38" t="str">
        <f t="shared" si="2"/>
        <v/>
      </c>
      <c r="G157" s="33" t="str">
        <f t="shared" si="3"/>
        <v/>
      </c>
      <c r="H157" s="39" t="str">
        <f>IF(C157="","",C157+IFERROR(VLOOKUP(VLOOKUP(A157,BOOKINGS!$A:$Q,3,FALSE),CLIENTS!$A:$H,6,FALSE),30))</f>
        <v/>
      </c>
      <c r="I157" s="33" t="str">
        <f>IF(A157="","",IFERROR(VLOOKUP(B157,COLLECTIONS!$A:$I,7,FALSE),"Unpaid"))</f>
        <v/>
      </c>
    </row>
    <row r="158" ht="15.75" customHeight="1">
      <c r="A158" s="33" t="str">
        <f>IF(PROFITABILITY!A158="","",PROFITABILITY!A158)</f>
        <v/>
      </c>
      <c r="B158" s="33" t="str">
        <f t="shared" si="1"/>
        <v/>
      </c>
      <c r="C158" s="39" t="str">
        <f>IF(A158="","",IFERROR(VLOOKUP(A158,BOOKINGS!$A:$Q,8,FALSE),BOOKINGS!B158))</f>
        <v/>
      </c>
      <c r="D158" s="38" t="str">
        <f>IF(A158="","",PROFITABILITY!B158)</f>
        <v/>
      </c>
      <c r="E158" s="38" t="str">
        <f>IF(A158="","",SETUP_RATES!$K$4)</f>
        <v/>
      </c>
      <c r="F158" s="38" t="str">
        <f t="shared" si="2"/>
        <v/>
      </c>
      <c r="G158" s="33" t="str">
        <f t="shared" si="3"/>
        <v/>
      </c>
      <c r="H158" s="39" t="str">
        <f>IF(C158="","",C158+IFERROR(VLOOKUP(VLOOKUP(A158,BOOKINGS!$A:$Q,3,FALSE),CLIENTS!$A:$H,6,FALSE),30))</f>
        <v/>
      </c>
      <c r="I158" s="33" t="str">
        <f>IF(A158="","",IFERROR(VLOOKUP(B158,COLLECTIONS!$A:$I,7,FALSE),"Unpaid"))</f>
        <v/>
      </c>
    </row>
    <row r="159" ht="15.75" customHeight="1">
      <c r="A159" s="33" t="str">
        <f>IF(PROFITABILITY!A159="","",PROFITABILITY!A159)</f>
        <v/>
      </c>
      <c r="B159" s="33" t="str">
        <f t="shared" si="1"/>
        <v/>
      </c>
      <c r="C159" s="39" t="str">
        <f>IF(A159="","",IFERROR(VLOOKUP(A159,BOOKINGS!$A:$Q,8,FALSE),BOOKINGS!B159))</f>
        <v/>
      </c>
      <c r="D159" s="38" t="str">
        <f>IF(A159="","",PROFITABILITY!B159)</f>
        <v/>
      </c>
      <c r="E159" s="38" t="str">
        <f>IF(A159="","",SETUP_RATES!$K$4)</f>
        <v/>
      </c>
      <c r="F159" s="38" t="str">
        <f t="shared" si="2"/>
        <v/>
      </c>
      <c r="G159" s="33" t="str">
        <f t="shared" si="3"/>
        <v/>
      </c>
      <c r="H159" s="39" t="str">
        <f>IF(C159="","",C159+IFERROR(VLOOKUP(VLOOKUP(A159,BOOKINGS!$A:$Q,3,FALSE),CLIENTS!$A:$H,6,FALSE),30))</f>
        <v/>
      </c>
      <c r="I159" s="33" t="str">
        <f>IF(A159="","",IFERROR(VLOOKUP(B159,COLLECTIONS!$A:$I,7,FALSE),"Unpaid"))</f>
        <v/>
      </c>
    </row>
    <row r="160" ht="15.75" customHeight="1">
      <c r="A160" s="33" t="str">
        <f>IF(PROFITABILITY!A160="","",PROFITABILITY!A160)</f>
        <v/>
      </c>
      <c r="B160" s="33" t="str">
        <f t="shared" si="1"/>
        <v/>
      </c>
      <c r="C160" s="39" t="str">
        <f>IF(A160="","",IFERROR(VLOOKUP(A160,BOOKINGS!$A:$Q,8,FALSE),BOOKINGS!B160))</f>
        <v/>
      </c>
      <c r="D160" s="38" t="str">
        <f>IF(A160="","",PROFITABILITY!B160)</f>
        <v/>
      </c>
      <c r="E160" s="38" t="str">
        <f>IF(A160="","",SETUP_RATES!$K$4)</f>
        <v/>
      </c>
      <c r="F160" s="38" t="str">
        <f t="shared" si="2"/>
        <v/>
      </c>
      <c r="G160" s="33" t="str">
        <f t="shared" si="3"/>
        <v/>
      </c>
      <c r="H160" s="39" t="str">
        <f>IF(C160="","",C160+IFERROR(VLOOKUP(VLOOKUP(A160,BOOKINGS!$A:$Q,3,FALSE),CLIENTS!$A:$H,6,FALSE),30))</f>
        <v/>
      </c>
      <c r="I160" s="33" t="str">
        <f>IF(A160="","",IFERROR(VLOOKUP(B160,COLLECTIONS!$A:$I,7,FALSE),"Unpaid"))</f>
        <v/>
      </c>
    </row>
    <row r="161" ht="15.75" customHeight="1">
      <c r="A161" s="33" t="str">
        <f>IF(PROFITABILITY!A161="","",PROFITABILITY!A161)</f>
        <v/>
      </c>
      <c r="B161" s="33" t="str">
        <f t="shared" si="1"/>
        <v/>
      </c>
      <c r="C161" s="39" t="str">
        <f>IF(A161="","",IFERROR(VLOOKUP(A161,BOOKINGS!$A:$Q,8,FALSE),BOOKINGS!B161))</f>
        <v/>
      </c>
      <c r="D161" s="38" t="str">
        <f>IF(A161="","",PROFITABILITY!B161)</f>
        <v/>
      </c>
      <c r="E161" s="38" t="str">
        <f>IF(A161="","",SETUP_RATES!$K$4)</f>
        <v/>
      </c>
      <c r="F161" s="38" t="str">
        <f t="shared" si="2"/>
        <v/>
      </c>
      <c r="G161" s="33" t="str">
        <f t="shared" si="3"/>
        <v/>
      </c>
      <c r="H161" s="39" t="str">
        <f>IF(C161="","",C161+IFERROR(VLOOKUP(VLOOKUP(A161,BOOKINGS!$A:$Q,3,FALSE),CLIENTS!$A:$H,6,FALSE),30))</f>
        <v/>
      </c>
      <c r="I161" s="33" t="str">
        <f>IF(A161="","",IFERROR(VLOOKUP(B161,COLLECTIONS!$A:$I,7,FALSE),"Unpaid"))</f>
        <v/>
      </c>
    </row>
    <row r="162" ht="15.75" customHeight="1">
      <c r="A162" s="33" t="str">
        <f>IF(PROFITABILITY!A162="","",PROFITABILITY!A162)</f>
        <v/>
      </c>
      <c r="B162" s="33" t="str">
        <f t="shared" si="1"/>
        <v/>
      </c>
      <c r="C162" s="39" t="str">
        <f>IF(A162="","",IFERROR(VLOOKUP(A162,BOOKINGS!$A:$Q,8,FALSE),BOOKINGS!B162))</f>
        <v/>
      </c>
      <c r="D162" s="38" t="str">
        <f>IF(A162="","",PROFITABILITY!B162)</f>
        <v/>
      </c>
      <c r="E162" s="38" t="str">
        <f>IF(A162="","",SETUP_RATES!$K$4)</f>
        <v/>
      </c>
      <c r="F162" s="38" t="str">
        <f t="shared" si="2"/>
        <v/>
      </c>
      <c r="G162" s="33" t="str">
        <f t="shared" si="3"/>
        <v/>
      </c>
      <c r="H162" s="39" t="str">
        <f>IF(C162="","",C162+IFERROR(VLOOKUP(VLOOKUP(A162,BOOKINGS!$A:$Q,3,FALSE),CLIENTS!$A:$H,6,FALSE),30))</f>
        <v/>
      </c>
      <c r="I162" s="33" t="str">
        <f>IF(A162="","",IFERROR(VLOOKUP(B162,COLLECTIONS!$A:$I,7,FALSE),"Unpaid"))</f>
        <v/>
      </c>
    </row>
    <row r="163" ht="15.75" customHeight="1">
      <c r="A163" s="33" t="str">
        <f>IF(PROFITABILITY!A163="","",PROFITABILITY!A163)</f>
        <v/>
      </c>
      <c r="B163" s="33" t="str">
        <f t="shared" si="1"/>
        <v/>
      </c>
      <c r="C163" s="39" t="str">
        <f>IF(A163="","",IFERROR(VLOOKUP(A163,BOOKINGS!$A:$Q,8,FALSE),BOOKINGS!B163))</f>
        <v/>
      </c>
      <c r="D163" s="38" t="str">
        <f>IF(A163="","",PROFITABILITY!B163)</f>
        <v/>
      </c>
      <c r="E163" s="38" t="str">
        <f>IF(A163="","",SETUP_RATES!$K$4)</f>
        <v/>
      </c>
      <c r="F163" s="38" t="str">
        <f t="shared" si="2"/>
        <v/>
      </c>
      <c r="G163" s="33" t="str">
        <f t="shared" si="3"/>
        <v/>
      </c>
      <c r="H163" s="39" t="str">
        <f>IF(C163="","",C163+IFERROR(VLOOKUP(VLOOKUP(A163,BOOKINGS!$A:$Q,3,FALSE),CLIENTS!$A:$H,6,FALSE),30))</f>
        <v/>
      </c>
      <c r="I163" s="33" t="str">
        <f>IF(A163="","",IFERROR(VLOOKUP(B163,COLLECTIONS!$A:$I,7,FALSE),"Unpaid"))</f>
        <v/>
      </c>
    </row>
    <row r="164" ht="15.75" customHeight="1">
      <c r="A164" s="33" t="str">
        <f>IF(PROFITABILITY!A164="","",PROFITABILITY!A164)</f>
        <v/>
      </c>
      <c r="B164" s="33" t="str">
        <f t="shared" si="1"/>
        <v/>
      </c>
      <c r="C164" s="39" t="str">
        <f>IF(A164="","",IFERROR(VLOOKUP(A164,BOOKINGS!$A:$Q,8,FALSE),BOOKINGS!B164))</f>
        <v/>
      </c>
      <c r="D164" s="38" t="str">
        <f>IF(A164="","",PROFITABILITY!B164)</f>
        <v/>
      </c>
      <c r="E164" s="38" t="str">
        <f>IF(A164="","",SETUP_RATES!$K$4)</f>
        <v/>
      </c>
      <c r="F164" s="38" t="str">
        <f t="shared" si="2"/>
        <v/>
      </c>
      <c r="G164" s="33" t="str">
        <f t="shared" si="3"/>
        <v/>
      </c>
      <c r="H164" s="39" t="str">
        <f>IF(C164="","",C164+IFERROR(VLOOKUP(VLOOKUP(A164,BOOKINGS!$A:$Q,3,FALSE),CLIENTS!$A:$H,6,FALSE),30))</f>
        <v/>
      </c>
      <c r="I164" s="33" t="str">
        <f>IF(A164="","",IFERROR(VLOOKUP(B164,COLLECTIONS!$A:$I,7,FALSE),"Unpaid"))</f>
        <v/>
      </c>
    </row>
    <row r="165" ht="15.75" customHeight="1">
      <c r="A165" s="33" t="str">
        <f>IF(PROFITABILITY!A165="","",PROFITABILITY!A165)</f>
        <v/>
      </c>
      <c r="B165" s="33" t="str">
        <f t="shared" si="1"/>
        <v/>
      </c>
      <c r="C165" s="39" t="str">
        <f>IF(A165="","",IFERROR(VLOOKUP(A165,BOOKINGS!$A:$Q,8,FALSE),BOOKINGS!B165))</f>
        <v/>
      </c>
      <c r="D165" s="38" t="str">
        <f>IF(A165="","",PROFITABILITY!B165)</f>
        <v/>
      </c>
      <c r="E165" s="38" t="str">
        <f>IF(A165="","",SETUP_RATES!$K$4)</f>
        <v/>
      </c>
      <c r="F165" s="38" t="str">
        <f t="shared" si="2"/>
        <v/>
      </c>
      <c r="G165" s="33" t="str">
        <f t="shared" si="3"/>
        <v/>
      </c>
      <c r="H165" s="39" t="str">
        <f>IF(C165="","",C165+IFERROR(VLOOKUP(VLOOKUP(A165,BOOKINGS!$A:$Q,3,FALSE),CLIENTS!$A:$H,6,FALSE),30))</f>
        <v/>
      </c>
      <c r="I165" s="33" t="str">
        <f>IF(A165="","",IFERROR(VLOOKUP(B165,COLLECTIONS!$A:$I,7,FALSE),"Unpaid"))</f>
        <v/>
      </c>
    </row>
    <row r="166" ht="15.75" customHeight="1">
      <c r="A166" s="33" t="str">
        <f>IF(PROFITABILITY!A166="","",PROFITABILITY!A166)</f>
        <v/>
      </c>
      <c r="B166" s="33" t="str">
        <f t="shared" si="1"/>
        <v/>
      </c>
      <c r="C166" s="39" t="str">
        <f>IF(A166="","",IFERROR(VLOOKUP(A166,BOOKINGS!$A:$Q,8,FALSE),BOOKINGS!B166))</f>
        <v/>
      </c>
      <c r="D166" s="38" t="str">
        <f>IF(A166="","",PROFITABILITY!B166)</f>
        <v/>
      </c>
      <c r="E166" s="38" t="str">
        <f>IF(A166="","",SETUP_RATES!$K$4)</f>
        <v/>
      </c>
      <c r="F166" s="38" t="str">
        <f t="shared" si="2"/>
        <v/>
      </c>
      <c r="G166" s="33" t="str">
        <f t="shared" si="3"/>
        <v/>
      </c>
      <c r="H166" s="39" t="str">
        <f>IF(C166="","",C166+IFERROR(VLOOKUP(VLOOKUP(A166,BOOKINGS!$A:$Q,3,FALSE),CLIENTS!$A:$H,6,FALSE),30))</f>
        <v/>
      </c>
      <c r="I166" s="33" t="str">
        <f>IF(A166="","",IFERROR(VLOOKUP(B166,COLLECTIONS!$A:$I,7,FALSE),"Unpaid"))</f>
        <v/>
      </c>
    </row>
    <row r="167" ht="15.75" customHeight="1">
      <c r="A167" s="33" t="str">
        <f>IF(PROFITABILITY!A167="","",PROFITABILITY!A167)</f>
        <v/>
      </c>
      <c r="B167" s="33" t="str">
        <f t="shared" si="1"/>
        <v/>
      </c>
      <c r="C167" s="39" t="str">
        <f>IF(A167="","",IFERROR(VLOOKUP(A167,BOOKINGS!$A:$Q,8,FALSE),BOOKINGS!B167))</f>
        <v/>
      </c>
      <c r="D167" s="38" t="str">
        <f>IF(A167="","",PROFITABILITY!B167)</f>
        <v/>
      </c>
      <c r="E167" s="38" t="str">
        <f>IF(A167="","",SETUP_RATES!$K$4)</f>
        <v/>
      </c>
      <c r="F167" s="38" t="str">
        <f t="shared" si="2"/>
        <v/>
      </c>
      <c r="G167" s="33" t="str">
        <f t="shared" si="3"/>
        <v/>
      </c>
      <c r="H167" s="39" t="str">
        <f>IF(C167="","",C167+IFERROR(VLOOKUP(VLOOKUP(A167,BOOKINGS!$A:$Q,3,FALSE),CLIENTS!$A:$H,6,FALSE),30))</f>
        <v/>
      </c>
      <c r="I167" s="33" t="str">
        <f>IF(A167="","",IFERROR(VLOOKUP(B167,COLLECTIONS!$A:$I,7,FALSE),"Unpaid"))</f>
        <v/>
      </c>
    </row>
    <row r="168" ht="15.75" customHeight="1">
      <c r="A168" s="33" t="str">
        <f>IF(PROFITABILITY!A168="","",PROFITABILITY!A168)</f>
        <v/>
      </c>
      <c r="B168" s="33" t="str">
        <f t="shared" si="1"/>
        <v/>
      </c>
      <c r="C168" s="39" t="str">
        <f>IF(A168="","",IFERROR(VLOOKUP(A168,BOOKINGS!$A:$Q,8,FALSE),BOOKINGS!B168))</f>
        <v/>
      </c>
      <c r="D168" s="38" t="str">
        <f>IF(A168="","",PROFITABILITY!B168)</f>
        <v/>
      </c>
      <c r="E168" s="38" t="str">
        <f>IF(A168="","",SETUP_RATES!$K$4)</f>
        <v/>
      </c>
      <c r="F168" s="38" t="str">
        <f t="shared" si="2"/>
        <v/>
      </c>
      <c r="G168" s="33" t="str">
        <f t="shared" si="3"/>
        <v/>
      </c>
      <c r="H168" s="39" t="str">
        <f>IF(C168="","",C168+IFERROR(VLOOKUP(VLOOKUP(A168,BOOKINGS!$A:$Q,3,FALSE),CLIENTS!$A:$H,6,FALSE),30))</f>
        <v/>
      </c>
      <c r="I168" s="33" t="str">
        <f>IF(A168="","",IFERROR(VLOOKUP(B168,COLLECTIONS!$A:$I,7,FALSE),"Unpaid"))</f>
        <v/>
      </c>
    </row>
    <row r="169" ht="15.75" customHeight="1">
      <c r="A169" s="33" t="str">
        <f>IF(PROFITABILITY!A169="","",PROFITABILITY!A169)</f>
        <v/>
      </c>
      <c r="B169" s="33" t="str">
        <f t="shared" si="1"/>
        <v/>
      </c>
      <c r="C169" s="39" t="str">
        <f>IF(A169="","",IFERROR(VLOOKUP(A169,BOOKINGS!$A:$Q,8,FALSE),BOOKINGS!B169))</f>
        <v/>
      </c>
      <c r="D169" s="38" t="str">
        <f>IF(A169="","",PROFITABILITY!B169)</f>
        <v/>
      </c>
      <c r="E169" s="38" t="str">
        <f>IF(A169="","",SETUP_RATES!$K$4)</f>
        <v/>
      </c>
      <c r="F169" s="38" t="str">
        <f t="shared" si="2"/>
        <v/>
      </c>
      <c r="G169" s="33" t="str">
        <f t="shared" si="3"/>
        <v/>
      </c>
      <c r="H169" s="39" t="str">
        <f>IF(C169="","",C169+IFERROR(VLOOKUP(VLOOKUP(A169,BOOKINGS!$A:$Q,3,FALSE),CLIENTS!$A:$H,6,FALSE),30))</f>
        <v/>
      </c>
      <c r="I169" s="33" t="str">
        <f>IF(A169="","",IFERROR(VLOOKUP(B169,COLLECTIONS!$A:$I,7,FALSE),"Unpaid"))</f>
        <v/>
      </c>
    </row>
    <row r="170" ht="15.75" customHeight="1">
      <c r="A170" s="33" t="str">
        <f>IF(PROFITABILITY!A170="","",PROFITABILITY!A170)</f>
        <v/>
      </c>
      <c r="B170" s="33" t="str">
        <f t="shared" si="1"/>
        <v/>
      </c>
      <c r="C170" s="39" t="str">
        <f>IF(A170="","",IFERROR(VLOOKUP(A170,BOOKINGS!$A:$Q,8,FALSE),BOOKINGS!B170))</f>
        <v/>
      </c>
      <c r="D170" s="38" t="str">
        <f>IF(A170="","",PROFITABILITY!B170)</f>
        <v/>
      </c>
      <c r="E170" s="38" t="str">
        <f>IF(A170="","",SETUP_RATES!$K$4)</f>
        <v/>
      </c>
      <c r="F170" s="38" t="str">
        <f t="shared" si="2"/>
        <v/>
      </c>
      <c r="G170" s="33" t="str">
        <f t="shared" si="3"/>
        <v/>
      </c>
      <c r="H170" s="39" t="str">
        <f>IF(C170="","",C170+IFERROR(VLOOKUP(VLOOKUP(A170,BOOKINGS!$A:$Q,3,FALSE),CLIENTS!$A:$H,6,FALSE),30))</f>
        <v/>
      </c>
      <c r="I170" s="33" t="str">
        <f>IF(A170="","",IFERROR(VLOOKUP(B170,COLLECTIONS!$A:$I,7,FALSE),"Unpaid"))</f>
        <v/>
      </c>
    </row>
    <row r="171" ht="15.75" customHeight="1">
      <c r="A171" s="33" t="str">
        <f>IF(PROFITABILITY!A171="","",PROFITABILITY!A171)</f>
        <v/>
      </c>
      <c r="B171" s="33" t="str">
        <f t="shared" si="1"/>
        <v/>
      </c>
      <c r="C171" s="39" t="str">
        <f>IF(A171="","",IFERROR(VLOOKUP(A171,BOOKINGS!$A:$Q,8,FALSE),BOOKINGS!B171))</f>
        <v/>
      </c>
      <c r="D171" s="38" t="str">
        <f>IF(A171="","",PROFITABILITY!B171)</f>
        <v/>
      </c>
      <c r="E171" s="38" t="str">
        <f>IF(A171="","",SETUP_RATES!$K$4)</f>
        <v/>
      </c>
      <c r="F171" s="38" t="str">
        <f t="shared" si="2"/>
        <v/>
      </c>
      <c r="G171" s="33" t="str">
        <f t="shared" si="3"/>
        <v/>
      </c>
      <c r="H171" s="39" t="str">
        <f>IF(C171="","",C171+IFERROR(VLOOKUP(VLOOKUP(A171,BOOKINGS!$A:$Q,3,FALSE),CLIENTS!$A:$H,6,FALSE),30))</f>
        <v/>
      </c>
      <c r="I171" s="33" t="str">
        <f>IF(A171="","",IFERROR(VLOOKUP(B171,COLLECTIONS!$A:$I,7,FALSE),"Unpaid"))</f>
        <v/>
      </c>
    </row>
    <row r="172" ht="15.75" customHeight="1">
      <c r="A172" s="33" t="str">
        <f>IF(PROFITABILITY!A172="","",PROFITABILITY!A172)</f>
        <v/>
      </c>
      <c r="B172" s="33" t="str">
        <f t="shared" si="1"/>
        <v/>
      </c>
      <c r="C172" s="39" t="str">
        <f>IF(A172="","",IFERROR(VLOOKUP(A172,BOOKINGS!$A:$Q,8,FALSE),BOOKINGS!B172))</f>
        <v/>
      </c>
      <c r="D172" s="38" t="str">
        <f>IF(A172="","",PROFITABILITY!B172)</f>
        <v/>
      </c>
      <c r="E172" s="38" t="str">
        <f>IF(A172="","",SETUP_RATES!$K$4)</f>
        <v/>
      </c>
      <c r="F172" s="38" t="str">
        <f t="shared" si="2"/>
        <v/>
      </c>
      <c r="G172" s="33" t="str">
        <f t="shared" si="3"/>
        <v/>
      </c>
      <c r="H172" s="39" t="str">
        <f>IF(C172="","",C172+IFERROR(VLOOKUP(VLOOKUP(A172,BOOKINGS!$A:$Q,3,FALSE),CLIENTS!$A:$H,6,FALSE),30))</f>
        <v/>
      </c>
      <c r="I172" s="33" t="str">
        <f>IF(A172="","",IFERROR(VLOOKUP(B172,COLLECTIONS!$A:$I,7,FALSE),"Unpaid"))</f>
        <v/>
      </c>
    </row>
    <row r="173" ht="15.75" customHeight="1">
      <c r="A173" s="33" t="str">
        <f>IF(PROFITABILITY!A173="","",PROFITABILITY!A173)</f>
        <v/>
      </c>
      <c r="B173" s="33" t="str">
        <f t="shared" si="1"/>
        <v/>
      </c>
      <c r="C173" s="39" t="str">
        <f>IF(A173="","",IFERROR(VLOOKUP(A173,BOOKINGS!$A:$Q,8,FALSE),BOOKINGS!B173))</f>
        <v/>
      </c>
      <c r="D173" s="38" t="str">
        <f>IF(A173="","",PROFITABILITY!B173)</f>
        <v/>
      </c>
      <c r="E173" s="38" t="str">
        <f>IF(A173="","",SETUP_RATES!$K$4)</f>
        <v/>
      </c>
      <c r="F173" s="38" t="str">
        <f t="shared" si="2"/>
        <v/>
      </c>
      <c r="G173" s="33" t="str">
        <f t="shared" si="3"/>
        <v/>
      </c>
      <c r="H173" s="39" t="str">
        <f>IF(C173="","",C173+IFERROR(VLOOKUP(VLOOKUP(A173,BOOKINGS!$A:$Q,3,FALSE),CLIENTS!$A:$H,6,FALSE),30))</f>
        <v/>
      </c>
      <c r="I173" s="33" t="str">
        <f>IF(A173="","",IFERROR(VLOOKUP(B173,COLLECTIONS!$A:$I,7,FALSE),"Unpaid"))</f>
        <v/>
      </c>
    </row>
    <row r="174" ht="15.75" customHeight="1">
      <c r="A174" s="33" t="str">
        <f>IF(PROFITABILITY!A174="","",PROFITABILITY!A174)</f>
        <v/>
      </c>
      <c r="B174" s="33" t="str">
        <f t="shared" si="1"/>
        <v/>
      </c>
      <c r="C174" s="39" t="str">
        <f>IF(A174="","",IFERROR(VLOOKUP(A174,BOOKINGS!$A:$Q,8,FALSE),BOOKINGS!B174))</f>
        <v/>
      </c>
      <c r="D174" s="38" t="str">
        <f>IF(A174="","",PROFITABILITY!B174)</f>
        <v/>
      </c>
      <c r="E174" s="38" t="str">
        <f>IF(A174="","",SETUP_RATES!$K$4)</f>
        <v/>
      </c>
      <c r="F174" s="38" t="str">
        <f t="shared" si="2"/>
        <v/>
      </c>
      <c r="G174" s="33" t="str">
        <f t="shared" si="3"/>
        <v/>
      </c>
      <c r="H174" s="39" t="str">
        <f>IF(C174="","",C174+IFERROR(VLOOKUP(VLOOKUP(A174,BOOKINGS!$A:$Q,3,FALSE),CLIENTS!$A:$H,6,FALSE),30))</f>
        <v/>
      </c>
      <c r="I174" s="33" t="str">
        <f>IF(A174="","",IFERROR(VLOOKUP(B174,COLLECTIONS!$A:$I,7,FALSE),"Unpaid"))</f>
        <v/>
      </c>
    </row>
    <row r="175" ht="15.75" customHeight="1">
      <c r="A175" s="33" t="str">
        <f>IF(PROFITABILITY!A175="","",PROFITABILITY!A175)</f>
        <v/>
      </c>
      <c r="B175" s="33" t="str">
        <f t="shared" si="1"/>
        <v/>
      </c>
      <c r="C175" s="39" t="str">
        <f>IF(A175="","",IFERROR(VLOOKUP(A175,BOOKINGS!$A:$Q,8,FALSE),BOOKINGS!B175))</f>
        <v/>
      </c>
      <c r="D175" s="38" t="str">
        <f>IF(A175="","",PROFITABILITY!B175)</f>
        <v/>
      </c>
      <c r="E175" s="38" t="str">
        <f>IF(A175="","",SETUP_RATES!$K$4)</f>
        <v/>
      </c>
      <c r="F175" s="38" t="str">
        <f t="shared" si="2"/>
        <v/>
      </c>
      <c r="G175" s="33" t="str">
        <f t="shared" si="3"/>
        <v/>
      </c>
      <c r="H175" s="39" t="str">
        <f>IF(C175="","",C175+IFERROR(VLOOKUP(VLOOKUP(A175,BOOKINGS!$A:$Q,3,FALSE),CLIENTS!$A:$H,6,FALSE),30))</f>
        <v/>
      </c>
      <c r="I175" s="33" t="str">
        <f>IF(A175="","",IFERROR(VLOOKUP(B175,COLLECTIONS!$A:$I,7,FALSE),"Unpaid"))</f>
        <v/>
      </c>
    </row>
    <row r="176" ht="15.75" customHeight="1">
      <c r="A176" s="33" t="str">
        <f>IF(PROFITABILITY!A176="","",PROFITABILITY!A176)</f>
        <v/>
      </c>
      <c r="B176" s="33" t="str">
        <f t="shared" si="1"/>
        <v/>
      </c>
      <c r="C176" s="39" t="str">
        <f>IF(A176="","",IFERROR(VLOOKUP(A176,BOOKINGS!$A:$Q,8,FALSE),BOOKINGS!B176))</f>
        <v/>
      </c>
      <c r="D176" s="38" t="str">
        <f>IF(A176="","",PROFITABILITY!B176)</f>
        <v/>
      </c>
      <c r="E176" s="38" t="str">
        <f>IF(A176="","",SETUP_RATES!$K$4)</f>
        <v/>
      </c>
      <c r="F176" s="38" t="str">
        <f t="shared" si="2"/>
        <v/>
      </c>
      <c r="G176" s="33" t="str">
        <f t="shared" si="3"/>
        <v/>
      </c>
      <c r="H176" s="39" t="str">
        <f>IF(C176="","",C176+IFERROR(VLOOKUP(VLOOKUP(A176,BOOKINGS!$A:$Q,3,FALSE),CLIENTS!$A:$H,6,FALSE),30))</f>
        <v/>
      </c>
      <c r="I176" s="33" t="str">
        <f>IF(A176="","",IFERROR(VLOOKUP(B176,COLLECTIONS!$A:$I,7,FALSE),"Unpaid"))</f>
        <v/>
      </c>
    </row>
    <row r="177" ht="15.75" customHeight="1">
      <c r="A177" s="33" t="str">
        <f>IF(PROFITABILITY!A177="","",PROFITABILITY!A177)</f>
        <v/>
      </c>
      <c r="B177" s="33" t="str">
        <f t="shared" si="1"/>
        <v/>
      </c>
      <c r="C177" s="39" t="str">
        <f>IF(A177="","",IFERROR(VLOOKUP(A177,BOOKINGS!$A:$Q,8,FALSE),BOOKINGS!B177))</f>
        <v/>
      </c>
      <c r="D177" s="38" t="str">
        <f>IF(A177="","",PROFITABILITY!B177)</f>
        <v/>
      </c>
      <c r="E177" s="38" t="str">
        <f>IF(A177="","",SETUP_RATES!$K$4)</f>
        <v/>
      </c>
      <c r="F177" s="38" t="str">
        <f t="shared" si="2"/>
        <v/>
      </c>
      <c r="G177" s="33" t="str">
        <f t="shared" si="3"/>
        <v/>
      </c>
      <c r="H177" s="39" t="str">
        <f>IF(C177="","",C177+IFERROR(VLOOKUP(VLOOKUP(A177,BOOKINGS!$A:$Q,3,FALSE),CLIENTS!$A:$H,6,FALSE),30))</f>
        <v/>
      </c>
      <c r="I177" s="33" t="str">
        <f>IF(A177="","",IFERROR(VLOOKUP(B177,COLLECTIONS!$A:$I,7,FALSE),"Unpaid"))</f>
        <v/>
      </c>
    </row>
    <row r="178" ht="15.75" customHeight="1">
      <c r="A178" s="33" t="str">
        <f>IF(PROFITABILITY!A178="","",PROFITABILITY!A178)</f>
        <v/>
      </c>
      <c r="B178" s="33" t="str">
        <f t="shared" si="1"/>
        <v/>
      </c>
      <c r="C178" s="39" t="str">
        <f>IF(A178="","",IFERROR(VLOOKUP(A178,BOOKINGS!$A:$Q,8,FALSE),BOOKINGS!B178))</f>
        <v/>
      </c>
      <c r="D178" s="38" t="str">
        <f>IF(A178="","",PROFITABILITY!B178)</f>
        <v/>
      </c>
      <c r="E178" s="38" t="str">
        <f>IF(A178="","",SETUP_RATES!$K$4)</f>
        <v/>
      </c>
      <c r="F178" s="38" t="str">
        <f t="shared" si="2"/>
        <v/>
      </c>
      <c r="G178" s="33" t="str">
        <f t="shared" si="3"/>
        <v/>
      </c>
      <c r="H178" s="39" t="str">
        <f>IF(C178="","",C178+IFERROR(VLOOKUP(VLOOKUP(A178,BOOKINGS!$A:$Q,3,FALSE),CLIENTS!$A:$H,6,FALSE),30))</f>
        <v/>
      </c>
      <c r="I178" s="33" t="str">
        <f>IF(A178="","",IFERROR(VLOOKUP(B178,COLLECTIONS!$A:$I,7,FALSE),"Unpaid"))</f>
        <v/>
      </c>
    </row>
    <row r="179" ht="15.75" customHeight="1">
      <c r="A179" s="33" t="str">
        <f>IF(PROFITABILITY!A179="","",PROFITABILITY!A179)</f>
        <v/>
      </c>
      <c r="B179" s="33" t="str">
        <f t="shared" si="1"/>
        <v/>
      </c>
      <c r="C179" s="39" t="str">
        <f>IF(A179="","",IFERROR(VLOOKUP(A179,BOOKINGS!$A:$Q,8,FALSE),BOOKINGS!B179))</f>
        <v/>
      </c>
      <c r="D179" s="38" t="str">
        <f>IF(A179="","",PROFITABILITY!B179)</f>
        <v/>
      </c>
      <c r="E179" s="38" t="str">
        <f>IF(A179="","",SETUP_RATES!$K$4)</f>
        <v/>
      </c>
      <c r="F179" s="38" t="str">
        <f t="shared" si="2"/>
        <v/>
      </c>
      <c r="G179" s="33" t="str">
        <f t="shared" si="3"/>
        <v/>
      </c>
      <c r="H179" s="39" t="str">
        <f>IF(C179="","",C179+IFERROR(VLOOKUP(VLOOKUP(A179,BOOKINGS!$A:$Q,3,FALSE),CLIENTS!$A:$H,6,FALSE),30))</f>
        <v/>
      </c>
      <c r="I179" s="33" t="str">
        <f>IF(A179="","",IFERROR(VLOOKUP(B179,COLLECTIONS!$A:$I,7,FALSE),"Unpaid"))</f>
        <v/>
      </c>
    </row>
    <row r="180" ht="15.75" customHeight="1">
      <c r="A180" s="33" t="str">
        <f>IF(PROFITABILITY!A180="","",PROFITABILITY!A180)</f>
        <v/>
      </c>
      <c r="B180" s="33" t="str">
        <f t="shared" si="1"/>
        <v/>
      </c>
      <c r="C180" s="39" t="str">
        <f>IF(A180="","",IFERROR(VLOOKUP(A180,BOOKINGS!$A:$Q,8,FALSE),BOOKINGS!B180))</f>
        <v/>
      </c>
      <c r="D180" s="38" t="str">
        <f>IF(A180="","",PROFITABILITY!B180)</f>
        <v/>
      </c>
      <c r="E180" s="38" t="str">
        <f>IF(A180="","",SETUP_RATES!$K$4)</f>
        <v/>
      </c>
      <c r="F180" s="38" t="str">
        <f t="shared" si="2"/>
        <v/>
      </c>
      <c r="G180" s="33" t="str">
        <f t="shared" si="3"/>
        <v/>
      </c>
      <c r="H180" s="39" t="str">
        <f>IF(C180="","",C180+IFERROR(VLOOKUP(VLOOKUP(A180,BOOKINGS!$A:$Q,3,FALSE),CLIENTS!$A:$H,6,FALSE),30))</f>
        <v/>
      </c>
      <c r="I180" s="33" t="str">
        <f>IF(A180="","",IFERROR(VLOOKUP(B180,COLLECTIONS!$A:$I,7,FALSE),"Unpaid"))</f>
        <v/>
      </c>
    </row>
    <row r="181" ht="15.75" customHeight="1">
      <c r="A181" s="33" t="str">
        <f>IF(PROFITABILITY!A181="","",PROFITABILITY!A181)</f>
        <v/>
      </c>
      <c r="B181" s="33" t="str">
        <f t="shared" si="1"/>
        <v/>
      </c>
      <c r="C181" s="39" t="str">
        <f>IF(A181="","",IFERROR(VLOOKUP(A181,BOOKINGS!$A:$Q,8,FALSE),BOOKINGS!B181))</f>
        <v/>
      </c>
      <c r="D181" s="38" t="str">
        <f>IF(A181="","",PROFITABILITY!B181)</f>
        <v/>
      </c>
      <c r="E181" s="38" t="str">
        <f>IF(A181="","",SETUP_RATES!$K$4)</f>
        <v/>
      </c>
      <c r="F181" s="38" t="str">
        <f t="shared" si="2"/>
        <v/>
      </c>
      <c r="G181" s="33" t="str">
        <f t="shared" si="3"/>
        <v/>
      </c>
      <c r="H181" s="39" t="str">
        <f>IF(C181="","",C181+IFERROR(VLOOKUP(VLOOKUP(A181,BOOKINGS!$A:$Q,3,FALSE),CLIENTS!$A:$H,6,FALSE),30))</f>
        <v/>
      </c>
      <c r="I181" s="33" t="str">
        <f>IF(A181="","",IFERROR(VLOOKUP(B181,COLLECTIONS!$A:$I,7,FALSE),"Unpaid"))</f>
        <v/>
      </c>
    </row>
    <row r="182" ht="15.75" customHeight="1">
      <c r="A182" s="33" t="str">
        <f>IF(PROFITABILITY!A182="","",PROFITABILITY!A182)</f>
        <v/>
      </c>
      <c r="B182" s="33" t="str">
        <f t="shared" si="1"/>
        <v/>
      </c>
      <c r="C182" s="39" t="str">
        <f>IF(A182="","",IFERROR(VLOOKUP(A182,BOOKINGS!$A:$Q,8,FALSE),BOOKINGS!B182))</f>
        <v/>
      </c>
      <c r="D182" s="38" t="str">
        <f>IF(A182="","",PROFITABILITY!B182)</f>
        <v/>
      </c>
      <c r="E182" s="38" t="str">
        <f>IF(A182="","",SETUP_RATES!$K$4)</f>
        <v/>
      </c>
      <c r="F182" s="38" t="str">
        <f t="shared" si="2"/>
        <v/>
      </c>
      <c r="G182" s="33" t="str">
        <f t="shared" si="3"/>
        <v/>
      </c>
      <c r="H182" s="39" t="str">
        <f>IF(C182="","",C182+IFERROR(VLOOKUP(VLOOKUP(A182,BOOKINGS!$A:$Q,3,FALSE),CLIENTS!$A:$H,6,FALSE),30))</f>
        <v/>
      </c>
      <c r="I182" s="33" t="str">
        <f>IF(A182="","",IFERROR(VLOOKUP(B182,COLLECTIONS!$A:$I,7,FALSE),"Unpaid"))</f>
        <v/>
      </c>
    </row>
    <row r="183" ht="15.75" customHeight="1">
      <c r="A183" s="33" t="str">
        <f>IF(PROFITABILITY!A183="","",PROFITABILITY!A183)</f>
        <v/>
      </c>
      <c r="B183" s="33" t="str">
        <f t="shared" si="1"/>
        <v/>
      </c>
      <c r="C183" s="39" t="str">
        <f>IF(A183="","",IFERROR(VLOOKUP(A183,BOOKINGS!$A:$Q,8,FALSE),BOOKINGS!B183))</f>
        <v/>
      </c>
      <c r="D183" s="38" t="str">
        <f>IF(A183="","",PROFITABILITY!B183)</f>
        <v/>
      </c>
      <c r="E183" s="38" t="str">
        <f>IF(A183="","",SETUP_RATES!$K$4)</f>
        <v/>
      </c>
      <c r="F183" s="38" t="str">
        <f t="shared" si="2"/>
        <v/>
      </c>
      <c r="G183" s="33" t="str">
        <f t="shared" si="3"/>
        <v/>
      </c>
      <c r="H183" s="39" t="str">
        <f>IF(C183="","",C183+IFERROR(VLOOKUP(VLOOKUP(A183,BOOKINGS!$A:$Q,3,FALSE),CLIENTS!$A:$H,6,FALSE),30))</f>
        <v/>
      </c>
      <c r="I183" s="33" t="str">
        <f>IF(A183="","",IFERROR(VLOOKUP(B183,COLLECTIONS!$A:$I,7,FALSE),"Unpaid"))</f>
        <v/>
      </c>
    </row>
    <row r="184" ht="15.75" customHeight="1">
      <c r="A184" s="33" t="str">
        <f>IF(PROFITABILITY!A184="","",PROFITABILITY!A184)</f>
        <v/>
      </c>
      <c r="B184" s="33" t="str">
        <f t="shared" si="1"/>
        <v/>
      </c>
      <c r="C184" s="39" t="str">
        <f>IF(A184="","",IFERROR(VLOOKUP(A184,BOOKINGS!$A:$Q,8,FALSE),BOOKINGS!B184))</f>
        <v/>
      </c>
      <c r="D184" s="38" t="str">
        <f>IF(A184="","",PROFITABILITY!B184)</f>
        <v/>
      </c>
      <c r="E184" s="38" t="str">
        <f>IF(A184="","",SETUP_RATES!$K$4)</f>
        <v/>
      </c>
      <c r="F184" s="38" t="str">
        <f t="shared" si="2"/>
        <v/>
      </c>
      <c r="G184" s="33" t="str">
        <f t="shared" si="3"/>
        <v/>
      </c>
      <c r="H184" s="39" t="str">
        <f>IF(C184="","",C184+IFERROR(VLOOKUP(VLOOKUP(A184,BOOKINGS!$A:$Q,3,FALSE),CLIENTS!$A:$H,6,FALSE),30))</f>
        <v/>
      </c>
      <c r="I184" s="33" t="str">
        <f>IF(A184="","",IFERROR(VLOOKUP(B184,COLLECTIONS!$A:$I,7,FALSE),"Unpaid"))</f>
        <v/>
      </c>
    </row>
    <row r="185" ht="15.75" customHeight="1">
      <c r="A185" s="33" t="str">
        <f>IF(PROFITABILITY!A185="","",PROFITABILITY!A185)</f>
        <v/>
      </c>
      <c r="B185" s="33" t="str">
        <f t="shared" si="1"/>
        <v/>
      </c>
      <c r="C185" s="39" t="str">
        <f>IF(A185="","",IFERROR(VLOOKUP(A185,BOOKINGS!$A:$Q,8,FALSE),BOOKINGS!B185))</f>
        <v/>
      </c>
      <c r="D185" s="38" t="str">
        <f>IF(A185="","",PROFITABILITY!B185)</f>
        <v/>
      </c>
      <c r="E185" s="38" t="str">
        <f>IF(A185="","",SETUP_RATES!$K$4)</f>
        <v/>
      </c>
      <c r="F185" s="38" t="str">
        <f t="shared" si="2"/>
        <v/>
      </c>
      <c r="G185" s="33" t="str">
        <f t="shared" si="3"/>
        <v/>
      </c>
      <c r="H185" s="39" t="str">
        <f>IF(C185="","",C185+IFERROR(VLOOKUP(VLOOKUP(A185,BOOKINGS!$A:$Q,3,FALSE),CLIENTS!$A:$H,6,FALSE),30))</f>
        <v/>
      </c>
      <c r="I185" s="33" t="str">
        <f>IF(A185="","",IFERROR(VLOOKUP(B185,COLLECTIONS!$A:$I,7,FALSE),"Unpaid"))</f>
        <v/>
      </c>
    </row>
    <row r="186" ht="15.75" customHeight="1">
      <c r="A186" s="33" t="str">
        <f>IF(PROFITABILITY!A186="","",PROFITABILITY!A186)</f>
        <v/>
      </c>
      <c r="B186" s="33" t="str">
        <f t="shared" si="1"/>
        <v/>
      </c>
      <c r="C186" s="39" t="str">
        <f>IF(A186="","",IFERROR(VLOOKUP(A186,BOOKINGS!$A:$Q,8,FALSE),BOOKINGS!B186))</f>
        <v/>
      </c>
      <c r="D186" s="38" t="str">
        <f>IF(A186="","",PROFITABILITY!B186)</f>
        <v/>
      </c>
      <c r="E186" s="38" t="str">
        <f>IF(A186="","",SETUP_RATES!$K$4)</f>
        <v/>
      </c>
      <c r="F186" s="38" t="str">
        <f t="shared" si="2"/>
        <v/>
      </c>
      <c r="G186" s="33" t="str">
        <f t="shared" si="3"/>
        <v/>
      </c>
      <c r="H186" s="39" t="str">
        <f>IF(C186="","",C186+IFERROR(VLOOKUP(VLOOKUP(A186,BOOKINGS!$A:$Q,3,FALSE),CLIENTS!$A:$H,6,FALSE),30))</f>
        <v/>
      </c>
      <c r="I186" s="33" t="str">
        <f>IF(A186="","",IFERROR(VLOOKUP(B186,COLLECTIONS!$A:$I,7,FALSE),"Unpaid"))</f>
        <v/>
      </c>
    </row>
    <row r="187" ht="15.75" customHeight="1">
      <c r="A187" s="33" t="str">
        <f>IF(PROFITABILITY!A187="","",PROFITABILITY!A187)</f>
        <v/>
      </c>
      <c r="B187" s="33" t="str">
        <f t="shared" si="1"/>
        <v/>
      </c>
      <c r="C187" s="39" t="str">
        <f>IF(A187="","",IFERROR(VLOOKUP(A187,BOOKINGS!$A:$Q,8,FALSE),BOOKINGS!B187))</f>
        <v/>
      </c>
      <c r="D187" s="38" t="str">
        <f>IF(A187="","",PROFITABILITY!B187)</f>
        <v/>
      </c>
      <c r="E187" s="38" t="str">
        <f>IF(A187="","",SETUP_RATES!$K$4)</f>
        <v/>
      </c>
      <c r="F187" s="38" t="str">
        <f t="shared" si="2"/>
        <v/>
      </c>
      <c r="G187" s="33" t="str">
        <f t="shared" si="3"/>
        <v/>
      </c>
      <c r="H187" s="39" t="str">
        <f>IF(C187="","",C187+IFERROR(VLOOKUP(VLOOKUP(A187,BOOKINGS!$A:$Q,3,FALSE),CLIENTS!$A:$H,6,FALSE),30))</f>
        <v/>
      </c>
      <c r="I187" s="33" t="str">
        <f>IF(A187="","",IFERROR(VLOOKUP(B187,COLLECTIONS!$A:$I,7,FALSE),"Unpaid"))</f>
        <v/>
      </c>
    </row>
    <row r="188" ht="15.75" customHeight="1">
      <c r="A188" s="33" t="str">
        <f>IF(PROFITABILITY!A188="","",PROFITABILITY!A188)</f>
        <v/>
      </c>
      <c r="B188" s="33" t="str">
        <f t="shared" si="1"/>
        <v/>
      </c>
      <c r="C188" s="39" t="str">
        <f>IF(A188="","",IFERROR(VLOOKUP(A188,BOOKINGS!$A:$Q,8,FALSE),BOOKINGS!B188))</f>
        <v/>
      </c>
      <c r="D188" s="38" t="str">
        <f>IF(A188="","",PROFITABILITY!B188)</f>
        <v/>
      </c>
      <c r="E188" s="38" t="str">
        <f>IF(A188="","",SETUP_RATES!$K$4)</f>
        <v/>
      </c>
      <c r="F188" s="38" t="str">
        <f t="shared" si="2"/>
        <v/>
      </c>
      <c r="G188" s="33" t="str">
        <f t="shared" si="3"/>
        <v/>
      </c>
      <c r="H188" s="39" t="str">
        <f>IF(C188="","",C188+IFERROR(VLOOKUP(VLOOKUP(A188,BOOKINGS!$A:$Q,3,FALSE),CLIENTS!$A:$H,6,FALSE),30))</f>
        <v/>
      </c>
      <c r="I188" s="33" t="str">
        <f>IF(A188="","",IFERROR(VLOOKUP(B188,COLLECTIONS!$A:$I,7,FALSE),"Unpaid"))</f>
        <v/>
      </c>
    </row>
    <row r="189" ht="15.75" customHeight="1">
      <c r="A189" s="33" t="str">
        <f>IF(PROFITABILITY!A189="","",PROFITABILITY!A189)</f>
        <v/>
      </c>
      <c r="B189" s="33" t="str">
        <f t="shared" si="1"/>
        <v/>
      </c>
      <c r="C189" s="39" t="str">
        <f>IF(A189="","",IFERROR(VLOOKUP(A189,BOOKINGS!$A:$Q,8,FALSE),BOOKINGS!B189))</f>
        <v/>
      </c>
      <c r="D189" s="38" t="str">
        <f>IF(A189="","",PROFITABILITY!B189)</f>
        <v/>
      </c>
      <c r="E189" s="38" t="str">
        <f>IF(A189="","",SETUP_RATES!$K$4)</f>
        <v/>
      </c>
      <c r="F189" s="38" t="str">
        <f t="shared" si="2"/>
        <v/>
      </c>
      <c r="G189" s="33" t="str">
        <f t="shared" si="3"/>
        <v/>
      </c>
      <c r="H189" s="39" t="str">
        <f>IF(C189="","",C189+IFERROR(VLOOKUP(VLOOKUP(A189,BOOKINGS!$A:$Q,3,FALSE),CLIENTS!$A:$H,6,FALSE),30))</f>
        <v/>
      </c>
      <c r="I189" s="33" t="str">
        <f>IF(A189="","",IFERROR(VLOOKUP(B189,COLLECTIONS!$A:$I,7,FALSE),"Unpaid"))</f>
        <v/>
      </c>
    </row>
    <row r="190" ht="15.75" customHeight="1">
      <c r="A190" s="33" t="str">
        <f>IF(PROFITABILITY!A190="","",PROFITABILITY!A190)</f>
        <v/>
      </c>
      <c r="B190" s="33" t="str">
        <f t="shared" si="1"/>
        <v/>
      </c>
      <c r="C190" s="39" t="str">
        <f>IF(A190="","",IFERROR(VLOOKUP(A190,BOOKINGS!$A:$Q,8,FALSE),BOOKINGS!B190))</f>
        <v/>
      </c>
      <c r="D190" s="38" t="str">
        <f>IF(A190="","",PROFITABILITY!B190)</f>
        <v/>
      </c>
      <c r="E190" s="38" t="str">
        <f>IF(A190="","",SETUP_RATES!$K$4)</f>
        <v/>
      </c>
      <c r="F190" s="38" t="str">
        <f t="shared" si="2"/>
        <v/>
      </c>
      <c r="G190" s="33" t="str">
        <f t="shared" si="3"/>
        <v/>
      </c>
      <c r="H190" s="39" t="str">
        <f>IF(C190="","",C190+IFERROR(VLOOKUP(VLOOKUP(A190,BOOKINGS!$A:$Q,3,FALSE),CLIENTS!$A:$H,6,FALSE),30))</f>
        <v/>
      </c>
      <c r="I190" s="33" t="str">
        <f>IF(A190="","",IFERROR(VLOOKUP(B190,COLLECTIONS!$A:$I,7,FALSE),"Unpaid"))</f>
        <v/>
      </c>
    </row>
    <row r="191" ht="15.75" customHeight="1">
      <c r="A191" s="33" t="str">
        <f>IF(PROFITABILITY!A191="","",PROFITABILITY!A191)</f>
        <v/>
      </c>
      <c r="B191" s="33" t="str">
        <f t="shared" si="1"/>
        <v/>
      </c>
      <c r="C191" s="39" t="str">
        <f>IF(A191="","",IFERROR(VLOOKUP(A191,BOOKINGS!$A:$Q,8,FALSE),BOOKINGS!B191))</f>
        <v/>
      </c>
      <c r="D191" s="38" t="str">
        <f>IF(A191="","",PROFITABILITY!B191)</f>
        <v/>
      </c>
      <c r="E191" s="38" t="str">
        <f>IF(A191="","",SETUP_RATES!$K$4)</f>
        <v/>
      </c>
      <c r="F191" s="38" t="str">
        <f t="shared" si="2"/>
        <v/>
      </c>
      <c r="G191" s="33" t="str">
        <f t="shared" si="3"/>
        <v/>
      </c>
      <c r="H191" s="39" t="str">
        <f>IF(C191="","",C191+IFERROR(VLOOKUP(VLOOKUP(A191,BOOKINGS!$A:$Q,3,FALSE),CLIENTS!$A:$H,6,FALSE),30))</f>
        <v/>
      </c>
      <c r="I191" s="33" t="str">
        <f>IF(A191="","",IFERROR(VLOOKUP(B191,COLLECTIONS!$A:$I,7,FALSE),"Unpaid"))</f>
        <v/>
      </c>
    </row>
    <row r="192" ht="15.75" customHeight="1">
      <c r="A192" s="33" t="str">
        <f>IF(PROFITABILITY!A192="","",PROFITABILITY!A192)</f>
        <v/>
      </c>
      <c r="B192" s="33" t="str">
        <f t="shared" si="1"/>
        <v/>
      </c>
      <c r="C192" s="39" t="str">
        <f>IF(A192="","",IFERROR(VLOOKUP(A192,BOOKINGS!$A:$Q,8,FALSE),BOOKINGS!B192))</f>
        <v/>
      </c>
      <c r="D192" s="38" t="str">
        <f>IF(A192="","",PROFITABILITY!B192)</f>
        <v/>
      </c>
      <c r="E192" s="38" t="str">
        <f>IF(A192="","",SETUP_RATES!$K$4)</f>
        <v/>
      </c>
      <c r="F192" s="38" t="str">
        <f t="shared" si="2"/>
        <v/>
      </c>
      <c r="G192" s="33" t="str">
        <f t="shared" si="3"/>
        <v/>
      </c>
      <c r="H192" s="39" t="str">
        <f>IF(C192="","",C192+IFERROR(VLOOKUP(VLOOKUP(A192,BOOKINGS!$A:$Q,3,FALSE),CLIENTS!$A:$H,6,FALSE),30))</f>
        <v/>
      </c>
      <c r="I192" s="33" t="str">
        <f>IF(A192="","",IFERROR(VLOOKUP(B192,COLLECTIONS!$A:$I,7,FALSE),"Unpaid"))</f>
        <v/>
      </c>
    </row>
    <row r="193" ht="15.75" customHeight="1">
      <c r="A193" s="33" t="str">
        <f>IF(PROFITABILITY!A193="","",PROFITABILITY!A193)</f>
        <v/>
      </c>
      <c r="B193" s="33" t="str">
        <f t="shared" si="1"/>
        <v/>
      </c>
      <c r="C193" s="39" t="str">
        <f>IF(A193="","",IFERROR(VLOOKUP(A193,BOOKINGS!$A:$Q,8,FALSE),BOOKINGS!B193))</f>
        <v/>
      </c>
      <c r="D193" s="38" t="str">
        <f>IF(A193="","",PROFITABILITY!B193)</f>
        <v/>
      </c>
      <c r="E193" s="38" t="str">
        <f>IF(A193="","",SETUP_RATES!$K$4)</f>
        <v/>
      </c>
      <c r="F193" s="38" t="str">
        <f t="shared" si="2"/>
        <v/>
      </c>
      <c r="G193" s="33" t="str">
        <f t="shared" si="3"/>
        <v/>
      </c>
      <c r="H193" s="39" t="str">
        <f>IF(C193="","",C193+IFERROR(VLOOKUP(VLOOKUP(A193,BOOKINGS!$A:$Q,3,FALSE),CLIENTS!$A:$H,6,FALSE),30))</f>
        <v/>
      </c>
      <c r="I193" s="33" t="str">
        <f>IF(A193="","",IFERROR(VLOOKUP(B193,COLLECTIONS!$A:$I,7,FALSE),"Unpaid"))</f>
        <v/>
      </c>
    </row>
    <row r="194" ht="15.75" customHeight="1">
      <c r="A194" s="33" t="str">
        <f>IF(PROFITABILITY!A194="","",PROFITABILITY!A194)</f>
        <v/>
      </c>
      <c r="B194" s="33" t="str">
        <f t="shared" si="1"/>
        <v/>
      </c>
      <c r="C194" s="39" t="str">
        <f>IF(A194="","",IFERROR(VLOOKUP(A194,BOOKINGS!$A:$Q,8,FALSE),BOOKINGS!B194))</f>
        <v/>
      </c>
      <c r="D194" s="38" t="str">
        <f>IF(A194="","",PROFITABILITY!B194)</f>
        <v/>
      </c>
      <c r="E194" s="38" t="str">
        <f>IF(A194="","",SETUP_RATES!$K$4)</f>
        <v/>
      </c>
      <c r="F194" s="38" t="str">
        <f t="shared" si="2"/>
        <v/>
      </c>
      <c r="G194" s="33" t="str">
        <f t="shared" si="3"/>
        <v/>
      </c>
      <c r="H194" s="39" t="str">
        <f>IF(C194="","",C194+IFERROR(VLOOKUP(VLOOKUP(A194,BOOKINGS!$A:$Q,3,FALSE),CLIENTS!$A:$H,6,FALSE),30))</f>
        <v/>
      </c>
      <c r="I194" s="33" t="str">
        <f>IF(A194="","",IFERROR(VLOOKUP(B194,COLLECTIONS!$A:$I,7,FALSE),"Unpaid"))</f>
        <v/>
      </c>
    </row>
    <row r="195" ht="15.75" customHeight="1">
      <c r="A195" s="33" t="str">
        <f>IF(PROFITABILITY!A195="","",PROFITABILITY!A195)</f>
        <v/>
      </c>
      <c r="B195" s="33" t="str">
        <f t="shared" si="1"/>
        <v/>
      </c>
      <c r="C195" s="39" t="str">
        <f>IF(A195="","",IFERROR(VLOOKUP(A195,BOOKINGS!$A:$Q,8,FALSE),BOOKINGS!B195))</f>
        <v/>
      </c>
      <c r="D195" s="38" t="str">
        <f>IF(A195="","",PROFITABILITY!B195)</f>
        <v/>
      </c>
      <c r="E195" s="38" t="str">
        <f>IF(A195="","",SETUP_RATES!$K$4)</f>
        <v/>
      </c>
      <c r="F195" s="38" t="str">
        <f t="shared" si="2"/>
        <v/>
      </c>
      <c r="G195" s="33" t="str">
        <f t="shared" si="3"/>
        <v/>
      </c>
      <c r="H195" s="39" t="str">
        <f>IF(C195="","",C195+IFERROR(VLOOKUP(VLOOKUP(A195,BOOKINGS!$A:$Q,3,FALSE),CLIENTS!$A:$H,6,FALSE),30))</f>
        <v/>
      </c>
      <c r="I195" s="33" t="str">
        <f>IF(A195="","",IFERROR(VLOOKUP(B195,COLLECTIONS!$A:$I,7,FALSE),"Unpaid"))</f>
        <v/>
      </c>
    </row>
    <row r="196" ht="15.75" customHeight="1">
      <c r="A196" s="33" t="str">
        <f>IF(PROFITABILITY!A196="","",PROFITABILITY!A196)</f>
        <v/>
      </c>
      <c r="B196" s="33" t="str">
        <f t="shared" si="1"/>
        <v/>
      </c>
      <c r="C196" s="39" t="str">
        <f>IF(A196="","",IFERROR(VLOOKUP(A196,BOOKINGS!$A:$Q,8,FALSE),BOOKINGS!B196))</f>
        <v/>
      </c>
      <c r="D196" s="38" t="str">
        <f>IF(A196="","",PROFITABILITY!B196)</f>
        <v/>
      </c>
      <c r="E196" s="38" t="str">
        <f>IF(A196="","",SETUP_RATES!$K$4)</f>
        <v/>
      </c>
      <c r="F196" s="38" t="str">
        <f t="shared" si="2"/>
        <v/>
      </c>
      <c r="G196" s="33" t="str">
        <f t="shared" si="3"/>
        <v/>
      </c>
      <c r="H196" s="39" t="str">
        <f>IF(C196="","",C196+IFERROR(VLOOKUP(VLOOKUP(A196,BOOKINGS!$A:$Q,3,FALSE),CLIENTS!$A:$H,6,FALSE),30))</f>
        <v/>
      </c>
      <c r="I196" s="33" t="str">
        <f>IF(A196="","",IFERROR(VLOOKUP(B196,COLLECTIONS!$A:$I,7,FALSE),"Unpaid"))</f>
        <v/>
      </c>
    </row>
    <row r="197" ht="15.75" customHeight="1">
      <c r="A197" s="33" t="str">
        <f>IF(PROFITABILITY!A197="","",PROFITABILITY!A197)</f>
        <v/>
      </c>
      <c r="B197" s="33" t="str">
        <f t="shared" si="1"/>
        <v/>
      </c>
      <c r="C197" s="39" t="str">
        <f>IF(A197="","",IFERROR(VLOOKUP(A197,BOOKINGS!$A:$Q,8,FALSE),BOOKINGS!B197))</f>
        <v/>
      </c>
      <c r="D197" s="38" t="str">
        <f>IF(A197="","",PROFITABILITY!B197)</f>
        <v/>
      </c>
      <c r="E197" s="38" t="str">
        <f>IF(A197="","",SETUP_RATES!$K$4)</f>
        <v/>
      </c>
      <c r="F197" s="38" t="str">
        <f t="shared" si="2"/>
        <v/>
      </c>
      <c r="G197" s="33" t="str">
        <f t="shared" si="3"/>
        <v/>
      </c>
      <c r="H197" s="39" t="str">
        <f>IF(C197="","",C197+IFERROR(VLOOKUP(VLOOKUP(A197,BOOKINGS!$A:$Q,3,FALSE),CLIENTS!$A:$H,6,FALSE),30))</f>
        <v/>
      </c>
      <c r="I197" s="33" t="str">
        <f>IF(A197="","",IFERROR(VLOOKUP(B197,COLLECTIONS!$A:$I,7,FALSE),"Unpaid"))</f>
        <v/>
      </c>
    </row>
    <row r="198" ht="15.75" customHeight="1">
      <c r="A198" s="33" t="str">
        <f>IF(PROFITABILITY!A198="","",PROFITABILITY!A198)</f>
        <v/>
      </c>
      <c r="B198" s="33" t="str">
        <f t="shared" si="1"/>
        <v/>
      </c>
      <c r="C198" s="39" t="str">
        <f>IF(A198="","",IFERROR(VLOOKUP(A198,BOOKINGS!$A:$Q,8,FALSE),BOOKINGS!B198))</f>
        <v/>
      </c>
      <c r="D198" s="38" t="str">
        <f>IF(A198="","",PROFITABILITY!B198)</f>
        <v/>
      </c>
      <c r="E198" s="38" t="str">
        <f>IF(A198="","",SETUP_RATES!$K$4)</f>
        <v/>
      </c>
      <c r="F198" s="38" t="str">
        <f t="shared" si="2"/>
        <v/>
      </c>
      <c r="G198" s="33" t="str">
        <f t="shared" si="3"/>
        <v/>
      </c>
      <c r="H198" s="39" t="str">
        <f>IF(C198="","",C198+IFERROR(VLOOKUP(VLOOKUP(A198,BOOKINGS!$A:$Q,3,FALSE),CLIENTS!$A:$H,6,FALSE),30))</f>
        <v/>
      </c>
      <c r="I198" s="33" t="str">
        <f>IF(A198="","",IFERROR(VLOOKUP(B198,COLLECTIONS!$A:$I,7,FALSE),"Unpaid"))</f>
        <v/>
      </c>
    </row>
    <row r="199" ht="15.75" customHeight="1">
      <c r="A199" s="33" t="str">
        <f>IF(PROFITABILITY!A199="","",PROFITABILITY!A199)</f>
        <v/>
      </c>
      <c r="B199" s="33" t="str">
        <f t="shared" si="1"/>
        <v/>
      </c>
      <c r="C199" s="39" t="str">
        <f>IF(A199="","",IFERROR(VLOOKUP(A199,BOOKINGS!$A:$Q,8,FALSE),BOOKINGS!B199))</f>
        <v/>
      </c>
      <c r="D199" s="38" t="str">
        <f>IF(A199="","",PROFITABILITY!B199)</f>
        <v/>
      </c>
      <c r="E199" s="38" t="str">
        <f>IF(A199="","",SETUP_RATES!$K$4)</f>
        <v/>
      </c>
      <c r="F199" s="38" t="str">
        <f t="shared" si="2"/>
        <v/>
      </c>
      <c r="G199" s="33" t="str">
        <f t="shared" si="3"/>
        <v/>
      </c>
      <c r="H199" s="39" t="str">
        <f>IF(C199="","",C199+IFERROR(VLOOKUP(VLOOKUP(A199,BOOKINGS!$A:$Q,3,FALSE),CLIENTS!$A:$H,6,FALSE),30))</f>
        <v/>
      </c>
      <c r="I199" s="33" t="str">
        <f>IF(A199="","",IFERROR(VLOOKUP(B199,COLLECTIONS!$A:$I,7,FALSE),"Unpaid"))</f>
        <v/>
      </c>
    </row>
    <row r="200" ht="15.75" customHeight="1">
      <c r="A200" s="33" t="str">
        <f>IF(PROFITABILITY!A200="","",PROFITABILITY!A200)</f>
        <v/>
      </c>
      <c r="B200" s="33" t="str">
        <f t="shared" si="1"/>
        <v/>
      </c>
      <c r="C200" s="39" t="str">
        <f>IF(A200="","",IFERROR(VLOOKUP(A200,BOOKINGS!$A:$Q,8,FALSE),BOOKINGS!B200))</f>
        <v/>
      </c>
      <c r="D200" s="38" t="str">
        <f>IF(A200="","",PROFITABILITY!B200)</f>
        <v/>
      </c>
      <c r="E200" s="38" t="str">
        <f>IF(A200="","",SETUP_RATES!$K$4)</f>
        <v/>
      </c>
      <c r="F200" s="38" t="str">
        <f t="shared" si="2"/>
        <v/>
      </c>
      <c r="G200" s="33" t="str">
        <f t="shared" si="3"/>
        <v/>
      </c>
      <c r="H200" s="39" t="str">
        <f>IF(C200="","",C200+IFERROR(VLOOKUP(VLOOKUP(A200,BOOKINGS!$A:$Q,3,FALSE),CLIENTS!$A:$H,6,FALSE),30))</f>
        <v/>
      </c>
      <c r="I200" s="33" t="str">
        <f>IF(A200="","",IFERROR(VLOOKUP(B200,COLLECTIONS!$A:$I,7,FALSE),"Unpaid"))</f>
        <v/>
      </c>
    </row>
    <row r="201" ht="15.75" customHeight="1">
      <c r="A201" s="33" t="str">
        <f>IF(PROFITABILITY!A201="","",PROFITABILITY!A201)</f>
        <v/>
      </c>
      <c r="B201" s="33" t="str">
        <f t="shared" si="1"/>
        <v/>
      </c>
      <c r="C201" s="39" t="str">
        <f>IF(A201="","",IFERROR(VLOOKUP(A201,BOOKINGS!$A:$Q,8,FALSE),BOOKINGS!B201))</f>
        <v/>
      </c>
      <c r="D201" s="38" t="str">
        <f>IF(A201="","",PROFITABILITY!B201)</f>
        <v/>
      </c>
      <c r="E201" s="38" t="str">
        <f>IF(A201="","",SETUP_RATES!$K$4)</f>
        <v/>
      </c>
      <c r="F201" s="38" t="str">
        <f t="shared" si="2"/>
        <v/>
      </c>
      <c r="G201" s="33" t="str">
        <f t="shared" si="3"/>
        <v/>
      </c>
      <c r="H201" s="39" t="str">
        <f>IF(C201="","",C201+IFERROR(VLOOKUP(VLOOKUP(A201,BOOKINGS!$A:$Q,3,FALSE),CLIENTS!$A:$H,6,FALSE),30))</f>
        <v/>
      </c>
      <c r="I201" s="33" t="str">
        <f>IF(A201="","",IFERROR(VLOOKUP(B201,COLLECTIONS!$A:$I,7,FALSE),"Unpaid"))</f>
        <v/>
      </c>
    </row>
    <row r="202" ht="15.75" customHeight="1">
      <c r="A202" s="33" t="str">
        <f>IF(PROFITABILITY!A202="","",PROFITABILITY!A202)</f>
        <v/>
      </c>
      <c r="B202" s="33" t="str">
        <f t="shared" si="1"/>
        <v/>
      </c>
      <c r="C202" s="39" t="str">
        <f>IF(A202="","",IFERROR(VLOOKUP(A202,BOOKINGS!$A:$Q,8,FALSE),BOOKINGS!B202))</f>
        <v/>
      </c>
      <c r="D202" s="38" t="str">
        <f>IF(A202="","",PROFITABILITY!B202)</f>
        <v/>
      </c>
      <c r="E202" s="38" t="str">
        <f>IF(A202="","",SETUP_RATES!$K$4)</f>
        <v/>
      </c>
      <c r="F202" s="38" t="str">
        <f t="shared" si="2"/>
        <v/>
      </c>
      <c r="G202" s="33" t="str">
        <f t="shared" si="3"/>
        <v/>
      </c>
      <c r="H202" s="39" t="str">
        <f>IF(C202="","",C202+IFERROR(VLOOKUP(VLOOKUP(A202,BOOKINGS!$A:$Q,3,FALSE),CLIENTS!$A:$H,6,FALSE),30))</f>
        <v/>
      </c>
      <c r="I202" s="33" t="str">
        <f>IF(A202="","",IFERROR(VLOOKUP(B202,COLLECTIONS!$A:$I,7,FALSE),"Unpaid"))</f>
        <v/>
      </c>
    </row>
    <row r="203" ht="15.75" customHeight="1">
      <c r="A203" s="33" t="str">
        <f>IF(PROFITABILITY!A203="","",PROFITABILITY!A203)</f>
        <v/>
      </c>
      <c r="B203" s="33" t="str">
        <f t="shared" si="1"/>
        <v/>
      </c>
      <c r="C203" s="39" t="str">
        <f>IF(A203="","",IFERROR(VLOOKUP(A203,BOOKINGS!$A:$Q,8,FALSE),BOOKINGS!B203))</f>
        <v/>
      </c>
      <c r="D203" s="38" t="str">
        <f>IF(A203="","",PROFITABILITY!B203)</f>
        <v/>
      </c>
      <c r="E203" s="38" t="str">
        <f>IF(A203="","",SETUP_RATES!$K$4)</f>
        <v/>
      </c>
      <c r="F203" s="38" t="str">
        <f t="shared" si="2"/>
        <v/>
      </c>
      <c r="G203" s="33" t="str">
        <f t="shared" si="3"/>
        <v/>
      </c>
      <c r="H203" s="39" t="str">
        <f>IF(C203="","",C203+IFERROR(VLOOKUP(VLOOKUP(A203,BOOKINGS!$A:$Q,3,FALSE),CLIENTS!$A:$H,6,FALSE),30))</f>
        <v/>
      </c>
      <c r="I203" s="33" t="str">
        <f>IF(A203="","",IFERROR(VLOOKUP(B203,COLLECTIONS!$A:$I,7,FALSE),"Unpaid"))</f>
        <v/>
      </c>
    </row>
    <row r="204" ht="15.75" customHeight="1">
      <c r="A204" s="33" t="str">
        <f>IF(PROFITABILITY!A204="","",PROFITABILITY!A204)</f>
        <v/>
      </c>
      <c r="B204" s="33" t="str">
        <f t="shared" si="1"/>
        <v/>
      </c>
      <c r="C204" s="39" t="str">
        <f>IF(A204="","",IFERROR(VLOOKUP(A204,BOOKINGS!$A:$Q,8,FALSE),BOOKINGS!B204))</f>
        <v/>
      </c>
      <c r="D204" s="38" t="str">
        <f>IF(A204="","",PROFITABILITY!B204)</f>
        <v/>
      </c>
      <c r="E204" s="38" t="str">
        <f>IF(A204="","",SETUP_RATES!$K$4)</f>
        <v/>
      </c>
      <c r="F204" s="38" t="str">
        <f t="shared" si="2"/>
        <v/>
      </c>
      <c r="G204" s="33" t="str">
        <f t="shared" si="3"/>
        <v/>
      </c>
      <c r="H204" s="39" t="str">
        <f>IF(C204="","",C204+IFERROR(VLOOKUP(VLOOKUP(A204,BOOKINGS!$A:$Q,3,FALSE),CLIENTS!$A:$H,6,FALSE),30))</f>
        <v/>
      </c>
      <c r="I204" s="33" t="str">
        <f>IF(A204="","",IFERROR(VLOOKUP(B204,COLLECTIONS!$A:$I,7,FALSE),"Unpaid"))</f>
        <v/>
      </c>
    </row>
    <row r="205" ht="15.75" customHeight="1">
      <c r="A205" s="33" t="str">
        <f>IF(PROFITABILITY!A205="","",PROFITABILITY!A205)</f>
        <v/>
      </c>
      <c r="B205" s="33" t="str">
        <f t="shared" si="1"/>
        <v/>
      </c>
      <c r="C205" s="39" t="str">
        <f>IF(A205="","",IFERROR(VLOOKUP(A205,BOOKINGS!$A:$Q,8,FALSE),BOOKINGS!B205))</f>
        <v/>
      </c>
      <c r="D205" s="38" t="str">
        <f>IF(A205="","",PROFITABILITY!B205)</f>
        <v/>
      </c>
      <c r="E205" s="38" t="str">
        <f>IF(A205="","",SETUP_RATES!$K$4)</f>
        <v/>
      </c>
      <c r="F205" s="38" t="str">
        <f t="shared" si="2"/>
        <v/>
      </c>
      <c r="G205" s="33" t="str">
        <f t="shared" si="3"/>
        <v/>
      </c>
      <c r="H205" s="39" t="str">
        <f>IF(C205="","",C205+IFERROR(VLOOKUP(VLOOKUP(A205,BOOKINGS!$A:$Q,3,FALSE),CLIENTS!$A:$H,6,FALSE),30))</f>
        <v/>
      </c>
      <c r="I205" s="33" t="str">
        <f>IF(A205="","",IFERROR(VLOOKUP(B205,COLLECTIONS!$A:$I,7,FALSE),"Unpaid"))</f>
        <v/>
      </c>
    </row>
    <row r="206" ht="15.75" customHeight="1">
      <c r="A206" s="33" t="str">
        <f>IF(PROFITABILITY!A206="","",PROFITABILITY!A206)</f>
        <v/>
      </c>
      <c r="B206" s="33" t="str">
        <f t="shared" si="1"/>
        <v/>
      </c>
      <c r="C206" s="39" t="str">
        <f>IF(A206="","",IFERROR(VLOOKUP(A206,BOOKINGS!$A:$Q,8,FALSE),BOOKINGS!B206))</f>
        <v/>
      </c>
      <c r="D206" s="38" t="str">
        <f>IF(A206="","",PROFITABILITY!B206)</f>
        <v/>
      </c>
      <c r="E206" s="38" t="str">
        <f>IF(A206="","",SETUP_RATES!$K$4)</f>
        <v/>
      </c>
      <c r="F206" s="38" t="str">
        <f t="shared" si="2"/>
        <v/>
      </c>
      <c r="G206" s="33" t="str">
        <f t="shared" si="3"/>
        <v/>
      </c>
      <c r="H206" s="39" t="str">
        <f>IF(C206="","",C206+IFERROR(VLOOKUP(VLOOKUP(A206,BOOKINGS!$A:$Q,3,FALSE),CLIENTS!$A:$H,6,FALSE),30))</f>
        <v/>
      </c>
      <c r="I206" s="33" t="str">
        <f>IF(A206="","",IFERROR(VLOOKUP(B206,COLLECTIONS!$A:$I,7,FALSE),"Unpaid"))</f>
        <v/>
      </c>
    </row>
    <row r="207" ht="15.75" customHeight="1">
      <c r="A207" s="33" t="str">
        <f>IF(PROFITABILITY!A207="","",PROFITABILITY!A207)</f>
        <v/>
      </c>
      <c r="B207" s="33" t="str">
        <f t="shared" si="1"/>
        <v/>
      </c>
      <c r="C207" s="39" t="str">
        <f>IF(A207="","",IFERROR(VLOOKUP(A207,BOOKINGS!$A:$Q,8,FALSE),BOOKINGS!B207))</f>
        <v/>
      </c>
      <c r="D207" s="38" t="str">
        <f>IF(A207="","",PROFITABILITY!B207)</f>
        <v/>
      </c>
      <c r="E207" s="38" t="str">
        <f>IF(A207="","",SETUP_RATES!$K$4)</f>
        <v/>
      </c>
      <c r="F207" s="38" t="str">
        <f t="shared" si="2"/>
        <v/>
      </c>
      <c r="G207" s="33" t="str">
        <f t="shared" si="3"/>
        <v/>
      </c>
      <c r="H207" s="39" t="str">
        <f>IF(C207="","",C207+IFERROR(VLOOKUP(VLOOKUP(A207,BOOKINGS!$A:$Q,3,FALSE),CLIENTS!$A:$H,6,FALSE),30))</f>
        <v/>
      </c>
      <c r="I207" s="33" t="str">
        <f>IF(A207="","",IFERROR(VLOOKUP(B207,COLLECTIONS!$A:$I,7,FALSE),"Unpaid"))</f>
        <v/>
      </c>
    </row>
    <row r="208" ht="15.75" customHeight="1">
      <c r="A208" s="33" t="str">
        <f>IF(PROFITABILITY!A208="","",PROFITABILITY!A208)</f>
        <v/>
      </c>
      <c r="B208" s="33" t="str">
        <f t="shared" si="1"/>
        <v/>
      </c>
      <c r="C208" s="39" t="str">
        <f>IF(A208="","",IFERROR(VLOOKUP(A208,BOOKINGS!$A:$Q,8,FALSE),BOOKINGS!B208))</f>
        <v/>
      </c>
      <c r="D208" s="38" t="str">
        <f>IF(A208="","",PROFITABILITY!B208)</f>
        <v/>
      </c>
      <c r="E208" s="38" t="str">
        <f>IF(A208="","",SETUP_RATES!$K$4)</f>
        <v/>
      </c>
      <c r="F208" s="38" t="str">
        <f t="shared" si="2"/>
        <v/>
      </c>
      <c r="G208" s="33" t="str">
        <f t="shared" si="3"/>
        <v/>
      </c>
      <c r="H208" s="39" t="str">
        <f>IF(C208="","",C208+IFERROR(VLOOKUP(VLOOKUP(A208,BOOKINGS!$A:$Q,3,FALSE),CLIENTS!$A:$H,6,FALSE),30))</f>
        <v/>
      </c>
      <c r="I208" s="33" t="str">
        <f>IF(A208="","",IFERROR(VLOOKUP(B208,COLLECTIONS!$A:$I,7,FALSE),"Unpaid"))</f>
        <v/>
      </c>
    </row>
    <row r="209" ht="15.75" customHeight="1">
      <c r="A209" s="33" t="str">
        <f>IF(PROFITABILITY!A209="","",PROFITABILITY!A209)</f>
        <v/>
      </c>
      <c r="B209" s="33" t="str">
        <f t="shared" si="1"/>
        <v/>
      </c>
      <c r="C209" s="39" t="str">
        <f>IF(A209="","",IFERROR(VLOOKUP(A209,BOOKINGS!$A:$Q,8,FALSE),BOOKINGS!B209))</f>
        <v/>
      </c>
      <c r="D209" s="38" t="str">
        <f>IF(A209="","",PROFITABILITY!B209)</f>
        <v/>
      </c>
      <c r="E209" s="38" t="str">
        <f>IF(A209="","",SETUP_RATES!$K$4)</f>
        <v/>
      </c>
      <c r="F209" s="38" t="str">
        <f t="shared" si="2"/>
        <v/>
      </c>
      <c r="G209" s="33" t="str">
        <f t="shared" si="3"/>
        <v/>
      </c>
      <c r="H209" s="39" t="str">
        <f>IF(C209="","",C209+IFERROR(VLOOKUP(VLOOKUP(A209,BOOKINGS!$A:$Q,3,FALSE),CLIENTS!$A:$H,6,FALSE),30))</f>
        <v/>
      </c>
      <c r="I209" s="33" t="str">
        <f>IF(A209="","",IFERROR(VLOOKUP(B209,COLLECTIONS!$A:$I,7,FALSE),"Unpaid"))</f>
        <v/>
      </c>
    </row>
    <row r="210" ht="15.75" customHeight="1">
      <c r="A210" s="33" t="str">
        <f>IF(PROFITABILITY!A210="","",PROFITABILITY!A210)</f>
        <v/>
      </c>
      <c r="B210" s="33" t="str">
        <f t="shared" si="1"/>
        <v/>
      </c>
      <c r="C210" s="39" t="str">
        <f>IF(A210="","",IFERROR(VLOOKUP(A210,BOOKINGS!$A:$Q,8,FALSE),BOOKINGS!B210))</f>
        <v/>
      </c>
      <c r="D210" s="38" t="str">
        <f>IF(A210="","",PROFITABILITY!B210)</f>
        <v/>
      </c>
      <c r="E210" s="38" t="str">
        <f>IF(A210="","",SETUP_RATES!$K$4)</f>
        <v/>
      </c>
      <c r="F210" s="38" t="str">
        <f t="shared" si="2"/>
        <v/>
      </c>
      <c r="G210" s="33" t="str">
        <f t="shared" si="3"/>
        <v/>
      </c>
      <c r="H210" s="39" t="str">
        <f>IF(C210="","",C210+IFERROR(VLOOKUP(VLOOKUP(A210,BOOKINGS!$A:$Q,3,FALSE),CLIENTS!$A:$H,6,FALSE),30))</f>
        <v/>
      </c>
      <c r="I210" s="33" t="str">
        <f>IF(A210="","",IFERROR(VLOOKUP(B210,COLLECTIONS!$A:$I,7,FALSE),"Unpaid"))</f>
        <v/>
      </c>
    </row>
    <row r="211" ht="15.75" customHeight="1">
      <c r="A211" s="33" t="str">
        <f>IF(PROFITABILITY!A211="","",PROFITABILITY!A211)</f>
        <v/>
      </c>
      <c r="B211" s="33" t="str">
        <f t="shared" si="1"/>
        <v/>
      </c>
      <c r="C211" s="39" t="str">
        <f>IF(A211="","",IFERROR(VLOOKUP(A211,BOOKINGS!$A:$Q,8,FALSE),BOOKINGS!B211))</f>
        <v/>
      </c>
      <c r="D211" s="38" t="str">
        <f>IF(A211="","",PROFITABILITY!B211)</f>
        <v/>
      </c>
      <c r="E211" s="38" t="str">
        <f>IF(A211="","",SETUP_RATES!$K$4)</f>
        <v/>
      </c>
      <c r="F211" s="38" t="str">
        <f t="shared" si="2"/>
        <v/>
      </c>
      <c r="G211" s="33" t="str">
        <f t="shared" si="3"/>
        <v/>
      </c>
      <c r="H211" s="39" t="str">
        <f>IF(C211="","",C211+IFERROR(VLOOKUP(VLOOKUP(A211,BOOKINGS!$A:$Q,3,FALSE),CLIENTS!$A:$H,6,FALSE),30))</f>
        <v/>
      </c>
      <c r="I211" s="33" t="str">
        <f>IF(A211="","",IFERROR(VLOOKUP(B211,COLLECTIONS!$A:$I,7,FALSE),"Unpaid"))</f>
        <v/>
      </c>
    </row>
    <row r="212" ht="15.75" customHeight="1">
      <c r="A212" s="33" t="str">
        <f>IF(PROFITABILITY!A212="","",PROFITABILITY!A212)</f>
        <v/>
      </c>
      <c r="B212" s="33" t="str">
        <f t="shared" si="1"/>
        <v/>
      </c>
      <c r="C212" s="39" t="str">
        <f>IF(A212="","",IFERROR(VLOOKUP(A212,BOOKINGS!$A:$Q,8,FALSE),BOOKINGS!B212))</f>
        <v/>
      </c>
      <c r="D212" s="38" t="str">
        <f>IF(A212="","",PROFITABILITY!B212)</f>
        <v/>
      </c>
      <c r="E212" s="38" t="str">
        <f>IF(A212="","",SETUP_RATES!$K$4)</f>
        <v/>
      </c>
      <c r="F212" s="38" t="str">
        <f t="shared" si="2"/>
        <v/>
      </c>
      <c r="G212" s="33" t="str">
        <f t="shared" si="3"/>
        <v/>
      </c>
      <c r="H212" s="39" t="str">
        <f>IF(C212="","",C212+IFERROR(VLOOKUP(VLOOKUP(A212,BOOKINGS!$A:$Q,3,FALSE),CLIENTS!$A:$H,6,FALSE),30))</f>
        <v/>
      </c>
      <c r="I212" s="33" t="str">
        <f>IF(A212="","",IFERROR(VLOOKUP(B212,COLLECTIONS!$A:$I,7,FALSE),"Unpaid"))</f>
        <v/>
      </c>
    </row>
    <row r="213" ht="15.75" customHeight="1">
      <c r="A213" s="33" t="str">
        <f>IF(PROFITABILITY!A213="","",PROFITABILITY!A213)</f>
        <v/>
      </c>
      <c r="B213" s="33" t="str">
        <f t="shared" si="1"/>
        <v/>
      </c>
      <c r="C213" s="39" t="str">
        <f>IF(A213="","",IFERROR(VLOOKUP(A213,BOOKINGS!$A:$Q,8,FALSE),BOOKINGS!B213))</f>
        <v/>
      </c>
      <c r="D213" s="38" t="str">
        <f>IF(A213="","",PROFITABILITY!B213)</f>
        <v/>
      </c>
      <c r="E213" s="38" t="str">
        <f>IF(A213="","",SETUP_RATES!$K$4)</f>
        <v/>
      </c>
      <c r="F213" s="38" t="str">
        <f t="shared" si="2"/>
        <v/>
      </c>
      <c r="G213" s="33" t="str">
        <f t="shared" si="3"/>
        <v/>
      </c>
      <c r="H213" s="39" t="str">
        <f>IF(C213="","",C213+IFERROR(VLOOKUP(VLOOKUP(A213,BOOKINGS!$A:$Q,3,FALSE),CLIENTS!$A:$H,6,FALSE),30))</f>
        <v/>
      </c>
      <c r="I213" s="33" t="str">
        <f>IF(A213="","",IFERROR(VLOOKUP(B213,COLLECTIONS!$A:$I,7,FALSE),"Unpaid"))</f>
        <v/>
      </c>
    </row>
    <row r="214" ht="15.75" customHeight="1">
      <c r="A214" s="33" t="str">
        <f>IF(PROFITABILITY!A214="","",PROFITABILITY!A214)</f>
        <v/>
      </c>
      <c r="B214" s="33" t="str">
        <f t="shared" si="1"/>
        <v/>
      </c>
      <c r="C214" s="39" t="str">
        <f>IF(A214="","",IFERROR(VLOOKUP(A214,BOOKINGS!$A:$Q,8,FALSE),BOOKINGS!B214))</f>
        <v/>
      </c>
      <c r="D214" s="38" t="str">
        <f>IF(A214="","",PROFITABILITY!B214)</f>
        <v/>
      </c>
      <c r="E214" s="38" t="str">
        <f>IF(A214="","",SETUP_RATES!$K$4)</f>
        <v/>
      </c>
      <c r="F214" s="38" t="str">
        <f t="shared" si="2"/>
        <v/>
      </c>
      <c r="G214" s="33" t="str">
        <f t="shared" si="3"/>
        <v/>
      </c>
      <c r="H214" s="39" t="str">
        <f>IF(C214="","",C214+IFERROR(VLOOKUP(VLOOKUP(A214,BOOKINGS!$A:$Q,3,FALSE),CLIENTS!$A:$H,6,FALSE),30))</f>
        <v/>
      </c>
      <c r="I214" s="33" t="str">
        <f>IF(A214="","",IFERROR(VLOOKUP(B214,COLLECTIONS!$A:$I,7,FALSE),"Unpaid"))</f>
        <v/>
      </c>
    </row>
    <row r="215" ht="15.75" customHeight="1">
      <c r="A215" s="33" t="str">
        <f>IF(PROFITABILITY!A215="","",PROFITABILITY!A215)</f>
        <v/>
      </c>
      <c r="B215" s="33" t="str">
        <f t="shared" si="1"/>
        <v/>
      </c>
      <c r="C215" s="39" t="str">
        <f>IF(A215="","",IFERROR(VLOOKUP(A215,BOOKINGS!$A:$Q,8,FALSE),BOOKINGS!B215))</f>
        <v/>
      </c>
      <c r="D215" s="38" t="str">
        <f>IF(A215="","",PROFITABILITY!B215)</f>
        <v/>
      </c>
      <c r="E215" s="38" t="str">
        <f>IF(A215="","",SETUP_RATES!$K$4)</f>
        <v/>
      </c>
      <c r="F215" s="38" t="str">
        <f t="shared" si="2"/>
        <v/>
      </c>
      <c r="G215" s="33" t="str">
        <f t="shared" si="3"/>
        <v/>
      </c>
      <c r="H215" s="39" t="str">
        <f>IF(C215="","",C215+IFERROR(VLOOKUP(VLOOKUP(A215,BOOKINGS!$A:$Q,3,FALSE),CLIENTS!$A:$H,6,FALSE),30))</f>
        <v/>
      </c>
      <c r="I215" s="33" t="str">
        <f>IF(A215="","",IFERROR(VLOOKUP(B215,COLLECTIONS!$A:$I,7,FALSE),"Unpaid"))</f>
        <v/>
      </c>
    </row>
    <row r="216" ht="15.75" customHeight="1">
      <c r="A216" s="33" t="str">
        <f>IF(PROFITABILITY!A216="","",PROFITABILITY!A216)</f>
        <v/>
      </c>
      <c r="B216" s="33" t="str">
        <f t="shared" si="1"/>
        <v/>
      </c>
      <c r="C216" s="39" t="str">
        <f>IF(A216="","",IFERROR(VLOOKUP(A216,BOOKINGS!$A:$Q,8,FALSE),BOOKINGS!B216))</f>
        <v/>
      </c>
      <c r="D216" s="38" t="str">
        <f>IF(A216="","",PROFITABILITY!B216)</f>
        <v/>
      </c>
      <c r="E216" s="38" t="str">
        <f>IF(A216="","",SETUP_RATES!$K$4)</f>
        <v/>
      </c>
      <c r="F216" s="38" t="str">
        <f t="shared" si="2"/>
        <v/>
      </c>
      <c r="G216" s="33" t="str">
        <f t="shared" si="3"/>
        <v/>
      </c>
      <c r="H216" s="39" t="str">
        <f>IF(C216="","",C216+IFERROR(VLOOKUP(VLOOKUP(A216,BOOKINGS!$A:$Q,3,FALSE),CLIENTS!$A:$H,6,FALSE),30))</f>
        <v/>
      </c>
      <c r="I216" s="33" t="str">
        <f>IF(A216="","",IFERROR(VLOOKUP(B216,COLLECTIONS!$A:$I,7,FALSE),"Unpaid"))</f>
        <v/>
      </c>
    </row>
    <row r="217" ht="15.75" customHeight="1">
      <c r="A217" s="33" t="str">
        <f>IF(PROFITABILITY!A217="","",PROFITABILITY!A217)</f>
        <v/>
      </c>
      <c r="B217" s="33" t="str">
        <f t="shared" si="1"/>
        <v/>
      </c>
      <c r="C217" s="39" t="str">
        <f>IF(A217="","",IFERROR(VLOOKUP(A217,BOOKINGS!$A:$Q,8,FALSE),BOOKINGS!B217))</f>
        <v/>
      </c>
      <c r="D217" s="38" t="str">
        <f>IF(A217="","",PROFITABILITY!B217)</f>
        <v/>
      </c>
      <c r="E217" s="38" t="str">
        <f>IF(A217="","",SETUP_RATES!$K$4)</f>
        <v/>
      </c>
      <c r="F217" s="38" t="str">
        <f t="shared" si="2"/>
        <v/>
      </c>
      <c r="G217" s="33" t="str">
        <f t="shared" si="3"/>
        <v/>
      </c>
      <c r="H217" s="39" t="str">
        <f>IF(C217="","",C217+IFERROR(VLOOKUP(VLOOKUP(A217,BOOKINGS!$A:$Q,3,FALSE),CLIENTS!$A:$H,6,FALSE),30))</f>
        <v/>
      </c>
      <c r="I217" s="33" t="str">
        <f>IF(A217="","",IFERROR(VLOOKUP(B217,COLLECTIONS!$A:$I,7,FALSE),"Unpaid"))</f>
        <v/>
      </c>
    </row>
    <row r="218" ht="15.75" customHeight="1">
      <c r="A218" s="33" t="str">
        <f>IF(PROFITABILITY!A218="","",PROFITABILITY!A218)</f>
        <v/>
      </c>
      <c r="B218" s="33" t="str">
        <f t="shared" si="1"/>
        <v/>
      </c>
      <c r="C218" s="39" t="str">
        <f>IF(A218="","",IFERROR(VLOOKUP(A218,BOOKINGS!$A:$Q,8,FALSE),BOOKINGS!B218))</f>
        <v/>
      </c>
      <c r="D218" s="38" t="str">
        <f>IF(A218="","",PROFITABILITY!B218)</f>
        <v/>
      </c>
      <c r="E218" s="38" t="str">
        <f>IF(A218="","",SETUP_RATES!$K$4)</f>
        <v/>
      </c>
      <c r="F218" s="38" t="str">
        <f t="shared" si="2"/>
        <v/>
      </c>
      <c r="G218" s="33" t="str">
        <f t="shared" si="3"/>
        <v/>
      </c>
      <c r="H218" s="39" t="str">
        <f>IF(C218="","",C218+IFERROR(VLOOKUP(VLOOKUP(A218,BOOKINGS!$A:$Q,3,FALSE),CLIENTS!$A:$H,6,FALSE),30))</f>
        <v/>
      </c>
      <c r="I218" s="33" t="str">
        <f>IF(A218="","",IFERROR(VLOOKUP(B218,COLLECTIONS!$A:$I,7,FALSE),"Unpaid"))</f>
        <v/>
      </c>
    </row>
    <row r="219" ht="15.75" customHeight="1">
      <c r="A219" s="33" t="str">
        <f>IF(PROFITABILITY!A219="","",PROFITABILITY!A219)</f>
        <v/>
      </c>
      <c r="B219" s="33" t="str">
        <f t="shared" si="1"/>
        <v/>
      </c>
      <c r="C219" s="39" t="str">
        <f>IF(A219="","",IFERROR(VLOOKUP(A219,BOOKINGS!$A:$Q,8,FALSE),BOOKINGS!B219))</f>
        <v/>
      </c>
      <c r="D219" s="38" t="str">
        <f>IF(A219="","",PROFITABILITY!B219)</f>
        <v/>
      </c>
      <c r="E219" s="38" t="str">
        <f>IF(A219="","",SETUP_RATES!$K$4)</f>
        <v/>
      </c>
      <c r="F219" s="38" t="str">
        <f t="shared" si="2"/>
        <v/>
      </c>
      <c r="G219" s="33" t="str">
        <f t="shared" si="3"/>
        <v/>
      </c>
      <c r="H219" s="39" t="str">
        <f>IF(C219="","",C219+IFERROR(VLOOKUP(VLOOKUP(A219,BOOKINGS!$A:$Q,3,FALSE),CLIENTS!$A:$H,6,FALSE),30))</f>
        <v/>
      </c>
      <c r="I219" s="33" t="str">
        <f>IF(A219="","",IFERROR(VLOOKUP(B219,COLLECTIONS!$A:$I,7,FALSE),"Unpaid"))</f>
        <v/>
      </c>
    </row>
    <row r="220" ht="15.75" customHeight="1">
      <c r="A220" s="33" t="str">
        <f>IF(PROFITABILITY!A220="","",PROFITABILITY!A220)</f>
        <v/>
      </c>
      <c r="B220" s="33" t="str">
        <f t="shared" si="1"/>
        <v/>
      </c>
      <c r="C220" s="39" t="str">
        <f>IF(A220="","",IFERROR(VLOOKUP(A220,BOOKINGS!$A:$Q,8,FALSE),BOOKINGS!B220))</f>
        <v/>
      </c>
      <c r="D220" s="38" t="str">
        <f>IF(A220="","",PROFITABILITY!B220)</f>
        <v/>
      </c>
      <c r="E220" s="38" t="str">
        <f>IF(A220="","",SETUP_RATES!$K$4)</f>
        <v/>
      </c>
      <c r="F220" s="38" t="str">
        <f t="shared" si="2"/>
        <v/>
      </c>
      <c r="G220" s="33" t="str">
        <f t="shared" si="3"/>
        <v/>
      </c>
      <c r="H220" s="39" t="str">
        <f>IF(C220="","",C220+IFERROR(VLOOKUP(VLOOKUP(A220,BOOKINGS!$A:$Q,3,FALSE),CLIENTS!$A:$H,6,FALSE),30))</f>
        <v/>
      </c>
      <c r="I220" s="33" t="str">
        <f>IF(A220="","",IFERROR(VLOOKUP(B220,COLLECTIONS!$A:$I,7,FALSE),"Unpaid"))</f>
        <v/>
      </c>
    </row>
    <row r="221" ht="15.75" customHeight="1">
      <c r="A221" s="33" t="str">
        <f>IF(PROFITABILITY!A221="","",PROFITABILITY!A221)</f>
        <v/>
      </c>
      <c r="B221" s="33" t="str">
        <f t="shared" si="1"/>
        <v/>
      </c>
      <c r="C221" s="39" t="str">
        <f>IF(A221="","",IFERROR(VLOOKUP(A221,BOOKINGS!$A:$Q,8,FALSE),BOOKINGS!B221))</f>
        <v/>
      </c>
      <c r="D221" s="38" t="str">
        <f>IF(A221="","",PROFITABILITY!B221)</f>
        <v/>
      </c>
      <c r="E221" s="38" t="str">
        <f>IF(A221="","",SETUP_RATES!$K$4)</f>
        <v/>
      </c>
      <c r="F221" s="38" t="str">
        <f t="shared" si="2"/>
        <v/>
      </c>
      <c r="G221" s="33" t="str">
        <f t="shared" si="3"/>
        <v/>
      </c>
      <c r="H221" s="39" t="str">
        <f>IF(C221="","",C221+IFERROR(VLOOKUP(VLOOKUP(A221,BOOKINGS!$A:$Q,3,FALSE),CLIENTS!$A:$H,6,FALSE),30))</f>
        <v/>
      </c>
      <c r="I221" s="33" t="str">
        <f>IF(A221="","",IFERROR(VLOOKUP(B221,COLLECTIONS!$A:$I,7,FALSE),"Unpaid"))</f>
        <v/>
      </c>
    </row>
    <row r="222" ht="15.75" customHeight="1">
      <c r="A222" s="33" t="str">
        <f>IF(PROFITABILITY!A222="","",PROFITABILITY!A222)</f>
        <v/>
      </c>
      <c r="B222" s="33" t="str">
        <f t="shared" si="1"/>
        <v/>
      </c>
      <c r="C222" s="39" t="str">
        <f>IF(A222="","",IFERROR(VLOOKUP(A222,BOOKINGS!$A:$Q,8,FALSE),BOOKINGS!B222))</f>
        <v/>
      </c>
      <c r="D222" s="38" t="str">
        <f>IF(A222="","",PROFITABILITY!B222)</f>
        <v/>
      </c>
      <c r="E222" s="38" t="str">
        <f>IF(A222="","",SETUP_RATES!$K$4)</f>
        <v/>
      </c>
      <c r="F222" s="38" t="str">
        <f t="shared" si="2"/>
        <v/>
      </c>
      <c r="G222" s="33" t="str">
        <f t="shared" si="3"/>
        <v/>
      </c>
      <c r="H222" s="39" t="str">
        <f>IF(C222="","",C222+IFERROR(VLOOKUP(VLOOKUP(A222,BOOKINGS!$A:$Q,3,FALSE),CLIENTS!$A:$H,6,FALSE),30))</f>
        <v/>
      </c>
      <c r="I222" s="33" t="str">
        <f>IF(A222="","",IFERROR(VLOOKUP(B222,COLLECTIONS!$A:$I,7,FALSE),"Unpaid"))</f>
        <v/>
      </c>
    </row>
    <row r="223" ht="15.75" customHeight="1">
      <c r="A223" s="33" t="str">
        <f>IF(PROFITABILITY!A223="","",PROFITABILITY!A223)</f>
        <v/>
      </c>
      <c r="B223" s="33" t="str">
        <f t="shared" si="1"/>
        <v/>
      </c>
      <c r="C223" s="39" t="str">
        <f>IF(A223="","",IFERROR(VLOOKUP(A223,BOOKINGS!$A:$Q,8,FALSE),BOOKINGS!B223))</f>
        <v/>
      </c>
      <c r="D223" s="38" t="str">
        <f>IF(A223="","",PROFITABILITY!B223)</f>
        <v/>
      </c>
      <c r="E223" s="38" t="str">
        <f>IF(A223="","",SETUP_RATES!$K$4)</f>
        <v/>
      </c>
      <c r="F223" s="38" t="str">
        <f t="shared" si="2"/>
        <v/>
      </c>
      <c r="G223" s="33" t="str">
        <f t="shared" si="3"/>
        <v/>
      </c>
      <c r="H223" s="39" t="str">
        <f>IF(C223="","",C223+IFERROR(VLOOKUP(VLOOKUP(A223,BOOKINGS!$A:$Q,3,FALSE),CLIENTS!$A:$H,6,FALSE),30))</f>
        <v/>
      </c>
      <c r="I223" s="33" t="str">
        <f>IF(A223="","",IFERROR(VLOOKUP(B223,COLLECTIONS!$A:$I,7,FALSE),"Unpaid"))</f>
        <v/>
      </c>
    </row>
    <row r="224" ht="15.75" customHeight="1">
      <c r="A224" s="33" t="str">
        <f>IF(PROFITABILITY!A224="","",PROFITABILITY!A224)</f>
        <v/>
      </c>
      <c r="B224" s="33" t="str">
        <f t="shared" si="1"/>
        <v/>
      </c>
      <c r="C224" s="39" t="str">
        <f>IF(A224="","",IFERROR(VLOOKUP(A224,BOOKINGS!$A:$Q,8,FALSE),BOOKINGS!B224))</f>
        <v/>
      </c>
      <c r="D224" s="38" t="str">
        <f>IF(A224="","",PROFITABILITY!B224)</f>
        <v/>
      </c>
      <c r="E224" s="38" t="str">
        <f>IF(A224="","",SETUP_RATES!$K$4)</f>
        <v/>
      </c>
      <c r="F224" s="38" t="str">
        <f t="shared" si="2"/>
        <v/>
      </c>
      <c r="G224" s="33" t="str">
        <f t="shared" si="3"/>
        <v/>
      </c>
      <c r="H224" s="39" t="str">
        <f>IF(C224="","",C224+IFERROR(VLOOKUP(VLOOKUP(A224,BOOKINGS!$A:$Q,3,FALSE),CLIENTS!$A:$H,6,FALSE),30))</f>
        <v/>
      </c>
      <c r="I224" s="33" t="str">
        <f>IF(A224="","",IFERROR(VLOOKUP(B224,COLLECTIONS!$A:$I,7,FALSE),"Unpaid"))</f>
        <v/>
      </c>
    </row>
    <row r="225" ht="15.75" customHeight="1">
      <c r="A225" s="33" t="str">
        <f>IF(PROFITABILITY!A225="","",PROFITABILITY!A225)</f>
        <v/>
      </c>
      <c r="B225" s="33" t="str">
        <f t="shared" si="1"/>
        <v/>
      </c>
      <c r="C225" s="39" t="str">
        <f>IF(A225="","",IFERROR(VLOOKUP(A225,BOOKINGS!$A:$Q,8,FALSE),BOOKINGS!B225))</f>
        <v/>
      </c>
      <c r="D225" s="38" t="str">
        <f>IF(A225="","",PROFITABILITY!B225)</f>
        <v/>
      </c>
      <c r="E225" s="38" t="str">
        <f>IF(A225="","",SETUP_RATES!$K$4)</f>
        <v/>
      </c>
      <c r="F225" s="38" t="str">
        <f t="shared" si="2"/>
        <v/>
      </c>
      <c r="G225" s="33" t="str">
        <f t="shared" si="3"/>
        <v/>
      </c>
      <c r="H225" s="39" t="str">
        <f>IF(C225="","",C225+IFERROR(VLOOKUP(VLOOKUP(A225,BOOKINGS!$A:$Q,3,FALSE),CLIENTS!$A:$H,6,FALSE),30))</f>
        <v/>
      </c>
      <c r="I225" s="33" t="str">
        <f>IF(A225="","",IFERROR(VLOOKUP(B225,COLLECTIONS!$A:$I,7,FALSE),"Unpaid"))</f>
        <v/>
      </c>
    </row>
    <row r="226" ht="15.75" customHeight="1">
      <c r="A226" s="33" t="str">
        <f>IF(PROFITABILITY!A226="","",PROFITABILITY!A226)</f>
        <v/>
      </c>
      <c r="B226" s="33" t="str">
        <f t="shared" si="1"/>
        <v/>
      </c>
      <c r="C226" s="39" t="str">
        <f>IF(A226="","",IFERROR(VLOOKUP(A226,BOOKINGS!$A:$Q,8,FALSE),BOOKINGS!B226))</f>
        <v/>
      </c>
      <c r="D226" s="38" t="str">
        <f>IF(A226="","",PROFITABILITY!B226)</f>
        <v/>
      </c>
      <c r="E226" s="38" t="str">
        <f>IF(A226="","",SETUP_RATES!$K$4)</f>
        <v/>
      </c>
      <c r="F226" s="38" t="str">
        <f t="shared" si="2"/>
        <v/>
      </c>
      <c r="G226" s="33" t="str">
        <f t="shared" si="3"/>
        <v/>
      </c>
      <c r="H226" s="39" t="str">
        <f>IF(C226="","",C226+IFERROR(VLOOKUP(VLOOKUP(A226,BOOKINGS!$A:$Q,3,FALSE),CLIENTS!$A:$H,6,FALSE),30))</f>
        <v/>
      </c>
      <c r="I226" s="33" t="str">
        <f>IF(A226="","",IFERROR(VLOOKUP(B226,COLLECTIONS!$A:$I,7,FALSE),"Unpaid"))</f>
        <v/>
      </c>
    </row>
    <row r="227" ht="15.75" customHeight="1">
      <c r="A227" s="33" t="str">
        <f>IF(PROFITABILITY!A227="","",PROFITABILITY!A227)</f>
        <v/>
      </c>
      <c r="B227" s="33" t="str">
        <f t="shared" si="1"/>
        <v/>
      </c>
      <c r="C227" s="39" t="str">
        <f>IF(A227="","",IFERROR(VLOOKUP(A227,BOOKINGS!$A:$Q,8,FALSE),BOOKINGS!B227))</f>
        <v/>
      </c>
      <c r="D227" s="38" t="str">
        <f>IF(A227="","",PROFITABILITY!B227)</f>
        <v/>
      </c>
      <c r="E227" s="38" t="str">
        <f>IF(A227="","",SETUP_RATES!$K$4)</f>
        <v/>
      </c>
      <c r="F227" s="38" t="str">
        <f t="shared" si="2"/>
        <v/>
      </c>
      <c r="G227" s="33" t="str">
        <f t="shared" si="3"/>
        <v/>
      </c>
      <c r="H227" s="39" t="str">
        <f>IF(C227="","",C227+IFERROR(VLOOKUP(VLOOKUP(A227,BOOKINGS!$A:$Q,3,FALSE),CLIENTS!$A:$H,6,FALSE),30))</f>
        <v/>
      </c>
      <c r="I227" s="33" t="str">
        <f>IF(A227="","",IFERROR(VLOOKUP(B227,COLLECTIONS!$A:$I,7,FALSE),"Unpaid"))</f>
        <v/>
      </c>
    </row>
    <row r="228" ht="15.75" customHeight="1">
      <c r="A228" s="33" t="str">
        <f>IF(PROFITABILITY!A228="","",PROFITABILITY!A228)</f>
        <v/>
      </c>
      <c r="B228" s="33" t="str">
        <f t="shared" si="1"/>
        <v/>
      </c>
      <c r="C228" s="39" t="str">
        <f>IF(A228="","",IFERROR(VLOOKUP(A228,BOOKINGS!$A:$Q,8,FALSE),BOOKINGS!B228))</f>
        <v/>
      </c>
      <c r="D228" s="38" t="str">
        <f>IF(A228="","",PROFITABILITY!B228)</f>
        <v/>
      </c>
      <c r="E228" s="38" t="str">
        <f>IF(A228="","",SETUP_RATES!$K$4)</f>
        <v/>
      </c>
      <c r="F228" s="38" t="str">
        <f t="shared" si="2"/>
        <v/>
      </c>
      <c r="G228" s="33" t="str">
        <f t="shared" si="3"/>
        <v/>
      </c>
      <c r="H228" s="39" t="str">
        <f>IF(C228="","",C228+IFERROR(VLOOKUP(VLOOKUP(A228,BOOKINGS!$A:$Q,3,FALSE),CLIENTS!$A:$H,6,FALSE),30))</f>
        <v/>
      </c>
      <c r="I228" s="33" t="str">
        <f>IF(A228="","",IFERROR(VLOOKUP(B228,COLLECTIONS!$A:$I,7,FALSE),"Unpaid"))</f>
        <v/>
      </c>
    </row>
    <row r="229" ht="15.75" customHeight="1">
      <c r="A229" s="33" t="str">
        <f>IF(PROFITABILITY!A229="","",PROFITABILITY!A229)</f>
        <v/>
      </c>
      <c r="B229" s="33" t="str">
        <f t="shared" si="1"/>
        <v/>
      </c>
      <c r="C229" s="39" t="str">
        <f>IF(A229="","",IFERROR(VLOOKUP(A229,BOOKINGS!$A:$Q,8,FALSE),BOOKINGS!B229))</f>
        <v/>
      </c>
      <c r="D229" s="38" t="str">
        <f>IF(A229="","",PROFITABILITY!B229)</f>
        <v/>
      </c>
      <c r="E229" s="38" t="str">
        <f>IF(A229="","",SETUP_RATES!$K$4)</f>
        <v/>
      </c>
      <c r="F229" s="38" t="str">
        <f t="shared" si="2"/>
        <v/>
      </c>
      <c r="G229" s="33" t="str">
        <f t="shared" si="3"/>
        <v/>
      </c>
      <c r="H229" s="39" t="str">
        <f>IF(C229="","",C229+IFERROR(VLOOKUP(VLOOKUP(A229,BOOKINGS!$A:$Q,3,FALSE),CLIENTS!$A:$H,6,FALSE),30))</f>
        <v/>
      </c>
      <c r="I229" s="33" t="str">
        <f>IF(A229="","",IFERROR(VLOOKUP(B229,COLLECTIONS!$A:$I,7,FALSE),"Unpaid"))</f>
        <v/>
      </c>
    </row>
    <row r="230" ht="15.75" customHeight="1">
      <c r="A230" s="33" t="str">
        <f>IF(PROFITABILITY!A230="","",PROFITABILITY!A230)</f>
        <v/>
      </c>
      <c r="B230" s="33" t="str">
        <f t="shared" si="1"/>
        <v/>
      </c>
      <c r="C230" s="39" t="str">
        <f>IF(A230="","",IFERROR(VLOOKUP(A230,BOOKINGS!$A:$Q,8,FALSE),BOOKINGS!B230))</f>
        <v/>
      </c>
      <c r="D230" s="38" t="str">
        <f>IF(A230="","",PROFITABILITY!B230)</f>
        <v/>
      </c>
      <c r="E230" s="38" t="str">
        <f>IF(A230="","",SETUP_RATES!$K$4)</f>
        <v/>
      </c>
      <c r="F230" s="38" t="str">
        <f t="shared" si="2"/>
        <v/>
      </c>
      <c r="G230" s="33" t="str">
        <f t="shared" si="3"/>
        <v/>
      </c>
      <c r="H230" s="39" t="str">
        <f>IF(C230="","",C230+IFERROR(VLOOKUP(VLOOKUP(A230,BOOKINGS!$A:$Q,3,FALSE),CLIENTS!$A:$H,6,FALSE),30))</f>
        <v/>
      </c>
      <c r="I230" s="33" t="str">
        <f>IF(A230="","",IFERROR(VLOOKUP(B230,COLLECTIONS!$A:$I,7,FALSE),"Unpaid"))</f>
        <v/>
      </c>
    </row>
    <row r="231" ht="15.75" customHeight="1">
      <c r="A231" s="33" t="str">
        <f>IF(PROFITABILITY!A231="","",PROFITABILITY!A231)</f>
        <v/>
      </c>
      <c r="B231" s="33" t="str">
        <f t="shared" si="1"/>
        <v/>
      </c>
      <c r="C231" s="39" t="str">
        <f>IF(A231="","",IFERROR(VLOOKUP(A231,BOOKINGS!$A:$Q,8,FALSE),BOOKINGS!B231))</f>
        <v/>
      </c>
      <c r="D231" s="38" t="str">
        <f>IF(A231="","",PROFITABILITY!B231)</f>
        <v/>
      </c>
      <c r="E231" s="38" t="str">
        <f>IF(A231="","",SETUP_RATES!$K$4)</f>
        <v/>
      </c>
      <c r="F231" s="38" t="str">
        <f t="shared" si="2"/>
        <v/>
      </c>
      <c r="G231" s="33" t="str">
        <f t="shared" si="3"/>
        <v/>
      </c>
      <c r="H231" s="39" t="str">
        <f>IF(C231="","",C231+IFERROR(VLOOKUP(VLOOKUP(A231,BOOKINGS!$A:$Q,3,FALSE),CLIENTS!$A:$H,6,FALSE),30))</f>
        <v/>
      </c>
      <c r="I231" s="33" t="str">
        <f>IF(A231="","",IFERROR(VLOOKUP(B231,COLLECTIONS!$A:$I,7,FALSE),"Unpaid"))</f>
        <v/>
      </c>
    </row>
    <row r="232" ht="15.75" customHeight="1">
      <c r="A232" s="33" t="str">
        <f>IF(PROFITABILITY!A232="","",PROFITABILITY!A232)</f>
        <v/>
      </c>
      <c r="B232" s="33" t="str">
        <f t="shared" si="1"/>
        <v/>
      </c>
      <c r="C232" s="39" t="str">
        <f>IF(A232="","",IFERROR(VLOOKUP(A232,BOOKINGS!$A:$Q,8,FALSE),BOOKINGS!B232))</f>
        <v/>
      </c>
      <c r="D232" s="38" t="str">
        <f>IF(A232="","",PROFITABILITY!B232)</f>
        <v/>
      </c>
      <c r="E232" s="38" t="str">
        <f>IF(A232="","",SETUP_RATES!$K$4)</f>
        <v/>
      </c>
      <c r="F232" s="38" t="str">
        <f t="shared" si="2"/>
        <v/>
      </c>
      <c r="G232" s="33" t="str">
        <f t="shared" si="3"/>
        <v/>
      </c>
      <c r="H232" s="39" t="str">
        <f>IF(C232="","",C232+IFERROR(VLOOKUP(VLOOKUP(A232,BOOKINGS!$A:$Q,3,FALSE),CLIENTS!$A:$H,6,FALSE),30))</f>
        <v/>
      </c>
      <c r="I232" s="33" t="str">
        <f>IF(A232="","",IFERROR(VLOOKUP(B232,COLLECTIONS!$A:$I,7,FALSE),"Unpaid"))</f>
        <v/>
      </c>
    </row>
    <row r="233" ht="15.75" customHeight="1">
      <c r="A233" s="33" t="str">
        <f>IF(PROFITABILITY!A233="","",PROFITABILITY!A233)</f>
        <v/>
      </c>
      <c r="B233" s="33" t="str">
        <f t="shared" si="1"/>
        <v/>
      </c>
      <c r="C233" s="39" t="str">
        <f>IF(A233="","",IFERROR(VLOOKUP(A233,BOOKINGS!$A:$Q,8,FALSE),BOOKINGS!B233))</f>
        <v/>
      </c>
      <c r="D233" s="38" t="str">
        <f>IF(A233="","",PROFITABILITY!B233)</f>
        <v/>
      </c>
      <c r="E233" s="38" t="str">
        <f>IF(A233="","",SETUP_RATES!$K$4)</f>
        <v/>
      </c>
      <c r="F233" s="38" t="str">
        <f t="shared" si="2"/>
        <v/>
      </c>
      <c r="G233" s="33" t="str">
        <f t="shared" si="3"/>
        <v/>
      </c>
      <c r="H233" s="39" t="str">
        <f>IF(C233="","",C233+IFERROR(VLOOKUP(VLOOKUP(A233,BOOKINGS!$A:$Q,3,FALSE),CLIENTS!$A:$H,6,FALSE),30))</f>
        <v/>
      </c>
      <c r="I233" s="33" t="str">
        <f>IF(A233="","",IFERROR(VLOOKUP(B233,COLLECTIONS!$A:$I,7,FALSE),"Unpaid"))</f>
        <v/>
      </c>
    </row>
    <row r="234" ht="15.75" customHeight="1">
      <c r="A234" s="33" t="str">
        <f>IF(PROFITABILITY!A234="","",PROFITABILITY!A234)</f>
        <v/>
      </c>
      <c r="B234" s="33" t="str">
        <f t="shared" si="1"/>
        <v/>
      </c>
      <c r="C234" s="39" t="str">
        <f>IF(A234="","",IFERROR(VLOOKUP(A234,BOOKINGS!$A:$Q,8,FALSE),BOOKINGS!B234))</f>
        <v/>
      </c>
      <c r="D234" s="38" t="str">
        <f>IF(A234="","",PROFITABILITY!B234)</f>
        <v/>
      </c>
      <c r="E234" s="38" t="str">
        <f>IF(A234="","",SETUP_RATES!$K$4)</f>
        <v/>
      </c>
      <c r="F234" s="38" t="str">
        <f t="shared" si="2"/>
        <v/>
      </c>
      <c r="G234" s="33" t="str">
        <f t="shared" si="3"/>
        <v/>
      </c>
      <c r="H234" s="39" t="str">
        <f>IF(C234="","",C234+IFERROR(VLOOKUP(VLOOKUP(A234,BOOKINGS!$A:$Q,3,FALSE),CLIENTS!$A:$H,6,FALSE),30))</f>
        <v/>
      </c>
      <c r="I234" s="33" t="str">
        <f>IF(A234="","",IFERROR(VLOOKUP(B234,COLLECTIONS!$A:$I,7,FALSE),"Unpaid"))</f>
        <v/>
      </c>
    </row>
    <row r="235" ht="15.75" customHeight="1">
      <c r="A235" s="33" t="str">
        <f>IF(PROFITABILITY!A235="","",PROFITABILITY!A235)</f>
        <v/>
      </c>
      <c r="B235" s="33" t="str">
        <f t="shared" si="1"/>
        <v/>
      </c>
      <c r="C235" s="39" t="str">
        <f>IF(A235="","",IFERROR(VLOOKUP(A235,BOOKINGS!$A:$Q,8,FALSE),BOOKINGS!B235))</f>
        <v/>
      </c>
      <c r="D235" s="38" t="str">
        <f>IF(A235="","",PROFITABILITY!B235)</f>
        <v/>
      </c>
      <c r="E235" s="38" t="str">
        <f>IF(A235="","",SETUP_RATES!$K$4)</f>
        <v/>
      </c>
      <c r="F235" s="38" t="str">
        <f t="shared" si="2"/>
        <v/>
      </c>
      <c r="G235" s="33" t="str">
        <f t="shared" si="3"/>
        <v/>
      </c>
      <c r="H235" s="39" t="str">
        <f>IF(C235="","",C235+IFERROR(VLOOKUP(VLOOKUP(A235,BOOKINGS!$A:$Q,3,FALSE),CLIENTS!$A:$H,6,FALSE),30))</f>
        <v/>
      </c>
      <c r="I235" s="33" t="str">
        <f>IF(A235="","",IFERROR(VLOOKUP(B235,COLLECTIONS!$A:$I,7,FALSE),"Unpaid"))</f>
        <v/>
      </c>
    </row>
    <row r="236" ht="15.75" customHeight="1">
      <c r="A236" s="33" t="str">
        <f>IF(PROFITABILITY!A236="","",PROFITABILITY!A236)</f>
        <v/>
      </c>
      <c r="B236" s="33" t="str">
        <f t="shared" si="1"/>
        <v/>
      </c>
      <c r="C236" s="39" t="str">
        <f>IF(A236="","",IFERROR(VLOOKUP(A236,BOOKINGS!$A:$Q,8,FALSE),BOOKINGS!B236))</f>
        <v/>
      </c>
      <c r="D236" s="38" t="str">
        <f>IF(A236="","",PROFITABILITY!B236)</f>
        <v/>
      </c>
      <c r="E236" s="38" t="str">
        <f>IF(A236="","",SETUP_RATES!$K$4)</f>
        <v/>
      </c>
      <c r="F236" s="38" t="str">
        <f t="shared" si="2"/>
        <v/>
      </c>
      <c r="G236" s="33" t="str">
        <f t="shared" si="3"/>
        <v/>
      </c>
      <c r="H236" s="39" t="str">
        <f>IF(C236="","",C236+IFERROR(VLOOKUP(VLOOKUP(A236,BOOKINGS!$A:$Q,3,FALSE),CLIENTS!$A:$H,6,FALSE),30))</f>
        <v/>
      </c>
      <c r="I236" s="33" t="str">
        <f>IF(A236="","",IFERROR(VLOOKUP(B236,COLLECTIONS!$A:$I,7,FALSE),"Unpaid"))</f>
        <v/>
      </c>
    </row>
    <row r="237" ht="15.75" customHeight="1">
      <c r="A237" s="33" t="str">
        <f>IF(PROFITABILITY!A237="","",PROFITABILITY!A237)</f>
        <v/>
      </c>
      <c r="B237" s="33" t="str">
        <f t="shared" si="1"/>
        <v/>
      </c>
      <c r="C237" s="39" t="str">
        <f>IF(A237="","",IFERROR(VLOOKUP(A237,BOOKINGS!$A:$Q,8,FALSE),BOOKINGS!B237))</f>
        <v/>
      </c>
      <c r="D237" s="38" t="str">
        <f>IF(A237="","",PROFITABILITY!B237)</f>
        <v/>
      </c>
      <c r="E237" s="38" t="str">
        <f>IF(A237="","",SETUP_RATES!$K$4)</f>
        <v/>
      </c>
      <c r="F237" s="38" t="str">
        <f t="shared" si="2"/>
        <v/>
      </c>
      <c r="G237" s="33" t="str">
        <f t="shared" si="3"/>
        <v/>
      </c>
      <c r="H237" s="39" t="str">
        <f>IF(C237="","",C237+IFERROR(VLOOKUP(VLOOKUP(A237,BOOKINGS!$A:$Q,3,FALSE),CLIENTS!$A:$H,6,FALSE),30))</f>
        <v/>
      </c>
      <c r="I237" s="33" t="str">
        <f>IF(A237="","",IFERROR(VLOOKUP(B237,COLLECTIONS!$A:$I,7,FALSE),"Unpaid"))</f>
        <v/>
      </c>
    </row>
    <row r="238" ht="15.75" customHeight="1">
      <c r="A238" s="33" t="str">
        <f>IF(PROFITABILITY!A238="","",PROFITABILITY!A238)</f>
        <v/>
      </c>
      <c r="B238" s="33" t="str">
        <f t="shared" si="1"/>
        <v/>
      </c>
      <c r="C238" s="39" t="str">
        <f>IF(A238="","",IFERROR(VLOOKUP(A238,BOOKINGS!$A:$Q,8,FALSE),BOOKINGS!B238))</f>
        <v/>
      </c>
      <c r="D238" s="38" t="str">
        <f>IF(A238="","",PROFITABILITY!B238)</f>
        <v/>
      </c>
      <c r="E238" s="38" t="str">
        <f>IF(A238="","",SETUP_RATES!$K$4)</f>
        <v/>
      </c>
      <c r="F238" s="38" t="str">
        <f t="shared" si="2"/>
        <v/>
      </c>
      <c r="G238" s="33" t="str">
        <f t="shared" si="3"/>
        <v/>
      </c>
      <c r="H238" s="39" t="str">
        <f>IF(C238="","",C238+IFERROR(VLOOKUP(VLOOKUP(A238,BOOKINGS!$A:$Q,3,FALSE),CLIENTS!$A:$H,6,FALSE),30))</f>
        <v/>
      </c>
      <c r="I238" s="33" t="str">
        <f>IF(A238="","",IFERROR(VLOOKUP(B238,COLLECTIONS!$A:$I,7,FALSE),"Unpaid"))</f>
        <v/>
      </c>
    </row>
    <row r="239" ht="15.75" customHeight="1">
      <c r="A239" s="33" t="str">
        <f>IF(PROFITABILITY!A239="","",PROFITABILITY!A239)</f>
        <v/>
      </c>
      <c r="B239" s="33" t="str">
        <f t="shared" si="1"/>
        <v/>
      </c>
      <c r="C239" s="39" t="str">
        <f>IF(A239="","",IFERROR(VLOOKUP(A239,BOOKINGS!$A:$Q,8,FALSE),BOOKINGS!B239))</f>
        <v/>
      </c>
      <c r="D239" s="38" t="str">
        <f>IF(A239="","",PROFITABILITY!B239)</f>
        <v/>
      </c>
      <c r="E239" s="38" t="str">
        <f>IF(A239="","",SETUP_RATES!$K$4)</f>
        <v/>
      </c>
      <c r="F239" s="38" t="str">
        <f t="shared" si="2"/>
        <v/>
      </c>
      <c r="G239" s="33" t="str">
        <f t="shared" si="3"/>
        <v/>
      </c>
      <c r="H239" s="39" t="str">
        <f>IF(C239="","",C239+IFERROR(VLOOKUP(VLOOKUP(A239,BOOKINGS!$A:$Q,3,FALSE),CLIENTS!$A:$H,6,FALSE),30))</f>
        <v/>
      </c>
      <c r="I239" s="33" t="str">
        <f>IF(A239="","",IFERROR(VLOOKUP(B239,COLLECTIONS!$A:$I,7,FALSE),"Unpaid"))</f>
        <v/>
      </c>
    </row>
    <row r="240" ht="15.75" customHeight="1">
      <c r="A240" s="33" t="str">
        <f>IF(PROFITABILITY!A240="","",PROFITABILITY!A240)</f>
        <v/>
      </c>
      <c r="B240" s="33" t="str">
        <f t="shared" si="1"/>
        <v/>
      </c>
      <c r="C240" s="39" t="str">
        <f>IF(A240="","",IFERROR(VLOOKUP(A240,BOOKINGS!$A:$Q,8,FALSE),BOOKINGS!B240))</f>
        <v/>
      </c>
      <c r="D240" s="38" t="str">
        <f>IF(A240="","",PROFITABILITY!B240)</f>
        <v/>
      </c>
      <c r="E240" s="38" t="str">
        <f>IF(A240="","",SETUP_RATES!$K$4)</f>
        <v/>
      </c>
      <c r="F240" s="38" t="str">
        <f t="shared" si="2"/>
        <v/>
      </c>
      <c r="G240" s="33" t="str">
        <f t="shared" si="3"/>
        <v/>
      </c>
      <c r="H240" s="39" t="str">
        <f>IF(C240="","",C240+IFERROR(VLOOKUP(VLOOKUP(A240,BOOKINGS!$A:$Q,3,FALSE),CLIENTS!$A:$H,6,FALSE),30))</f>
        <v/>
      </c>
      <c r="I240" s="33" t="str">
        <f>IF(A240="","",IFERROR(VLOOKUP(B240,COLLECTIONS!$A:$I,7,FALSE),"Unpaid"))</f>
        <v/>
      </c>
    </row>
    <row r="241" ht="15.75" customHeight="1">
      <c r="A241" s="33" t="str">
        <f>IF(PROFITABILITY!A241="","",PROFITABILITY!A241)</f>
        <v/>
      </c>
      <c r="B241" s="33" t="str">
        <f t="shared" si="1"/>
        <v/>
      </c>
      <c r="C241" s="39" t="str">
        <f>IF(A241="","",IFERROR(VLOOKUP(A241,BOOKINGS!$A:$Q,8,FALSE),BOOKINGS!B241))</f>
        <v/>
      </c>
      <c r="D241" s="38" t="str">
        <f>IF(A241="","",PROFITABILITY!B241)</f>
        <v/>
      </c>
      <c r="E241" s="38" t="str">
        <f>IF(A241="","",SETUP_RATES!$K$4)</f>
        <v/>
      </c>
      <c r="F241" s="38" t="str">
        <f t="shared" si="2"/>
        <v/>
      </c>
      <c r="G241" s="33" t="str">
        <f t="shared" si="3"/>
        <v/>
      </c>
      <c r="H241" s="39" t="str">
        <f>IF(C241="","",C241+IFERROR(VLOOKUP(VLOOKUP(A241,BOOKINGS!$A:$Q,3,FALSE),CLIENTS!$A:$H,6,FALSE),30))</f>
        <v/>
      </c>
      <c r="I241" s="33" t="str">
        <f>IF(A241="","",IFERROR(VLOOKUP(B241,COLLECTIONS!$A:$I,7,FALSE),"Unpaid"))</f>
        <v/>
      </c>
    </row>
    <row r="242" ht="15.75" customHeight="1">
      <c r="A242" s="33" t="str">
        <f>IF(PROFITABILITY!A242="","",PROFITABILITY!A242)</f>
        <v/>
      </c>
      <c r="B242" s="33" t="str">
        <f t="shared" si="1"/>
        <v/>
      </c>
      <c r="C242" s="39" t="str">
        <f>IF(A242="","",IFERROR(VLOOKUP(A242,BOOKINGS!$A:$Q,8,FALSE),BOOKINGS!B242))</f>
        <v/>
      </c>
      <c r="D242" s="38" t="str">
        <f>IF(A242="","",PROFITABILITY!B242)</f>
        <v/>
      </c>
      <c r="E242" s="38" t="str">
        <f>IF(A242="","",SETUP_RATES!$K$4)</f>
        <v/>
      </c>
      <c r="F242" s="38" t="str">
        <f t="shared" si="2"/>
        <v/>
      </c>
      <c r="G242" s="33" t="str">
        <f t="shared" si="3"/>
        <v/>
      </c>
      <c r="H242" s="39" t="str">
        <f>IF(C242="","",C242+IFERROR(VLOOKUP(VLOOKUP(A242,BOOKINGS!$A:$Q,3,FALSE),CLIENTS!$A:$H,6,FALSE),30))</f>
        <v/>
      </c>
      <c r="I242" s="33" t="str">
        <f>IF(A242="","",IFERROR(VLOOKUP(B242,COLLECTIONS!$A:$I,7,FALSE),"Unpaid"))</f>
        <v/>
      </c>
    </row>
    <row r="243" ht="15.75" customHeight="1">
      <c r="A243" s="33" t="str">
        <f>IF(PROFITABILITY!A243="","",PROFITABILITY!A243)</f>
        <v/>
      </c>
      <c r="B243" s="33" t="str">
        <f t="shared" si="1"/>
        <v/>
      </c>
      <c r="C243" s="39" t="str">
        <f>IF(A243="","",IFERROR(VLOOKUP(A243,BOOKINGS!$A:$Q,8,FALSE),BOOKINGS!B243))</f>
        <v/>
      </c>
      <c r="D243" s="38" t="str">
        <f>IF(A243="","",PROFITABILITY!B243)</f>
        <v/>
      </c>
      <c r="E243" s="38" t="str">
        <f>IF(A243="","",SETUP_RATES!$K$4)</f>
        <v/>
      </c>
      <c r="F243" s="38" t="str">
        <f t="shared" si="2"/>
        <v/>
      </c>
      <c r="G243" s="33" t="str">
        <f t="shared" si="3"/>
        <v/>
      </c>
      <c r="H243" s="39" t="str">
        <f>IF(C243="","",C243+IFERROR(VLOOKUP(VLOOKUP(A243,BOOKINGS!$A:$Q,3,FALSE),CLIENTS!$A:$H,6,FALSE),30))</f>
        <v/>
      </c>
      <c r="I243" s="33" t="str">
        <f>IF(A243="","",IFERROR(VLOOKUP(B243,COLLECTIONS!$A:$I,7,FALSE),"Unpaid"))</f>
        <v/>
      </c>
    </row>
    <row r="244" ht="15.75" customHeight="1">
      <c r="A244" s="33" t="str">
        <f>IF(PROFITABILITY!A244="","",PROFITABILITY!A244)</f>
        <v/>
      </c>
      <c r="B244" s="33" t="str">
        <f t="shared" si="1"/>
        <v/>
      </c>
      <c r="C244" s="39" t="str">
        <f>IF(A244="","",IFERROR(VLOOKUP(A244,BOOKINGS!$A:$Q,8,FALSE),BOOKINGS!B244))</f>
        <v/>
      </c>
      <c r="D244" s="38" t="str">
        <f>IF(A244="","",PROFITABILITY!B244)</f>
        <v/>
      </c>
      <c r="E244" s="38" t="str">
        <f>IF(A244="","",SETUP_RATES!$K$4)</f>
        <v/>
      </c>
      <c r="F244" s="38" t="str">
        <f t="shared" si="2"/>
        <v/>
      </c>
      <c r="G244" s="33" t="str">
        <f t="shared" si="3"/>
        <v/>
      </c>
      <c r="H244" s="39" t="str">
        <f>IF(C244="","",C244+IFERROR(VLOOKUP(VLOOKUP(A244,BOOKINGS!$A:$Q,3,FALSE),CLIENTS!$A:$H,6,FALSE),30))</f>
        <v/>
      </c>
      <c r="I244" s="33" t="str">
        <f>IF(A244="","",IFERROR(VLOOKUP(B244,COLLECTIONS!$A:$I,7,FALSE),"Unpaid"))</f>
        <v/>
      </c>
    </row>
    <row r="245" ht="15.75" customHeight="1">
      <c r="A245" s="33" t="str">
        <f>IF(PROFITABILITY!A245="","",PROFITABILITY!A245)</f>
        <v/>
      </c>
      <c r="B245" s="33" t="str">
        <f t="shared" si="1"/>
        <v/>
      </c>
      <c r="C245" s="39" t="str">
        <f>IF(A245="","",IFERROR(VLOOKUP(A245,BOOKINGS!$A:$Q,8,FALSE),BOOKINGS!B245))</f>
        <v/>
      </c>
      <c r="D245" s="38" t="str">
        <f>IF(A245="","",PROFITABILITY!B245)</f>
        <v/>
      </c>
      <c r="E245" s="38" t="str">
        <f>IF(A245="","",SETUP_RATES!$K$4)</f>
        <v/>
      </c>
      <c r="F245" s="38" t="str">
        <f t="shared" si="2"/>
        <v/>
      </c>
      <c r="G245" s="33" t="str">
        <f t="shared" si="3"/>
        <v/>
      </c>
      <c r="H245" s="39" t="str">
        <f>IF(C245="","",C245+IFERROR(VLOOKUP(VLOOKUP(A245,BOOKINGS!$A:$Q,3,FALSE),CLIENTS!$A:$H,6,FALSE),30))</f>
        <v/>
      </c>
      <c r="I245" s="33" t="str">
        <f>IF(A245="","",IFERROR(VLOOKUP(B245,COLLECTIONS!$A:$I,7,FALSE),"Unpaid"))</f>
        <v/>
      </c>
    </row>
    <row r="246" ht="15.75" customHeight="1">
      <c r="A246" s="33" t="str">
        <f>IF(PROFITABILITY!A246="","",PROFITABILITY!A246)</f>
        <v/>
      </c>
      <c r="B246" s="33" t="str">
        <f t="shared" si="1"/>
        <v/>
      </c>
      <c r="C246" s="39" t="str">
        <f>IF(A246="","",IFERROR(VLOOKUP(A246,BOOKINGS!$A:$Q,8,FALSE),BOOKINGS!B246))</f>
        <v/>
      </c>
      <c r="D246" s="38" t="str">
        <f>IF(A246="","",PROFITABILITY!B246)</f>
        <v/>
      </c>
      <c r="E246" s="38" t="str">
        <f>IF(A246="","",SETUP_RATES!$K$4)</f>
        <v/>
      </c>
      <c r="F246" s="38" t="str">
        <f t="shared" si="2"/>
        <v/>
      </c>
      <c r="G246" s="33" t="str">
        <f t="shared" si="3"/>
        <v/>
      </c>
      <c r="H246" s="39" t="str">
        <f>IF(C246="","",C246+IFERROR(VLOOKUP(VLOOKUP(A246,BOOKINGS!$A:$Q,3,FALSE),CLIENTS!$A:$H,6,FALSE),30))</f>
        <v/>
      </c>
      <c r="I246" s="33" t="str">
        <f>IF(A246="","",IFERROR(VLOOKUP(B246,COLLECTIONS!$A:$I,7,FALSE),"Unpaid"))</f>
        <v/>
      </c>
    </row>
    <row r="247" ht="15.75" customHeight="1">
      <c r="A247" s="33" t="str">
        <f>IF(PROFITABILITY!A247="","",PROFITABILITY!A247)</f>
        <v/>
      </c>
      <c r="B247" s="33" t="str">
        <f t="shared" si="1"/>
        <v/>
      </c>
      <c r="C247" s="39" t="str">
        <f>IF(A247="","",IFERROR(VLOOKUP(A247,BOOKINGS!$A:$Q,8,FALSE),BOOKINGS!B247))</f>
        <v/>
      </c>
      <c r="D247" s="38" t="str">
        <f>IF(A247="","",PROFITABILITY!B247)</f>
        <v/>
      </c>
      <c r="E247" s="38" t="str">
        <f>IF(A247="","",SETUP_RATES!$K$4)</f>
        <v/>
      </c>
      <c r="F247" s="38" t="str">
        <f t="shared" si="2"/>
        <v/>
      </c>
      <c r="G247" s="33" t="str">
        <f t="shared" si="3"/>
        <v/>
      </c>
      <c r="H247" s="39" t="str">
        <f>IF(C247="","",C247+IFERROR(VLOOKUP(VLOOKUP(A247,BOOKINGS!$A:$Q,3,FALSE),CLIENTS!$A:$H,6,FALSE),30))</f>
        <v/>
      </c>
      <c r="I247" s="33" t="str">
        <f>IF(A247="","",IFERROR(VLOOKUP(B247,COLLECTIONS!$A:$I,7,FALSE),"Unpaid"))</f>
        <v/>
      </c>
    </row>
    <row r="248" ht="15.75" customHeight="1">
      <c r="A248" s="33" t="str">
        <f>IF(PROFITABILITY!A248="","",PROFITABILITY!A248)</f>
        <v/>
      </c>
      <c r="B248" s="33" t="str">
        <f t="shared" si="1"/>
        <v/>
      </c>
      <c r="C248" s="39" t="str">
        <f>IF(A248="","",IFERROR(VLOOKUP(A248,BOOKINGS!$A:$Q,8,FALSE),BOOKINGS!B248))</f>
        <v/>
      </c>
      <c r="D248" s="38" t="str">
        <f>IF(A248="","",PROFITABILITY!B248)</f>
        <v/>
      </c>
      <c r="E248" s="38" t="str">
        <f>IF(A248="","",SETUP_RATES!$K$4)</f>
        <v/>
      </c>
      <c r="F248" s="38" t="str">
        <f t="shared" si="2"/>
        <v/>
      </c>
      <c r="G248" s="33" t="str">
        <f t="shared" si="3"/>
        <v/>
      </c>
      <c r="H248" s="39" t="str">
        <f>IF(C248="","",C248+IFERROR(VLOOKUP(VLOOKUP(A248,BOOKINGS!$A:$Q,3,FALSE),CLIENTS!$A:$H,6,FALSE),30))</f>
        <v/>
      </c>
      <c r="I248" s="33" t="str">
        <f>IF(A248="","",IFERROR(VLOOKUP(B248,COLLECTIONS!$A:$I,7,FALSE),"Unpaid"))</f>
        <v/>
      </c>
    </row>
    <row r="249" ht="15.75" customHeight="1">
      <c r="A249" s="33" t="str">
        <f>IF(PROFITABILITY!A249="","",PROFITABILITY!A249)</f>
        <v/>
      </c>
      <c r="B249" s="33" t="str">
        <f t="shared" si="1"/>
        <v/>
      </c>
      <c r="C249" s="39" t="str">
        <f>IF(A249="","",IFERROR(VLOOKUP(A249,BOOKINGS!$A:$Q,8,FALSE),BOOKINGS!B249))</f>
        <v/>
      </c>
      <c r="D249" s="38" t="str">
        <f>IF(A249="","",PROFITABILITY!B249)</f>
        <v/>
      </c>
      <c r="E249" s="38" t="str">
        <f>IF(A249="","",SETUP_RATES!$K$4)</f>
        <v/>
      </c>
      <c r="F249" s="38" t="str">
        <f t="shared" si="2"/>
        <v/>
      </c>
      <c r="G249" s="33" t="str">
        <f t="shared" si="3"/>
        <v/>
      </c>
      <c r="H249" s="39" t="str">
        <f>IF(C249="","",C249+IFERROR(VLOOKUP(VLOOKUP(A249,BOOKINGS!$A:$Q,3,FALSE),CLIENTS!$A:$H,6,FALSE),30))</f>
        <v/>
      </c>
      <c r="I249" s="33" t="str">
        <f>IF(A249="","",IFERROR(VLOOKUP(B249,COLLECTIONS!$A:$I,7,FALSE),"Unpaid"))</f>
        <v/>
      </c>
    </row>
    <row r="250" ht="15.75" customHeight="1">
      <c r="A250" s="33" t="str">
        <f>IF(PROFITABILITY!A250="","",PROFITABILITY!A250)</f>
        <v/>
      </c>
      <c r="B250" s="33" t="str">
        <f t="shared" si="1"/>
        <v/>
      </c>
      <c r="C250" s="39" t="str">
        <f>IF(A250="","",IFERROR(VLOOKUP(A250,BOOKINGS!$A:$Q,8,FALSE),BOOKINGS!B250))</f>
        <v/>
      </c>
      <c r="D250" s="38" t="str">
        <f>IF(A250="","",PROFITABILITY!B250)</f>
        <v/>
      </c>
      <c r="E250" s="38" t="str">
        <f>IF(A250="","",SETUP_RATES!$K$4)</f>
        <v/>
      </c>
      <c r="F250" s="38" t="str">
        <f t="shared" si="2"/>
        <v/>
      </c>
      <c r="G250" s="33" t="str">
        <f t="shared" si="3"/>
        <v/>
      </c>
      <c r="H250" s="39" t="str">
        <f>IF(C250="","",C250+IFERROR(VLOOKUP(VLOOKUP(A250,BOOKINGS!$A:$Q,3,FALSE),CLIENTS!$A:$H,6,FALSE),30))</f>
        <v/>
      </c>
      <c r="I250" s="33" t="str">
        <f>IF(A250="","",IFERROR(VLOOKUP(B250,COLLECTIONS!$A:$I,7,FALSE),"Unpaid"))</f>
        <v/>
      </c>
    </row>
    <row r="251" ht="15.75" customHeight="1">
      <c r="A251" s="33" t="str">
        <f>IF(PROFITABILITY!A251="","",PROFITABILITY!A251)</f>
        <v/>
      </c>
      <c r="B251" s="33" t="str">
        <f t="shared" si="1"/>
        <v/>
      </c>
      <c r="C251" s="39" t="str">
        <f>IF(A251="","",IFERROR(VLOOKUP(A251,BOOKINGS!$A:$Q,8,FALSE),BOOKINGS!B251))</f>
        <v/>
      </c>
      <c r="D251" s="38" t="str">
        <f>IF(A251="","",PROFITABILITY!B251)</f>
        <v/>
      </c>
      <c r="E251" s="38" t="str">
        <f>IF(A251="","",SETUP_RATES!$K$4)</f>
        <v/>
      </c>
      <c r="F251" s="38" t="str">
        <f t="shared" si="2"/>
        <v/>
      </c>
      <c r="G251" s="33" t="str">
        <f t="shared" si="3"/>
        <v/>
      </c>
      <c r="H251" s="39" t="str">
        <f>IF(C251="","",C251+IFERROR(VLOOKUP(VLOOKUP(A251,BOOKINGS!$A:$Q,3,FALSE),CLIENTS!$A:$H,6,FALSE),30))</f>
        <v/>
      </c>
      <c r="I251" s="33" t="str">
        <f>IF(A251="","",IFERROR(VLOOKUP(B251,COLLECTIONS!$A:$I,7,FALSE),"Unpaid"))</f>
        <v/>
      </c>
    </row>
    <row r="252" ht="15.75" customHeight="1">
      <c r="A252" s="33" t="str">
        <f>IF(PROFITABILITY!A252="","",PROFITABILITY!A252)</f>
        <v/>
      </c>
      <c r="B252" s="33" t="str">
        <f t="shared" si="1"/>
        <v/>
      </c>
      <c r="C252" s="39" t="str">
        <f>IF(A252="","",IFERROR(VLOOKUP(A252,BOOKINGS!$A:$Q,8,FALSE),BOOKINGS!B252))</f>
        <v/>
      </c>
      <c r="D252" s="38" t="str">
        <f>IF(A252="","",PROFITABILITY!B252)</f>
        <v/>
      </c>
      <c r="E252" s="38" t="str">
        <f>IF(A252="","",SETUP_RATES!$K$4)</f>
        <v/>
      </c>
      <c r="F252" s="38" t="str">
        <f t="shared" si="2"/>
        <v/>
      </c>
      <c r="G252" s="33" t="str">
        <f t="shared" si="3"/>
        <v/>
      </c>
      <c r="H252" s="39" t="str">
        <f>IF(C252="","",C252+IFERROR(VLOOKUP(VLOOKUP(A252,BOOKINGS!$A:$Q,3,FALSE),CLIENTS!$A:$H,6,FALSE),30))</f>
        <v/>
      </c>
      <c r="I252" s="33" t="str">
        <f>IF(A252="","",IFERROR(VLOOKUP(B252,COLLECTIONS!$A:$I,7,FALSE),"Unpaid"))</f>
        <v/>
      </c>
    </row>
    <row r="253" ht="15.75" customHeight="1">
      <c r="A253" s="33" t="str">
        <f>IF(PROFITABILITY!A253="","",PROFITABILITY!A253)</f>
        <v/>
      </c>
      <c r="B253" s="33" t="str">
        <f t="shared" si="1"/>
        <v/>
      </c>
      <c r="C253" s="39" t="str">
        <f>IF(A253="","",IFERROR(VLOOKUP(A253,BOOKINGS!$A:$Q,8,FALSE),BOOKINGS!B253))</f>
        <v/>
      </c>
      <c r="D253" s="38" t="str">
        <f>IF(A253="","",PROFITABILITY!B253)</f>
        <v/>
      </c>
      <c r="E253" s="38" t="str">
        <f>IF(A253="","",SETUP_RATES!$K$4)</f>
        <v/>
      </c>
      <c r="F253" s="38" t="str">
        <f t="shared" si="2"/>
        <v/>
      </c>
      <c r="G253" s="33" t="str">
        <f t="shared" si="3"/>
        <v/>
      </c>
      <c r="H253" s="39" t="str">
        <f>IF(C253="","",C253+IFERROR(VLOOKUP(VLOOKUP(A253,BOOKINGS!$A:$Q,3,FALSE),CLIENTS!$A:$H,6,FALSE),30))</f>
        <v/>
      </c>
      <c r="I253" s="33" t="str">
        <f>IF(A253="","",IFERROR(VLOOKUP(B253,COLLECTIONS!$A:$I,7,FALSE),"Unpaid"))</f>
        <v/>
      </c>
    </row>
    <row r="254" ht="15.75" customHeight="1">
      <c r="A254" s="33" t="str">
        <f>IF(PROFITABILITY!A254="","",PROFITABILITY!A254)</f>
        <v/>
      </c>
      <c r="B254" s="33" t="str">
        <f t="shared" si="1"/>
        <v/>
      </c>
      <c r="C254" s="39" t="str">
        <f>IF(A254="","",IFERROR(VLOOKUP(A254,BOOKINGS!$A:$Q,8,FALSE),BOOKINGS!B254))</f>
        <v/>
      </c>
      <c r="D254" s="38" t="str">
        <f>IF(A254="","",PROFITABILITY!B254)</f>
        <v/>
      </c>
      <c r="E254" s="38" t="str">
        <f>IF(A254="","",SETUP_RATES!$K$4)</f>
        <v/>
      </c>
      <c r="F254" s="38" t="str">
        <f t="shared" si="2"/>
        <v/>
      </c>
      <c r="G254" s="33" t="str">
        <f t="shared" si="3"/>
        <v/>
      </c>
      <c r="H254" s="39" t="str">
        <f>IF(C254="","",C254+IFERROR(VLOOKUP(VLOOKUP(A254,BOOKINGS!$A:$Q,3,FALSE),CLIENTS!$A:$H,6,FALSE),30))</f>
        <v/>
      </c>
      <c r="I254" s="33" t="str">
        <f>IF(A254="","",IFERROR(VLOOKUP(B254,COLLECTIONS!$A:$I,7,FALSE),"Unpaid"))</f>
        <v/>
      </c>
    </row>
    <row r="255" ht="15.75" customHeight="1">
      <c r="A255" s="33" t="str">
        <f>IF(PROFITABILITY!A255="","",PROFITABILITY!A255)</f>
        <v/>
      </c>
      <c r="B255" s="33" t="str">
        <f t="shared" si="1"/>
        <v/>
      </c>
      <c r="C255" s="39" t="str">
        <f>IF(A255="","",IFERROR(VLOOKUP(A255,BOOKINGS!$A:$Q,8,FALSE),BOOKINGS!B255))</f>
        <v/>
      </c>
      <c r="D255" s="38" t="str">
        <f>IF(A255="","",PROFITABILITY!B255)</f>
        <v/>
      </c>
      <c r="E255" s="38" t="str">
        <f>IF(A255="","",SETUP_RATES!$K$4)</f>
        <v/>
      </c>
      <c r="F255" s="38" t="str">
        <f t="shared" si="2"/>
        <v/>
      </c>
      <c r="G255" s="33" t="str">
        <f t="shared" si="3"/>
        <v/>
      </c>
      <c r="H255" s="39" t="str">
        <f>IF(C255="","",C255+IFERROR(VLOOKUP(VLOOKUP(A255,BOOKINGS!$A:$Q,3,FALSE),CLIENTS!$A:$H,6,FALSE),30))</f>
        <v/>
      </c>
      <c r="I255" s="33" t="str">
        <f>IF(A255="","",IFERROR(VLOOKUP(B255,COLLECTIONS!$A:$I,7,FALSE),"Unpaid"))</f>
        <v/>
      </c>
    </row>
    <row r="256" ht="15.75" customHeight="1">
      <c r="A256" s="33" t="str">
        <f>IF(PROFITABILITY!A256="","",PROFITABILITY!A256)</f>
        <v/>
      </c>
      <c r="B256" s="33" t="str">
        <f t="shared" si="1"/>
        <v/>
      </c>
      <c r="C256" s="39" t="str">
        <f>IF(A256="","",IFERROR(VLOOKUP(A256,BOOKINGS!$A:$Q,8,FALSE),BOOKINGS!B256))</f>
        <v/>
      </c>
      <c r="D256" s="38" t="str">
        <f>IF(A256="","",PROFITABILITY!B256)</f>
        <v/>
      </c>
      <c r="E256" s="38" t="str">
        <f>IF(A256="","",SETUP_RATES!$K$4)</f>
        <v/>
      </c>
      <c r="F256" s="38" t="str">
        <f t="shared" si="2"/>
        <v/>
      </c>
      <c r="G256" s="33" t="str">
        <f t="shared" si="3"/>
        <v/>
      </c>
      <c r="H256" s="39" t="str">
        <f>IF(C256="","",C256+IFERROR(VLOOKUP(VLOOKUP(A256,BOOKINGS!$A:$Q,3,FALSE),CLIENTS!$A:$H,6,FALSE),30))</f>
        <v/>
      </c>
      <c r="I256" s="33" t="str">
        <f>IF(A256="","",IFERROR(VLOOKUP(B256,COLLECTIONS!$A:$I,7,FALSE),"Unpaid"))</f>
        <v/>
      </c>
    </row>
    <row r="257" ht="15.75" customHeight="1">
      <c r="A257" s="33" t="str">
        <f>IF(PROFITABILITY!A257="","",PROFITABILITY!A257)</f>
        <v/>
      </c>
      <c r="B257" s="33" t="str">
        <f t="shared" si="1"/>
        <v/>
      </c>
      <c r="C257" s="39" t="str">
        <f>IF(A257="","",IFERROR(VLOOKUP(A257,BOOKINGS!$A:$Q,8,FALSE),BOOKINGS!B257))</f>
        <v/>
      </c>
      <c r="D257" s="38" t="str">
        <f>IF(A257="","",PROFITABILITY!B257)</f>
        <v/>
      </c>
      <c r="E257" s="38" t="str">
        <f>IF(A257="","",SETUP_RATES!$K$4)</f>
        <v/>
      </c>
      <c r="F257" s="38" t="str">
        <f t="shared" si="2"/>
        <v/>
      </c>
      <c r="G257" s="33" t="str">
        <f t="shared" si="3"/>
        <v/>
      </c>
      <c r="H257" s="39" t="str">
        <f>IF(C257="","",C257+IFERROR(VLOOKUP(VLOOKUP(A257,BOOKINGS!$A:$Q,3,FALSE),CLIENTS!$A:$H,6,FALSE),30))</f>
        <v/>
      </c>
      <c r="I257" s="33" t="str">
        <f>IF(A257="","",IFERROR(VLOOKUP(B257,COLLECTIONS!$A:$I,7,FALSE),"Unpaid"))</f>
        <v/>
      </c>
    </row>
    <row r="258" ht="15.75" customHeight="1">
      <c r="A258" s="33" t="str">
        <f>IF(PROFITABILITY!A258="","",PROFITABILITY!A258)</f>
        <v/>
      </c>
      <c r="B258" s="33" t="str">
        <f t="shared" si="1"/>
        <v/>
      </c>
      <c r="C258" s="39" t="str">
        <f>IF(A258="","",IFERROR(VLOOKUP(A258,BOOKINGS!$A:$Q,8,FALSE),BOOKINGS!B258))</f>
        <v/>
      </c>
      <c r="D258" s="38" t="str">
        <f>IF(A258="","",PROFITABILITY!B258)</f>
        <v/>
      </c>
      <c r="E258" s="38" t="str">
        <f>IF(A258="","",SETUP_RATES!$K$4)</f>
        <v/>
      </c>
      <c r="F258" s="38" t="str">
        <f t="shared" si="2"/>
        <v/>
      </c>
      <c r="G258" s="33" t="str">
        <f t="shared" si="3"/>
        <v/>
      </c>
      <c r="H258" s="39" t="str">
        <f>IF(C258="","",C258+IFERROR(VLOOKUP(VLOOKUP(A258,BOOKINGS!$A:$Q,3,FALSE),CLIENTS!$A:$H,6,FALSE),30))</f>
        <v/>
      </c>
      <c r="I258" s="33" t="str">
        <f>IF(A258="","",IFERROR(VLOOKUP(B258,COLLECTIONS!$A:$I,7,FALSE),"Unpaid"))</f>
        <v/>
      </c>
    </row>
    <row r="259" ht="15.75" customHeight="1">
      <c r="A259" s="33" t="str">
        <f>IF(PROFITABILITY!A259="","",PROFITABILITY!A259)</f>
        <v/>
      </c>
      <c r="B259" s="33" t="str">
        <f t="shared" si="1"/>
        <v/>
      </c>
      <c r="C259" s="39" t="str">
        <f>IF(A259="","",IFERROR(VLOOKUP(A259,BOOKINGS!$A:$Q,8,FALSE),BOOKINGS!B259))</f>
        <v/>
      </c>
      <c r="D259" s="38" t="str">
        <f>IF(A259="","",PROFITABILITY!B259)</f>
        <v/>
      </c>
      <c r="E259" s="38" t="str">
        <f>IF(A259="","",SETUP_RATES!$K$4)</f>
        <v/>
      </c>
      <c r="F259" s="38" t="str">
        <f t="shared" si="2"/>
        <v/>
      </c>
      <c r="G259" s="33" t="str">
        <f t="shared" si="3"/>
        <v/>
      </c>
      <c r="H259" s="39" t="str">
        <f>IF(C259="","",C259+IFERROR(VLOOKUP(VLOOKUP(A259,BOOKINGS!$A:$Q,3,FALSE),CLIENTS!$A:$H,6,FALSE),30))</f>
        <v/>
      </c>
      <c r="I259" s="33" t="str">
        <f>IF(A259="","",IFERROR(VLOOKUP(B259,COLLECTIONS!$A:$I,7,FALSE),"Unpaid"))</f>
        <v/>
      </c>
    </row>
    <row r="260" ht="15.75" customHeight="1">
      <c r="A260" s="33" t="str">
        <f>IF(PROFITABILITY!A260="","",PROFITABILITY!A260)</f>
        <v/>
      </c>
      <c r="B260" s="33" t="str">
        <f t="shared" si="1"/>
        <v/>
      </c>
      <c r="C260" s="39" t="str">
        <f>IF(A260="","",IFERROR(VLOOKUP(A260,BOOKINGS!$A:$Q,8,FALSE),BOOKINGS!B260))</f>
        <v/>
      </c>
      <c r="D260" s="38" t="str">
        <f>IF(A260="","",PROFITABILITY!B260)</f>
        <v/>
      </c>
      <c r="E260" s="38" t="str">
        <f>IF(A260="","",SETUP_RATES!$K$4)</f>
        <v/>
      </c>
      <c r="F260" s="38" t="str">
        <f t="shared" si="2"/>
        <v/>
      </c>
      <c r="G260" s="33" t="str">
        <f t="shared" si="3"/>
        <v/>
      </c>
      <c r="H260" s="39" t="str">
        <f>IF(C260="","",C260+IFERROR(VLOOKUP(VLOOKUP(A260,BOOKINGS!$A:$Q,3,FALSE),CLIENTS!$A:$H,6,FALSE),30))</f>
        <v/>
      </c>
      <c r="I260" s="33" t="str">
        <f>IF(A260="","",IFERROR(VLOOKUP(B260,COLLECTIONS!$A:$I,7,FALSE),"Unpaid"))</f>
        <v/>
      </c>
    </row>
    <row r="261" ht="15.75" customHeight="1">
      <c r="A261" s="33" t="str">
        <f>IF(PROFITABILITY!A261="","",PROFITABILITY!A261)</f>
        <v/>
      </c>
      <c r="B261" s="33" t="str">
        <f t="shared" si="1"/>
        <v/>
      </c>
      <c r="C261" s="39" t="str">
        <f>IF(A261="","",IFERROR(VLOOKUP(A261,BOOKINGS!$A:$Q,8,FALSE),BOOKINGS!B261))</f>
        <v/>
      </c>
      <c r="D261" s="38" t="str">
        <f>IF(A261="","",PROFITABILITY!B261)</f>
        <v/>
      </c>
      <c r="E261" s="38" t="str">
        <f>IF(A261="","",SETUP_RATES!$K$4)</f>
        <v/>
      </c>
      <c r="F261" s="38" t="str">
        <f t="shared" si="2"/>
        <v/>
      </c>
      <c r="G261" s="33" t="str">
        <f t="shared" si="3"/>
        <v/>
      </c>
      <c r="H261" s="39" t="str">
        <f>IF(C261="","",C261+IFERROR(VLOOKUP(VLOOKUP(A261,BOOKINGS!$A:$Q,3,FALSE),CLIENTS!$A:$H,6,FALSE),30))</f>
        <v/>
      </c>
      <c r="I261" s="33" t="str">
        <f>IF(A261="","",IFERROR(VLOOKUP(B261,COLLECTIONS!$A:$I,7,FALSE),"Unpaid"))</f>
        <v/>
      </c>
    </row>
    <row r="262" ht="15.75" customHeight="1">
      <c r="A262" s="33" t="str">
        <f>IF(PROFITABILITY!A262="","",PROFITABILITY!A262)</f>
        <v/>
      </c>
      <c r="B262" s="33" t="str">
        <f t="shared" si="1"/>
        <v/>
      </c>
      <c r="C262" s="39" t="str">
        <f>IF(A262="","",IFERROR(VLOOKUP(A262,BOOKINGS!$A:$Q,8,FALSE),BOOKINGS!B262))</f>
        <v/>
      </c>
      <c r="D262" s="38" t="str">
        <f>IF(A262="","",PROFITABILITY!B262)</f>
        <v/>
      </c>
      <c r="E262" s="38" t="str">
        <f>IF(A262="","",SETUP_RATES!$K$4)</f>
        <v/>
      </c>
      <c r="F262" s="38" t="str">
        <f t="shared" si="2"/>
        <v/>
      </c>
      <c r="G262" s="33" t="str">
        <f t="shared" si="3"/>
        <v/>
      </c>
      <c r="H262" s="39" t="str">
        <f>IF(C262="","",C262+IFERROR(VLOOKUP(VLOOKUP(A262,BOOKINGS!$A:$Q,3,FALSE),CLIENTS!$A:$H,6,FALSE),30))</f>
        <v/>
      </c>
      <c r="I262" s="33" t="str">
        <f>IF(A262="","",IFERROR(VLOOKUP(B262,COLLECTIONS!$A:$I,7,FALSE),"Unpaid"))</f>
        <v/>
      </c>
    </row>
    <row r="263" ht="15.75" customHeight="1">
      <c r="A263" s="33" t="str">
        <f>IF(PROFITABILITY!A263="","",PROFITABILITY!A263)</f>
        <v/>
      </c>
      <c r="B263" s="33" t="str">
        <f t="shared" si="1"/>
        <v/>
      </c>
      <c r="C263" s="39" t="str">
        <f>IF(A263="","",IFERROR(VLOOKUP(A263,BOOKINGS!$A:$Q,8,FALSE),BOOKINGS!B263))</f>
        <v/>
      </c>
      <c r="D263" s="38" t="str">
        <f>IF(A263="","",PROFITABILITY!B263)</f>
        <v/>
      </c>
      <c r="E263" s="38" t="str">
        <f>IF(A263="","",SETUP_RATES!$K$4)</f>
        <v/>
      </c>
      <c r="F263" s="38" t="str">
        <f t="shared" si="2"/>
        <v/>
      </c>
      <c r="G263" s="33" t="str">
        <f t="shared" si="3"/>
        <v/>
      </c>
      <c r="H263" s="39" t="str">
        <f>IF(C263="","",C263+IFERROR(VLOOKUP(VLOOKUP(A263,BOOKINGS!$A:$Q,3,FALSE),CLIENTS!$A:$H,6,FALSE),30))</f>
        <v/>
      </c>
      <c r="I263" s="33" t="str">
        <f>IF(A263="","",IFERROR(VLOOKUP(B263,COLLECTIONS!$A:$I,7,FALSE),"Unpaid"))</f>
        <v/>
      </c>
    </row>
    <row r="264" ht="15.75" customHeight="1">
      <c r="A264" s="33" t="str">
        <f>IF(PROFITABILITY!A264="","",PROFITABILITY!A264)</f>
        <v/>
      </c>
      <c r="B264" s="33" t="str">
        <f t="shared" si="1"/>
        <v/>
      </c>
      <c r="C264" s="39" t="str">
        <f>IF(A264="","",IFERROR(VLOOKUP(A264,BOOKINGS!$A:$Q,8,FALSE),BOOKINGS!B264))</f>
        <v/>
      </c>
      <c r="D264" s="38" t="str">
        <f>IF(A264="","",PROFITABILITY!B264)</f>
        <v/>
      </c>
      <c r="E264" s="38" t="str">
        <f>IF(A264="","",SETUP_RATES!$K$4)</f>
        <v/>
      </c>
      <c r="F264" s="38" t="str">
        <f t="shared" si="2"/>
        <v/>
      </c>
      <c r="G264" s="33" t="str">
        <f t="shared" si="3"/>
        <v/>
      </c>
      <c r="H264" s="39" t="str">
        <f>IF(C264="","",C264+IFERROR(VLOOKUP(VLOOKUP(A264,BOOKINGS!$A:$Q,3,FALSE),CLIENTS!$A:$H,6,FALSE),30))</f>
        <v/>
      </c>
      <c r="I264" s="33" t="str">
        <f>IF(A264="","",IFERROR(VLOOKUP(B264,COLLECTIONS!$A:$I,7,FALSE),"Unpaid"))</f>
        <v/>
      </c>
    </row>
    <row r="265" ht="15.75" customHeight="1">
      <c r="A265" s="33" t="str">
        <f>IF(PROFITABILITY!A265="","",PROFITABILITY!A265)</f>
        <v/>
      </c>
      <c r="B265" s="33" t="str">
        <f t="shared" si="1"/>
        <v/>
      </c>
      <c r="C265" s="39" t="str">
        <f>IF(A265="","",IFERROR(VLOOKUP(A265,BOOKINGS!$A:$Q,8,FALSE),BOOKINGS!B265))</f>
        <v/>
      </c>
      <c r="D265" s="38" t="str">
        <f>IF(A265="","",PROFITABILITY!B265)</f>
        <v/>
      </c>
      <c r="E265" s="38" t="str">
        <f>IF(A265="","",SETUP_RATES!$K$4)</f>
        <v/>
      </c>
      <c r="F265" s="38" t="str">
        <f t="shared" si="2"/>
        <v/>
      </c>
      <c r="G265" s="33" t="str">
        <f t="shared" si="3"/>
        <v/>
      </c>
      <c r="H265" s="39" t="str">
        <f>IF(C265="","",C265+IFERROR(VLOOKUP(VLOOKUP(A265,BOOKINGS!$A:$Q,3,FALSE),CLIENTS!$A:$H,6,FALSE),30))</f>
        <v/>
      </c>
      <c r="I265" s="33" t="str">
        <f>IF(A265="","",IFERROR(VLOOKUP(B265,COLLECTIONS!$A:$I,7,FALSE),"Unpaid"))</f>
        <v/>
      </c>
    </row>
    <row r="266" ht="15.75" customHeight="1">
      <c r="A266" s="33" t="str">
        <f>IF(PROFITABILITY!A266="","",PROFITABILITY!A266)</f>
        <v/>
      </c>
      <c r="B266" s="33" t="str">
        <f t="shared" si="1"/>
        <v/>
      </c>
      <c r="C266" s="39" t="str">
        <f>IF(A266="","",IFERROR(VLOOKUP(A266,BOOKINGS!$A:$Q,8,FALSE),BOOKINGS!B266))</f>
        <v/>
      </c>
      <c r="D266" s="38" t="str">
        <f>IF(A266="","",PROFITABILITY!B266)</f>
        <v/>
      </c>
      <c r="E266" s="38" t="str">
        <f>IF(A266="","",SETUP_RATES!$K$4)</f>
        <v/>
      </c>
      <c r="F266" s="38" t="str">
        <f t="shared" si="2"/>
        <v/>
      </c>
      <c r="G266" s="33" t="str">
        <f t="shared" si="3"/>
        <v/>
      </c>
      <c r="H266" s="39" t="str">
        <f>IF(C266="","",C266+IFERROR(VLOOKUP(VLOOKUP(A266,BOOKINGS!$A:$Q,3,FALSE),CLIENTS!$A:$H,6,FALSE),30))</f>
        <v/>
      </c>
      <c r="I266" s="33" t="str">
        <f>IF(A266="","",IFERROR(VLOOKUP(B266,COLLECTIONS!$A:$I,7,FALSE),"Unpaid"))</f>
        <v/>
      </c>
    </row>
    <row r="267" ht="15.75" customHeight="1">
      <c r="A267" s="33" t="str">
        <f>IF(PROFITABILITY!A267="","",PROFITABILITY!A267)</f>
        <v/>
      </c>
      <c r="B267" s="33" t="str">
        <f t="shared" si="1"/>
        <v/>
      </c>
      <c r="C267" s="39" t="str">
        <f>IF(A267="","",IFERROR(VLOOKUP(A267,BOOKINGS!$A:$Q,8,FALSE),BOOKINGS!B267))</f>
        <v/>
      </c>
      <c r="D267" s="38" t="str">
        <f>IF(A267="","",PROFITABILITY!B267)</f>
        <v/>
      </c>
      <c r="E267" s="38" t="str">
        <f>IF(A267="","",SETUP_RATES!$K$4)</f>
        <v/>
      </c>
      <c r="F267" s="38" t="str">
        <f t="shared" si="2"/>
        <v/>
      </c>
      <c r="G267" s="33" t="str">
        <f t="shared" si="3"/>
        <v/>
      </c>
      <c r="H267" s="39" t="str">
        <f>IF(C267="","",C267+IFERROR(VLOOKUP(VLOOKUP(A267,BOOKINGS!$A:$Q,3,FALSE),CLIENTS!$A:$H,6,FALSE),30))</f>
        <v/>
      </c>
      <c r="I267" s="33" t="str">
        <f>IF(A267="","",IFERROR(VLOOKUP(B267,COLLECTIONS!$A:$I,7,FALSE),"Unpaid"))</f>
        <v/>
      </c>
    </row>
    <row r="268" ht="15.75" customHeight="1">
      <c r="A268" s="33" t="str">
        <f>IF(PROFITABILITY!A268="","",PROFITABILITY!A268)</f>
        <v/>
      </c>
      <c r="B268" s="33" t="str">
        <f t="shared" si="1"/>
        <v/>
      </c>
      <c r="C268" s="39" t="str">
        <f>IF(A268="","",IFERROR(VLOOKUP(A268,BOOKINGS!$A:$Q,8,FALSE),BOOKINGS!B268))</f>
        <v/>
      </c>
      <c r="D268" s="38" t="str">
        <f>IF(A268="","",PROFITABILITY!B268)</f>
        <v/>
      </c>
      <c r="E268" s="38" t="str">
        <f>IF(A268="","",SETUP_RATES!$K$4)</f>
        <v/>
      </c>
      <c r="F268" s="38" t="str">
        <f t="shared" si="2"/>
        <v/>
      </c>
      <c r="G268" s="33" t="str">
        <f t="shared" si="3"/>
        <v/>
      </c>
      <c r="H268" s="39" t="str">
        <f>IF(C268="","",C268+IFERROR(VLOOKUP(VLOOKUP(A268,BOOKINGS!$A:$Q,3,FALSE),CLIENTS!$A:$H,6,FALSE),30))</f>
        <v/>
      </c>
      <c r="I268" s="33" t="str">
        <f>IF(A268="","",IFERROR(VLOOKUP(B268,COLLECTIONS!$A:$I,7,FALSE),"Unpaid"))</f>
        <v/>
      </c>
    </row>
    <row r="269" ht="15.75" customHeight="1">
      <c r="A269" s="33" t="str">
        <f>IF(PROFITABILITY!A269="","",PROFITABILITY!A269)</f>
        <v/>
      </c>
      <c r="B269" s="33" t="str">
        <f t="shared" si="1"/>
        <v/>
      </c>
      <c r="C269" s="39" t="str">
        <f>IF(A269="","",IFERROR(VLOOKUP(A269,BOOKINGS!$A:$Q,8,FALSE),BOOKINGS!B269))</f>
        <v/>
      </c>
      <c r="D269" s="38" t="str">
        <f>IF(A269="","",PROFITABILITY!B269)</f>
        <v/>
      </c>
      <c r="E269" s="38" t="str">
        <f>IF(A269="","",SETUP_RATES!$K$4)</f>
        <v/>
      </c>
      <c r="F269" s="38" t="str">
        <f t="shared" si="2"/>
        <v/>
      </c>
      <c r="G269" s="33" t="str">
        <f t="shared" si="3"/>
        <v/>
      </c>
      <c r="H269" s="39" t="str">
        <f>IF(C269="","",C269+IFERROR(VLOOKUP(VLOOKUP(A269,BOOKINGS!$A:$Q,3,FALSE),CLIENTS!$A:$H,6,FALSE),30))</f>
        <v/>
      </c>
      <c r="I269" s="33" t="str">
        <f>IF(A269="","",IFERROR(VLOOKUP(B269,COLLECTIONS!$A:$I,7,FALSE),"Unpaid"))</f>
        <v/>
      </c>
    </row>
    <row r="270" ht="15.75" customHeight="1">
      <c r="A270" s="33" t="str">
        <f>IF(PROFITABILITY!A270="","",PROFITABILITY!A270)</f>
        <v/>
      </c>
      <c r="B270" s="33" t="str">
        <f t="shared" si="1"/>
        <v/>
      </c>
      <c r="C270" s="39" t="str">
        <f>IF(A270="","",IFERROR(VLOOKUP(A270,BOOKINGS!$A:$Q,8,FALSE),BOOKINGS!B270))</f>
        <v/>
      </c>
      <c r="D270" s="38" t="str">
        <f>IF(A270="","",PROFITABILITY!B270)</f>
        <v/>
      </c>
      <c r="E270" s="38" t="str">
        <f>IF(A270="","",SETUP_RATES!$K$4)</f>
        <v/>
      </c>
      <c r="F270" s="38" t="str">
        <f t="shared" si="2"/>
        <v/>
      </c>
      <c r="G270" s="33" t="str">
        <f t="shared" si="3"/>
        <v/>
      </c>
      <c r="H270" s="39" t="str">
        <f>IF(C270="","",C270+IFERROR(VLOOKUP(VLOOKUP(A270,BOOKINGS!$A:$Q,3,FALSE),CLIENTS!$A:$H,6,FALSE),30))</f>
        <v/>
      </c>
      <c r="I270" s="33" t="str">
        <f>IF(A270="","",IFERROR(VLOOKUP(B270,COLLECTIONS!$A:$I,7,FALSE),"Unpaid"))</f>
        <v/>
      </c>
    </row>
    <row r="271" ht="15.75" customHeight="1">
      <c r="A271" s="33" t="str">
        <f>IF(PROFITABILITY!A271="","",PROFITABILITY!A271)</f>
        <v/>
      </c>
      <c r="B271" s="33" t="str">
        <f t="shared" si="1"/>
        <v/>
      </c>
      <c r="C271" s="39" t="str">
        <f>IF(A271="","",IFERROR(VLOOKUP(A271,BOOKINGS!$A:$Q,8,FALSE),BOOKINGS!B271))</f>
        <v/>
      </c>
      <c r="D271" s="38" t="str">
        <f>IF(A271="","",PROFITABILITY!B271)</f>
        <v/>
      </c>
      <c r="E271" s="38" t="str">
        <f>IF(A271="","",SETUP_RATES!$K$4)</f>
        <v/>
      </c>
      <c r="F271" s="38" t="str">
        <f t="shared" si="2"/>
        <v/>
      </c>
      <c r="G271" s="33" t="str">
        <f t="shared" si="3"/>
        <v/>
      </c>
      <c r="H271" s="39" t="str">
        <f>IF(C271="","",C271+IFERROR(VLOOKUP(VLOOKUP(A271,BOOKINGS!$A:$Q,3,FALSE),CLIENTS!$A:$H,6,FALSE),30))</f>
        <v/>
      </c>
      <c r="I271" s="33" t="str">
        <f>IF(A271="","",IFERROR(VLOOKUP(B271,COLLECTIONS!$A:$I,7,FALSE),"Unpaid"))</f>
        <v/>
      </c>
    </row>
    <row r="272" ht="15.75" customHeight="1">
      <c r="A272" s="33" t="str">
        <f>IF(PROFITABILITY!A272="","",PROFITABILITY!A272)</f>
        <v/>
      </c>
      <c r="B272" s="33" t="str">
        <f t="shared" si="1"/>
        <v/>
      </c>
      <c r="C272" s="39" t="str">
        <f>IF(A272="","",IFERROR(VLOOKUP(A272,BOOKINGS!$A:$Q,8,FALSE),BOOKINGS!B272))</f>
        <v/>
      </c>
      <c r="D272" s="38" t="str">
        <f>IF(A272="","",PROFITABILITY!B272)</f>
        <v/>
      </c>
      <c r="E272" s="38" t="str">
        <f>IF(A272="","",SETUP_RATES!$K$4)</f>
        <v/>
      </c>
      <c r="F272" s="38" t="str">
        <f t="shared" si="2"/>
        <v/>
      </c>
      <c r="G272" s="33" t="str">
        <f t="shared" si="3"/>
        <v/>
      </c>
      <c r="H272" s="39" t="str">
        <f>IF(C272="","",C272+IFERROR(VLOOKUP(VLOOKUP(A272,BOOKINGS!$A:$Q,3,FALSE),CLIENTS!$A:$H,6,FALSE),30))</f>
        <v/>
      </c>
      <c r="I272" s="33" t="str">
        <f>IF(A272="","",IFERROR(VLOOKUP(B272,COLLECTIONS!$A:$I,7,FALSE),"Unpaid"))</f>
        <v/>
      </c>
    </row>
    <row r="273" ht="15.75" customHeight="1">
      <c r="A273" s="33" t="str">
        <f>IF(PROFITABILITY!A273="","",PROFITABILITY!A273)</f>
        <v/>
      </c>
      <c r="B273" s="33" t="str">
        <f t="shared" si="1"/>
        <v/>
      </c>
      <c r="C273" s="39" t="str">
        <f>IF(A273="","",IFERROR(VLOOKUP(A273,BOOKINGS!$A:$Q,8,FALSE),BOOKINGS!B273))</f>
        <v/>
      </c>
      <c r="D273" s="38" t="str">
        <f>IF(A273="","",PROFITABILITY!B273)</f>
        <v/>
      </c>
      <c r="E273" s="38" t="str">
        <f>IF(A273="","",SETUP_RATES!$K$4)</f>
        <v/>
      </c>
      <c r="F273" s="38" t="str">
        <f t="shared" si="2"/>
        <v/>
      </c>
      <c r="G273" s="33" t="str">
        <f t="shared" si="3"/>
        <v/>
      </c>
      <c r="H273" s="39" t="str">
        <f>IF(C273="","",C273+IFERROR(VLOOKUP(VLOOKUP(A273,BOOKINGS!$A:$Q,3,FALSE),CLIENTS!$A:$H,6,FALSE),30))</f>
        <v/>
      </c>
      <c r="I273" s="33" t="str">
        <f>IF(A273="","",IFERROR(VLOOKUP(B273,COLLECTIONS!$A:$I,7,FALSE),"Unpaid"))</f>
        <v/>
      </c>
    </row>
    <row r="274" ht="15.75" customHeight="1">
      <c r="A274" s="33" t="str">
        <f>IF(PROFITABILITY!A274="","",PROFITABILITY!A274)</f>
        <v/>
      </c>
      <c r="B274" s="33" t="str">
        <f t="shared" si="1"/>
        <v/>
      </c>
      <c r="C274" s="39" t="str">
        <f>IF(A274="","",IFERROR(VLOOKUP(A274,BOOKINGS!$A:$Q,8,FALSE),BOOKINGS!B274))</f>
        <v/>
      </c>
      <c r="D274" s="38" t="str">
        <f>IF(A274="","",PROFITABILITY!B274)</f>
        <v/>
      </c>
      <c r="E274" s="38" t="str">
        <f>IF(A274="","",SETUP_RATES!$K$4)</f>
        <v/>
      </c>
      <c r="F274" s="38" t="str">
        <f t="shared" si="2"/>
        <v/>
      </c>
      <c r="G274" s="33" t="str">
        <f t="shared" si="3"/>
        <v/>
      </c>
      <c r="H274" s="39" t="str">
        <f>IF(C274="","",C274+IFERROR(VLOOKUP(VLOOKUP(A274,BOOKINGS!$A:$Q,3,FALSE),CLIENTS!$A:$H,6,FALSE),30))</f>
        <v/>
      </c>
      <c r="I274" s="33" t="str">
        <f>IF(A274="","",IFERROR(VLOOKUP(B274,COLLECTIONS!$A:$I,7,FALSE),"Unpaid"))</f>
        <v/>
      </c>
    </row>
    <row r="275" ht="15.75" customHeight="1">
      <c r="A275" s="33" t="str">
        <f>IF(PROFITABILITY!A275="","",PROFITABILITY!A275)</f>
        <v/>
      </c>
      <c r="B275" s="33" t="str">
        <f t="shared" si="1"/>
        <v/>
      </c>
      <c r="C275" s="39" t="str">
        <f>IF(A275="","",IFERROR(VLOOKUP(A275,BOOKINGS!$A:$Q,8,FALSE),BOOKINGS!B275))</f>
        <v/>
      </c>
      <c r="D275" s="38" t="str">
        <f>IF(A275="","",PROFITABILITY!B275)</f>
        <v/>
      </c>
      <c r="E275" s="38" t="str">
        <f>IF(A275="","",SETUP_RATES!$K$4)</f>
        <v/>
      </c>
      <c r="F275" s="38" t="str">
        <f t="shared" si="2"/>
        <v/>
      </c>
      <c r="G275" s="33" t="str">
        <f t="shared" si="3"/>
        <v/>
      </c>
      <c r="H275" s="39" t="str">
        <f>IF(C275="","",C275+IFERROR(VLOOKUP(VLOOKUP(A275,BOOKINGS!$A:$Q,3,FALSE),CLIENTS!$A:$H,6,FALSE),30))</f>
        <v/>
      </c>
      <c r="I275" s="33" t="str">
        <f>IF(A275="","",IFERROR(VLOOKUP(B275,COLLECTIONS!$A:$I,7,FALSE),"Unpaid"))</f>
        <v/>
      </c>
    </row>
    <row r="276" ht="15.75" customHeight="1">
      <c r="A276" s="33" t="str">
        <f>IF(PROFITABILITY!A276="","",PROFITABILITY!A276)</f>
        <v/>
      </c>
      <c r="B276" s="33" t="str">
        <f t="shared" si="1"/>
        <v/>
      </c>
      <c r="C276" s="39" t="str">
        <f>IF(A276="","",IFERROR(VLOOKUP(A276,BOOKINGS!$A:$Q,8,FALSE),BOOKINGS!B276))</f>
        <v/>
      </c>
      <c r="D276" s="38" t="str">
        <f>IF(A276="","",PROFITABILITY!B276)</f>
        <v/>
      </c>
      <c r="E276" s="38" t="str">
        <f>IF(A276="","",SETUP_RATES!$K$4)</f>
        <v/>
      </c>
      <c r="F276" s="38" t="str">
        <f t="shared" si="2"/>
        <v/>
      </c>
      <c r="G276" s="33" t="str">
        <f t="shared" si="3"/>
        <v/>
      </c>
      <c r="H276" s="39" t="str">
        <f>IF(C276="","",C276+IFERROR(VLOOKUP(VLOOKUP(A276,BOOKINGS!$A:$Q,3,FALSE),CLIENTS!$A:$H,6,FALSE),30))</f>
        <v/>
      </c>
      <c r="I276" s="33" t="str">
        <f>IF(A276="","",IFERROR(VLOOKUP(B276,COLLECTIONS!$A:$I,7,FALSE),"Unpaid"))</f>
        <v/>
      </c>
    </row>
    <row r="277" ht="15.75" customHeight="1">
      <c r="A277" s="33" t="str">
        <f>IF(PROFITABILITY!A277="","",PROFITABILITY!A277)</f>
        <v/>
      </c>
      <c r="B277" s="33" t="str">
        <f t="shared" si="1"/>
        <v/>
      </c>
      <c r="C277" s="39" t="str">
        <f>IF(A277="","",IFERROR(VLOOKUP(A277,BOOKINGS!$A:$Q,8,FALSE),BOOKINGS!B277))</f>
        <v/>
      </c>
      <c r="D277" s="38" t="str">
        <f>IF(A277="","",PROFITABILITY!B277)</f>
        <v/>
      </c>
      <c r="E277" s="38" t="str">
        <f>IF(A277="","",SETUP_RATES!$K$4)</f>
        <v/>
      </c>
      <c r="F277" s="38" t="str">
        <f t="shared" si="2"/>
        <v/>
      </c>
      <c r="G277" s="33" t="str">
        <f t="shared" si="3"/>
        <v/>
      </c>
      <c r="H277" s="39" t="str">
        <f>IF(C277="","",C277+IFERROR(VLOOKUP(VLOOKUP(A277,BOOKINGS!$A:$Q,3,FALSE),CLIENTS!$A:$H,6,FALSE),30))</f>
        <v/>
      </c>
      <c r="I277" s="33" t="str">
        <f>IF(A277="","",IFERROR(VLOOKUP(B277,COLLECTIONS!$A:$I,7,FALSE),"Unpaid"))</f>
        <v/>
      </c>
    </row>
    <row r="278" ht="15.75" customHeight="1">
      <c r="A278" s="33" t="str">
        <f>IF(PROFITABILITY!A278="","",PROFITABILITY!A278)</f>
        <v/>
      </c>
      <c r="B278" s="33" t="str">
        <f t="shared" si="1"/>
        <v/>
      </c>
      <c r="C278" s="39" t="str">
        <f>IF(A278="","",IFERROR(VLOOKUP(A278,BOOKINGS!$A:$Q,8,FALSE),BOOKINGS!B278))</f>
        <v/>
      </c>
      <c r="D278" s="38" t="str">
        <f>IF(A278="","",PROFITABILITY!B278)</f>
        <v/>
      </c>
      <c r="E278" s="38" t="str">
        <f>IF(A278="","",SETUP_RATES!$K$4)</f>
        <v/>
      </c>
      <c r="F278" s="38" t="str">
        <f t="shared" si="2"/>
        <v/>
      </c>
      <c r="G278" s="33" t="str">
        <f t="shared" si="3"/>
        <v/>
      </c>
      <c r="H278" s="39" t="str">
        <f>IF(C278="","",C278+IFERROR(VLOOKUP(VLOOKUP(A278,BOOKINGS!$A:$Q,3,FALSE),CLIENTS!$A:$H,6,FALSE),30))</f>
        <v/>
      </c>
      <c r="I278" s="33" t="str">
        <f>IF(A278="","",IFERROR(VLOOKUP(B278,COLLECTIONS!$A:$I,7,FALSE),"Unpaid"))</f>
        <v/>
      </c>
    </row>
    <row r="279" ht="15.75" customHeight="1">
      <c r="A279" s="33" t="str">
        <f>IF(PROFITABILITY!A279="","",PROFITABILITY!A279)</f>
        <v/>
      </c>
      <c r="B279" s="33" t="str">
        <f t="shared" si="1"/>
        <v/>
      </c>
      <c r="C279" s="39" t="str">
        <f>IF(A279="","",IFERROR(VLOOKUP(A279,BOOKINGS!$A:$Q,8,FALSE),BOOKINGS!B279))</f>
        <v/>
      </c>
      <c r="D279" s="38" t="str">
        <f>IF(A279="","",PROFITABILITY!B279)</f>
        <v/>
      </c>
      <c r="E279" s="38" t="str">
        <f>IF(A279="","",SETUP_RATES!$K$4)</f>
        <v/>
      </c>
      <c r="F279" s="38" t="str">
        <f t="shared" si="2"/>
        <v/>
      </c>
      <c r="G279" s="33" t="str">
        <f t="shared" si="3"/>
        <v/>
      </c>
      <c r="H279" s="39" t="str">
        <f>IF(C279="","",C279+IFERROR(VLOOKUP(VLOOKUP(A279,BOOKINGS!$A:$Q,3,FALSE),CLIENTS!$A:$H,6,FALSE),30))</f>
        <v/>
      </c>
      <c r="I279" s="33" t="str">
        <f>IF(A279="","",IFERROR(VLOOKUP(B279,COLLECTIONS!$A:$I,7,FALSE),"Unpaid"))</f>
        <v/>
      </c>
    </row>
    <row r="280" ht="15.75" customHeight="1">
      <c r="A280" s="33" t="str">
        <f>IF(PROFITABILITY!A280="","",PROFITABILITY!A280)</f>
        <v/>
      </c>
      <c r="B280" s="33" t="str">
        <f t="shared" si="1"/>
        <v/>
      </c>
      <c r="C280" s="39" t="str">
        <f>IF(A280="","",IFERROR(VLOOKUP(A280,BOOKINGS!$A:$Q,8,FALSE),BOOKINGS!B280))</f>
        <v/>
      </c>
      <c r="D280" s="38" t="str">
        <f>IF(A280="","",PROFITABILITY!B280)</f>
        <v/>
      </c>
      <c r="E280" s="38" t="str">
        <f>IF(A280="","",SETUP_RATES!$K$4)</f>
        <v/>
      </c>
      <c r="F280" s="38" t="str">
        <f t="shared" si="2"/>
        <v/>
      </c>
      <c r="G280" s="33" t="str">
        <f t="shared" si="3"/>
        <v/>
      </c>
      <c r="H280" s="39" t="str">
        <f>IF(C280="","",C280+IFERROR(VLOOKUP(VLOOKUP(A280,BOOKINGS!$A:$Q,3,FALSE),CLIENTS!$A:$H,6,FALSE),30))</f>
        <v/>
      </c>
      <c r="I280" s="33" t="str">
        <f>IF(A280="","",IFERROR(VLOOKUP(B280,COLLECTIONS!$A:$I,7,FALSE),"Unpaid"))</f>
        <v/>
      </c>
    </row>
    <row r="281" ht="15.75" customHeight="1">
      <c r="A281" s="33" t="str">
        <f>IF(PROFITABILITY!A281="","",PROFITABILITY!A281)</f>
        <v/>
      </c>
      <c r="B281" s="33" t="str">
        <f t="shared" si="1"/>
        <v/>
      </c>
      <c r="C281" s="39" t="str">
        <f>IF(A281="","",IFERROR(VLOOKUP(A281,BOOKINGS!$A:$Q,8,FALSE),BOOKINGS!B281))</f>
        <v/>
      </c>
      <c r="D281" s="38" t="str">
        <f>IF(A281="","",PROFITABILITY!B281)</f>
        <v/>
      </c>
      <c r="E281" s="38" t="str">
        <f>IF(A281="","",SETUP_RATES!$K$4)</f>
        <v/>
      </c>
      <c r="F281" s="38" t="str">
        <f t="shared" si="2"/>
        <v/>
      </c>
      <c r="G281" s="33" t="str">
        <f t="shared" si="3"/>
        <v/>
      </c>
      <c r="H281" s="39" t="str">
        <f>IF(C281="","",C281+IFERROR(VLOOKUP(VLOOKUP(A281,BOOKINGS!$A:$Q,3,FALSE),CLIENTS!$A:$H,6,FALSE),30))</f>
        <v/>
      </c>
      <c r="I281" s="33" t="str">
        <f>IF(A281="","",IFERROR(VLOOKUP(B281,COLLECTIONS!$A:$I,7,FALSE),"Unpaid"))</f>
        <v/>
      </c>
    </row>
    <row r="282" ht="15.75" customHeight="1">
      <c r="A282" s="33" t="str">
        <f>IF(PROFITABILITY!A282="","",PROFITABILITY!A282)</f>
        <v/>
      </c>
      <c r="B282" s="33" t="str">
        <f t="shared" si="1"/>
        <v/>
      </c>
      <c r="C282" s="39" t="str">
        <f>IF(A282="","",IFERROR(VLOOKUP(A282,BOOKINGS!$A:$Q,8,FALSE),BOOKINGS!B282))</f>
        <v/>
      </c>
      <c r="D282" s="38" t="str">
        <f>IF(A282="","",PROFITABILITY!B282)</f>
        <v/>
      </c>
      <c r="E282" s="38" t="str">
        <f>IF(A282="","",SETUP_RATES!$K$4)</f>
        <v/>
      </c>
      <c r="F282" s="38" t="str">
        <f t="shared" si="2"/>
        <v/>
      </c>
      <c r="G282" s="33" t="str">
        <f t="shared" si="3"/>
        <v/>
      </c>
      <c r="H282" s="39" t="str">
        <f>IF(C282="","",C282+IFERROR(VLOOKUP(VLOOKUP(A282,BOOKINGS!$A:$Q,3,FALSE),CLIENTS!$A:$H,6,FALSE),30))</f>
        <v/>
      </c>
      <c r="I282" s="33" t="str">
        <f>IF(A282="","",IFERROR(VLOOKUP(B282,COLLECTIONS!$A:$I,7,FALSE),"Unpaid"))</f>
        <v/>
      </c>
    </row>
    <row r="283" ht="15.75" customHeight="1">
      <c r="A283" s="33" t="str">
        <f>IF(PROFITABILITY!A283="","",PROFITABILITY!A283)</f>
        <v/>
      </c>
      <c r="B283" s="33" t="str">
        <f t="shared" si="1"/>
        <v/>
      </c>
      <c r="C283" s="39" t="str">
        <f>IF(A283="","",IFERROR(VLOOKUP(A283,BOOKINGS!$A:$Q,8,FALSE),BOOKINGS!B283))</f>
        <v/>
      </c>
      <c r="D283" s="38" t="str">
        <f>IF(A283="","",PROFITABILITY!B283)</f>
        <v/>
      </c>
      <c r="E283" s="38" t="str">
        <f>IF(A283="","",SETUP_RATES!$K$4)</f>
        <v/>
      </c>
      <c r="F283" s="38" t="str">
        <f t="shared" si="2"/>
        <v/>
      </c>
      <c r="G283" s="33" t="str">
        <f t="shared" si="3"/>
        <v/>
      </c>
      <c r="H283" s="39" t="str">
        <f>IF(C283="","",C283+IFERROR(VLOOKUP(VLOOKUP(A283,BOOKINGS!$A:$Q,3,FALSE),CLIENTS!$A:$H,6,FALSE),30))</f>
        <v/>
      </c>
      <c r="I283" s="33" t="str">
        <f>IF(A283="","",IFERROR(VLOOKUP(B283,COLLECTIONS!$A:$I,7,FALSE),"Unpaid"))</f>
        <v/>
      </c>
    </row>
    <row r="284" ht="15.75" customHeight="1">
      <c r="A284" s="33" t="str">
        <f>IF(PROFITABILITY!A284="","",PROFITABILITY!A284)</f>
        <v/>
      </c>
      <c r="B284" s="33" t="str">
        <f t="shared" si="1"/>
        <v/>
      </c>
      <c r="C284" s="39" t="str">
        <f>IF(A284="","",IFERROR(VLOOKUP(A284,BOOKINGS!$A:$Q,8,FALSE),BOOKINGS!B284))</f>
        <v/>
      </c>
      <c r="D284" s="38" t="str">
        <f>IF(A284="","",PROFITABILITY!B284)</f>
        <v/>
      </c>
      <c r="E284" s="38" t="str">
        <f>IF(A284="","",SETUP_RATES!$K$4)</f>
        <v/>
      </c>
      <c r="F284" s="38" t="str">
        <f t="shared" si="2"/>
        <v/>
      </c>
      <c r="G284" s="33" t="str">
        <f t="shared" si="3"/>
        <v/>
      </c>
      <c r="H284" s="39" t="str">
        <f>IF(C284="","",C284+IFERROR(VLOOKUP(VLOOKUP(A284,BOOKINGS!$A:$Q,3,FALSE),CLIENTS!$A:$H,6,FALSE),30))</f>
        <v/>
      </c>
      <c r="I284" s="33" t="str">
        <f>IF(A284="","",IFERROR(VLOOKUP(B284,COLLECTIONS!$A:$I,7,FALSE),"Unpaid"))</f>
        <v/>
      </c>
    </row>
    <row r="285" ht="15.75" customHeight="1">
      <c r="A285" s="33" t="str">
        <f>IF(PROFITABILITY!A285="","",PROFITABILITY!A285)</f>
        <v/>
      </c>
      <c r="B285" s="33" t="str">
        <f t="shared" si="1"/>
        <v/>
      </c>
      <c r="C285" s="39" t="str">
        <f>IF(A285="","",IFERROR(VLOOKUP(A285,BOOKINGS!$A:$Q,8,FALSE),BOOKINGS!B285))</f>
        <v/>
      </c>
      <c r="D285" s="38" t="str">
        <f>IF(A285="","",PROFITABILITY!B285)</f>
        <v/>
      </c>
      <c r="E285" s="38" t="str">
        <f>IF(A285="","",SETUP_RATES!$K$4)</f>
        <v/>
      </c>
      <c r="F285" s="38" t="str">
        <f t="shared" si="2"/>
        <v/>
      </c>
      <c r="G285" s="33" t="str">
        <f t="shared" si="3"/>
        <v/>
      </c>
      <c r="H285" s="39" t="str">
        <f>IF(C285="","",C285+IFERROR(VLOOKUP(VLOOKUP(A285,BOOKINGS!$A:$Q,3,FALSE),CLIENTS!$A:$H,6,FALSE),30))</f>
        <v/>
      </c>
      <c r="I285" s="33" t="str">
        <f>IF(A285="","",IFERROR(VLOOKUP(B285,COLLECTIONS!$A:$I,7,FALSE),"Unpaid"))</f>
        <v/>
      </c>
    </row>
    <row r="286" ht="15.75" customHeight="1">
      <c r="A286" s="33" t="str">
        <f>IF(PROFITABILITY!A286="","",PROFITABILITY!A286)</f>
        <v/>
      </c>
      <c r="B286" s="33" t="str">
        <f t="shared" si="1"/>
        <v/>
      </c>
      <c r="C286" s="39" t="str">
        <f>IF(A286="","",IFERROR(VLOOKUP(A286,BOOKINGS!$A:$Q,8,FALSE),BOOKINGS!B286))</f>
        <v/>
      </c>
      <c r="D286" s="38" t="str">
        <f>IF(A286="","",PROFITABILITY!B286)</f>
        <v/>
      </c>
      <c r="E286" s="38" t="str">
        <f>IF(A286="","",SETUP_RATES!$K$4)</f>
        <v/>
      </c>
      <c r="F286" s="38" t="str">
        <f t="shared" si="2"/>
        <v/>
      </c>
      <c r="G286" s="33" t="str">
        <f t="shared" si="3"/>
        <v/>
      </c>
      <c r="H286" s="39" t="str">
        <f>IF(C286="","",C286+IFERROR(VLOOKUP(VLOOKUP(A286,BOOKINGS!$A:$Q,3,FALSE),CLIENTS!$A:$H,6,FALSE),30))</f>
        <v/>
      </c>
      <c r="I286" s="33" t="str">
        <f>IF(A286="","",IFERROR(VLOOKUP(B286,COLLECTIONS!$A:$I,7,FALSE),"Unpaid"))</f>
        <v/>
      </c>
    </row>
    <row r="287" ht="15.75" customHeight="1">
      <c r="A287" s="33" t="str">
        <f>IF(PROFITABILITY!A287="","",PROFITABILITY!A287)</f>
        <v/>
      </c>
      <c r="B287" s="33" t="str">
        <f t="shared" si="1"/>
        <v/>
      </c>
      <c r="C287" s="39" t="str">
        <f>IF(A287="","",IFERROR(VLOOKUP(A287,BOOKINGS!$A:$Q,8,FALSE),BOOKINGS!B287))</f>
        <v/>
      </c>
      <c r="D287" s="38" t="str">
        <f>IF(A287="","",PROFITABILITY!B287)</f>
        <v/>
      </c>
      <c r="E287" s="38" t="str">
        <f>IF(A287="","",SETUP_RATES!$K$4)</f>
        <v/>
      </c>
      <c r="F287" s="38" t="str">
        <f t="shared" si="2"/>
        <v/>
      </c>
      <c r="G287" s="33" t="str">
        <f t="shared" si="3"/>
        <v/>
      </c>
      <c r="H287" s="39" t="str">
        <f>IF(C287="","",C287+IFERROR(VLOOKUP(VLOOKUP(A287,BOOKINGS!$A:$Q,3,FALSE),CLIENTS!$A:$H,6,FALSE),30))</f>
        <v/>
      </c>
      <c r="I287" s="33" t="str">
        <f>IF(A287="","",IFERROR(VLOOKUP(B287,COLLECTIONS!$A:$I,7,FALSE),"Unpaid"))</f>
        <v/>
      </c>
    </row>
    <row r="288" ht="15.75" customHeight="1">
      <c r="A288" s="33" t="str">
        <f>IF(PROFITABILITY!A288="","",PROFITABILITY!A288)</f>
        <v/>
      </c>
      <c r="B288" s="33" t="str">
        <f t="shared" si="1"/>
        <v/>
      </c>
      <c r="C288" s="39" t="str">
        <f>IF(A288="","",IFERROR(VLOOKUP(A288,BOOKINGS!$A:$Q,8,FALSE),BOOKINGS!B288))</f>
        <v/>
      </c>
      <c r="D288" s="38" t="str">
        <f>IF(A288="","",PROFITABILITY!B288)</f>
        <v/>
      </c>
      <c r="E288" s="38" t="str">
        <f>IF(A288="","",SETUP_RATES!$K$4)</f>
        <v/>
      </c>
      <c r="F288" s="38" t="str">
        <f t="shared" si="2"/>
        <v/>
      </c>
      <c r="G288" s="33" t="str">
        <f t="shared" si="3"/>
        <v/>
      </c>
      <c r="H288" s="39" t="str">
        <f>IF(C288="","",C288+IFERROR(VLOOKUP(VLOOKUP(A288,BOOKINGS!$A:$Q,3,FALSE),CLIENTS!$A:$H,6,FALSE),30))</f>
        <v/>
      </c>
      <c r="I288" s="33" t="str">
        <f>IF(A288="","",IFERROR(VLOOKUP(B288,COLLECTIONS!$A:$I,7,FALSE),"Unpaid"))</f>
        <v/>
      </c>
    </row>
    <row r="289" ht="15.75" customHeight="1">
      <c r="A289" s="33" t="str">
        <f>IF(PROFITABILITY!A289="","",PROFITABILITY!A289)</f>
        <v/>
      </c>
      <c r="B289" s="33" t="str">
        <f t="shared" si="1"/>
        <v/>
      </c>
      <c r="C289" s="39" t="str">
        <f>IF(A289="","",IFERROR(VLOOKUP(A289,BOOKINGS!$A:$Q,8,FALSE),BOOKINGS!B289))</f>
        <v/>
      </c>
      <c r="D289" s="38" t="str">
        <f>IF(A289="","",PROFITABILITY!B289)</f>
        <v/>
      </c>
      <c r="E289" s="38" t="str">
        <f>IF(A289="","",SETUP_RATES!$K$4)</f>
        <v/>
      </c>
      <c r="F289" s="38" t="str">
        <f t="shared" si="2"/>
        <v/>
      </c>
      <c r="G289" s="33" t="str">
        <f t="shared" si="3"/>
        <v/>
      </c>
      <c r="H289" s="39" t="str">
        <f>IF(C289="","",C289+IFERROR(VLOOKUP(VLOOKUP(A289,BOOKINGS!$A:$Q,3,FALSE),CLIENTS!$A:$H,6,FALSE),30))</f>
        <v/>
      </c>
      <c r="I289" s="33" t="str">
        <f>IF(A289="","",IFERROR(VLOOKUP(B289,COLLECTIONS!$A:$I,7,FALSE),"Unpaid"))</f>
        <v/>
      </c>
    </row>
    <row r="290" ht="15.75" customHeight="1">
      <c r="A290" s="33" t="str">
        <f>IF(PROFITABILITY!A290="","",PROFITABILITY!A290)</f>
        <v/>
      </c>
      <c r="B290" s="33" t="str">
        <f t="shared" si="1"/>
        <v/>
      </c>
      <c r="C290" s="39" t="str">
        <f>IF(A290="","",IFERROR(VLOOKUP(A290,BOOKINGS!$A:$Q,8,FALSE),BOOKINGS!B290))</f>
        <v/>
      </c>
      <c r="D290" s="38" t="str">
        <f>IF(A290="","",PROFITABILITY!B290)</f>
        <v/>
      </c>
      <c r="E290" s="38" t="str">
        <f>IF(A290="","",SETUP_RATES!$K$4)</f>
        <v/>
      </c>
      <c r="F290" s="38" t="str">
        <f t="shared" si="2"/>
        <v/>
      </c>
      <c r="G290" s="33" t="str">
        <f t="shared" si="3"/>
        <v/>
      </c>
      <c r="H290" s="39" t="str">
        <f>IF(C290="","",C290+IFERROR(VLOOKUP(VLOOKUP(A290,BOOKINGS!$A:$Q,3,FALSE),CLIENTS!$A:$H,6,FALSE),30))</f>
        <v/>
      </c>
      <c r="I290" s="33" t="str">
        <f>IF(A290="","",IFERROR(VLOOKUP(B290,COLLECTIONS!$A:$I,7,FALSE),"Unpaid"))</f>
        <v/>
      </c>
    </row>
    <row r="291" ht="15.75" customHeight="1">
      <c r="A291" s="33" t="str">
        <f>IF(PROFITABILITY!A291="","",PROFITABILITY!A291)</f>
        <v/>
      </c>
      <c r="B291" s="33" t="str">
        <f t="shared" si="1"/>
        <v/>
      </c>
      <c r="C291" s="39" t="str">
        <f>IF(A291="","",IFERROR(VLOOKUP(A291,BOOKINGS!$A:$Q,8,FALSE),BOOKINGS!B291))</f>
        <v/>
      </c>
      <c r="D291" s="38" t="str">
        <f>IF(A291="","",PROFITABILITY!B291)</f>
        <v/>
      </c>
      <c r="E291" s="38" t="str">
        <f>IF(A291="","",SETUP_RATES!$K$4)</f>
        <v/>
      </c>
      <c r="F291" s="38" t="str">
        <f t="shared" si="2"/>
        <v/>
      </c>
      <c r="G291" s="33" t="str">
        <f t="shared" si="3"/>
        <v/>
      </c>
      <c r="H291" s="39" t="str">
        <f>IF(C291="","",C291+IFERROR(VLOOKUP(VLOOKUP(A291,BOOKINGS!$A:$Q,3,FALSE),CLIENTS!$A:$H,6,FALSE),30))</f>
        <v/>
      </c>
      <c r="I291" s="33" t="str">
        <f>IF(A291="","",IFERROR(VLOOKUP(B291,COLLECTIONS!$A:$I,7,FALSE),"Unpaid"))</f>
        <v/>
      </c>
    </row>
    <row r="292" ht="15.75" customHeight="1">
      <c r="A292" s="33" t="str">
        <f>IF(PROFITABILITY!A292="","",PROFITABILITY!A292)</f>
        <v/>
      </c>
      <c r="B292" s="33" t="str">
        <f t="shared" si="1"/>
        <v/>
      </c>
      <c r="C292" s="39" t="str">
        <f>IF(A292="","",IFERROR(VLOOKUP(A292,BOOKINGS!$A:$Q,8,FALSE),BOOKINGS!B292))</f>
        <v/>
      </c>
      <c r="D292" s="38" t="str">
        <f>IF(A292="","",PROFITABILITY!B292)</f>
        <v/>
      </c>
      <c r="E292" s="38" t="str">
        <f>IF(A292="","",SETUP_RATES!$K$4)</f>
        <v/>
      </c>
      <c r="F292" s="38" t="str">
        <f t="shared" si="2"/>
        <v/>
      </c>
      <c r="G292" s="33" t="str">
        <f t="shared" si="3"/>
        <v/>
      </c>
      <c r="H292" s="39" t="str">
        <f>IF(C292="","",C292+IFERROR(VLOOKUP(VLOOKUP(A292,BOOKINGS!$A:$Q,3,FALSE),CLIENTS!$A:$H,6,FALSE),30))</f>
        <v/>
      </c>
      <c r="I292" s="33" t="str">
        <f>IF(A292="","",IFERROR(VLOOKUP(B292,COLLECTIONS!$A:$I,7,FALSE),"Unpaid"))</f>
        <v/>
      </c>
    </row>
    <row r="293" ht="15.75" customHeight="1">
      <c r="A293" s="33" t="str">
        <f>IF(PROFITABILITY!A293="","",PROFITABILITY!A293)</f>
        <v/>
      </c>
      <c r="B293" s="33" t="str">
        <f t="shared" si="1"/>
        <v/>
      </c>
      <c r="C293" s="39" t="str">
        <f>IF(A293="","",IFERROR(VLOOKUP(A293,BOOKINGS!$A:$Q,8,FALSE),BOOKINGS!B293))</f>
        <v/>
      </c>
      <c r="D293" s="38" t="str">
        <f>IF(A293="","",PROFITABILITY!B293)</f>
        <v/>
      </c>
      <c r="E293" s="38" t="str">
        <f>IF(A293="","",SETUP_RATES!$K$4)</f>
        <v/>
      </c>
      <c r="F293" s="38" t="str">
        <f t="shared" si="2"/>
        <v/>
      </c>
      <c r="G293" s="33" t="str">
        <f t="shared" si="3"/>
        <v/>
      </c>
      <c r="H293" s="39" t="str">
        <f>IF(C293="","",C293+IFERROR(VLOOKUP(VLOOKUP(A293,BOOKINGS!$A:$Q,3,FALSE),CLIENTS!$A:$H,6,FALSE),30))</f>
        <v/>
      </c>
      <c r="I293" s="33" t="str">
        <f>IF(A293="","",IFERROR(VLOOKUP(B293,COLLECTIONS!$A:$I,7,FALSE),"Unpaid"))</f>
        <v/>
      </c>
    </row>
    <row r="294" ht="15.75" customHeight="1">
      <c r="A294" s="33" t="str">
        <f>IF(PROFITABILITY!A294="","",PROFITABILITY!A294)</f>
        <v/>
      </c>
      <c r="B294" s="33" t="str">
        <f t="shared" si="1"/>
        <v/>
      </c>
      <c r="C294" s="39" t="str">
        <f>IF(A294="","",IFERROR(VLOOKUP(A294,BOOKINGS!$A:$Q,8,FALSE),BOOKINGS!B294))</f>
        <v/>
      </c>
      <c r="D294" s="38" t="str">
        <f>IF(A294="","",PROFITABILITY!B294)</f>
        <v/>
      </c>
      <c r="E294" s="38" t="str">
        <f>IF(A294="","",SETUP_RATES!$K$4)</f>
        <v/>
      </c>
      <c r="F294" s="38" t="str">
        <f t="shared" si="2"/>
        <v/>
      </c>
      <c r="G294" s="33" t="str">
        <f t="shared" si="3"/>
        <v/>
      </c>
      <c r="H294" s="39" t="str">
        <f>IF(C294="","",C294+IFERROR(VLOOKUP(VLOOKUP(A294,BOOKINGS!$A:$Q,3,FALSE),CLIENTS!$A:$H,6,FALSE),30))</f>
        <v/>
      </c>
      <c r="I294" s="33" t="str">
        <f>IF(A294="","",IFERROR(VLOOKUP(B294,COLLECTIONS!$A:$I,7,FALSE),"Unpaid"))</f>
        <v/>
      </c>
    </row>
    <row r="295" ht="15.75" customHeight="1">
      <c r="A295" s="33" t="str">
        <f>IF(PROFITABILITY!A295="","",PROFITABILITY!A295)</f>
        <v/>
      </c>
      <c r="B295" s="33" t="str">
        <f t="shared" si="1"/>
        <v/>
      </c>
      <c r="C295" s="39" t="str">
        <f>IF(A295="","",IFERROR(VLOOKUP(A295,BOOKINGS!$A:$Q,8,FALSE),BOOKINGS!B295))</f>
        <v/>
      </c>
      <c r="D295" s="38" t="str">
        <f>IF(A295="","",PROFITABILITY!B295)</f>
        <v/>
      </c>
      <c r="E295" s="38" t="str">
        <f>IF(A295="","",SETUP_RATES!$K$4)</f>
        <v/>
      </c>
      <c r="F295" s="38" t="str">
        <f t="shared" si="2"/>
        <v/>
      </c>
      <c r="G295" s="33" t="str">
        <f t="shared" si="3"/>
        <v/>
      </c>
      <c r="H295" s="39" t="str">
        <f>IF(C295="","",C295+IFERROR(VLOOKUP(VLOOKUP(A295,BOOKINGS!$A:$Q,3,FALSE),CLIENTS!$A:$H,6,FALSE),30))</f>
        <v/>
      </c>
      <c r="I295" s="33" t="str">
        <f>IF(A295="","",IFERROR(VLOOKUP(B295,COLLECTIONS!$A:$I,7,FALSE),"Unpaid"))</f>
        <v/>
      </c>
    </row>
    <row r="296" ht="15.75" customHeight="1">
      <c r="A296" s="33" t="str">
        <f>IF(PROFITABILITY!A296="","",PROFITABILITY!A296)</f>
        <v/>
      </c>
      <c r="B296" s="33" t="str">
        <f t="shared" si="1"/>
        <v/>
      </c>
      <c r="C296" s="39" t="str">
        <f>IF(A296="","",IFERROR(VLOOKUP(A296,BOOKINGS!$A:$Q,8,FALSE),BOOKINGS!B296))</f>
        <v/>
      </c>
      <c r="D296" s="38" t="str">
        <f>IF(A296="","",PROFITABILITY!B296)</f>
        <v/>
      </c>
      <c r="E296" s="38" t="str">
        <f>IF(A296="","",SETUP_RATES!$K$4)</f>
        <v/>
      </c>
      <c r="F296" s="38" t="str">
        <f t="shared" si="2"/>
        <v/>
      </c>
      <c r="G296" s="33" t="str">
        <f t="shared" si="3"/>
        <v/>
      </c>
      <c r="H296" s="39" t="str">
        <f>IF(C296="","",C296+IFERROR(VLOOKUP(VLOOKUP(A296,BOOKINGS!$A:$Q,3,FALSE),CLIENTS!$A:$H,6,FALSE),30))</f>
        <v/>
      </c>
      <c r="I296" s="33" t="str">
        <f>IF(A296="","",IFERROR(VLOOKUP(B296,COLLECTIONS!$A:$I,7,FALSE),"Unpaid"))</f>
        <v/>
      </c>
    </row>
    <row r="297" ht="15.75" customHeight="1">
      <c r="A297" s="33" t="str">
        <f>IF(PROFITABILITY!A297="","",PROFITABILITY!A297)</f>
        <v/>
      </c>
      <c r="B297" s="33" t="str">
        <f t="shared" si="1"/>
        <v/>
      </c>
      <c r="C297" s="39" t="str">
        <f>IF(A297="","",IFERROR(VLOOKUP(A297,BOOKINGS!$A:$Q,8,FALSE),BOOKINGS!B297))</f>
        <v/>
      </c>
      <c r="D297" s="38" t="str">
        <f>IF(A297="","",PROFITABILITY!B297)</f>
        <v/>
      </c>
      <c r="E297" s="38" t="str">
        <f>IF(A297="","",SETUP_RATES!$K$4)</f>
        <v/>
      </c>
      <c r="F297" s="38" t="str">
        <f t="shared" si="2"/>
        <v/>
      </c>
      <c r="G297" s="33" t="str">
        <f t="shared" si="3"/>
        <v/>
      </c>
      <c r="H297" s="39" t="str">
        <f>IF(C297="","",C297+IFERROR(VLOOKUP(VLOOKUP(A297,BOOKINGS!$A:$Q,3,FALSE),CLIENTS!$A:$H,6,FALSE),30))</f>
        <v/>
      </c>
      <c r="I297" s="33" t="str">
        <f>IF(A297="","",IFERROR(VLOOKUP(B297,COLLECTIONS!$A:$I,7,FALSE),"Unpaid"))</f>
        <v/>
      </c>
    </row>
    <row r="298" ht="15.75" customHeight="1">
      <c r="A298" s="33" t="str">
        <f>IF(PROFITABILITY!A298="","",PROFITABILITY!A298)</f>
        <v/>
      </c>
      <c r="B298" s="33" t="str">
        <f t="shared" si="1"/>
        <v/>
      </c>
      <c r="C298" s="39" t="str">
        <f>IF(A298="","",IFERROR(VLOOKUP(A298,BOOKINGS!$A:$Q,8,FALSE),BOOKINGS!B298))</f>
        <v/>
      </c>
      <c r="D298" s="38" t="str">
        <f>IF(A298="","",PROFITABILITY!B298)</f>
        <v/>
      </c>
      <c r="E298" s="38" t="str">
        <f>IF(A298="","",SETUP_RATES!$K$4)</f>
        <v/>
      </c>
      <c r="F298" s="38" t="str">
        <f t="shared" si="2"/>
        <v/>
      </c>
      <c r="G298" s="33" t="str">
        <f t="shared" si="3"/>
        <v/>
      </c>
      <c r="H298" s="39" t="str">
        <f>IF(C298="","",C298+IFERROR(VLOOKUP(VLOOKUP(A298,BOOKINGS!$A:$Q,3,FALSE),CLIENTS!$A:$H,6,FALSE),30))</f>
        <v/>
      </c>
      <c r="I298" s="33" t="str">
        <f>IF(A298="","",IFERROR(VLOOKUP(B298,COLLECTIONS!$A:$I,7,FALSE),"Unpaid"))</f>
        <v/>
      </c>
    </row>
    <row r="299" ht="15.75" customHeight="1">
      <c r="A299" s="33" t="str">
        <f>IF(PROFITABILITY!A299="","",PROFITABILITY!A299)</f>
        <v/>
      </c>
      <c r="B299" s="33" t="str">
        <f t="shared" si="1"/>
        <v/>
      </c>
      <c r="C299" s="39" t="str">
        <f>IF(A299="","",IFERROR(VLOOKUP(A299,BOOKINGS!$A:$Q,8,FALSE),BOOKINGS!B299))</f>
        <v/>
      </c>
      <c r="D299" s="38" t="str">
        <f>IF(A299="","",PROFITABILITY!B299)</f>
        <v/>
      </c>
      <c r="E299" s="38" t="str">
        <f>IF(A299="","",SETUP_RATES!$K$4)</f>
        <v/>
      </c>
      <c r="F299" s="38" t="str">
        <f t="shared" si="2"/>
        <v/>
      </c>
      <c r="G299" s="33" t="str">
        <f t="shared" si="3"/>
        <v/>
      </c>
      <c r="H299" s="39" t="str">
        <f>IF(C299="","",C299+IFERROR(VLOOKUP(VLOOKUP(A299,BOOKINGS!$A:$Q,3,FALSE),CLIENTS!$A:$H,6,FALSE),30))</f>
        <v/>
      </c>
      <c r="I299" s="33" t="str">
        <f>IF(A299="","",IFERROR(VLOOKUP(B299,COLLECTIONS!$A:$I,7,FALSE),"Unpaid"))</f>
        <v/>
      </c>
    </row>
    <row r="300" ht="15.75" customHeight="1">
      <c r="A300" s="33" t="str">
        <f>IF(PROFITABILITY!A300="","",PROFITABILITY!A300)</f>
        <v/>
      </c>
      <c r="B300" s="33" t="str">
        <f t="shared" si="1"/>
        <v/>
      </c>
      <c r="C300" s="39" t="str">
        <f>IF(A300="","",IFERROR(VLOOKUP(A300,BOOKINGS!$A:$Q,8,FALSE),BOOKINGS!B300))</f>
        <v/>
      </c>
      <c r="D300" s="38" t="str">
        <f>IF(A300="","",PROFITABILITY!B300)</f>
        <v/>
      </c>
      <c r="E300" s="38" t="str">
        <f>IF(A300="","",SETUP_RATES!$K$4)</f>
        <v/>
      </c>
      <c r="F300" s="38" t="str">
        <f t="shared" si="2"/>
        <v/>
      </c>
      <c r="G300" s="33" t="str">
        <f t="shared" si="3"/>
        <v/>
      </c>
      <c r="H300" s="39" t="str">
        <f>IF(C300="","",C300+IFERROR(VLOOKUP(VLOOKUP(A300,BOOKINGS!$A:$Q,3,FALSE),CLIENTS!$A:$H,6,FALSE),30))</f>
        <v/>
      </c>
      <c r="I300" s="33" t="str">
        <f>IF(A300="","",IFERROR(VLOOKUP(B300,COLLECTIONS!$A:$I,7,FALSE),"Unpaid"))</f>
        <v/>
      </c>
    </row>
    <row r="301" ht="15.75" customHeight="1">
      <c r="A301" s="33" t="str">
        <f>IF(PROFITABILITY!A301="","",PROFITABILITY!A301)</f>
        <v/>
      </c>
      <c r="B301" s="33" t="str">
        <f t="shared" si="1"/>
        <v/>
      </c>
      <c r="C301" s="39" t="str">
        <f>IF(A301="","",IFERROR(VLOOKUP(A301,BOOKINGS!$A:$Q,8,FALSE),BOOKINGS!B301))</f>
        <v/>
      </c>
      <c r="D301" s="38" t="str">
        <f>IF(A301="","",PROFITABILITY!B301)</f>
        <v/>
      </c>
      <c r="E301" s="38" t="str">
        <f>IF(A301="","",SETUP_RATES!$K$4)</f>
        <v/>
      </c>
      <c r="F301" s="38" t="str">
        <f t="shared" si="2"/>
        <v/>
      </c>
      <c r="G301" s="33" t="str">
        <f t="shared" si="3"/>
        <v/>
      </c>
      <c r="H301" s="39" t="str">
        <f>IF(C301="","",C301+IFERROR(VLOOKUP(VLOOKUP(A301,BOOKINGS!$A:$Q,3,FALSE),CLIENTS!$A:$H,6,FALSE),30))</f>
        <v/>
      </c>
      <c r="I301" s="33" t="str">
        <f>IF(A301="","",IFERROR(VLOOKUP(B301,COLLECTIONS!$A:$I,7,FALSE),"Unpaid"))</f>
        <v/>
      </c>
    </row>
    <row r="302" ht="15.75" customHeight="1">
      <c r="A302" s="33" t="str">
        <f>IF(PROFITABILITY!A302="","",PROFITABILITY!A302)</f>
        <v/>
      </c>
      <c r="B302" s="33" t="str">
        <f t="shared" si="1"/>
        <v/>
      </c>
      <c r="C302" s="39" t="str">
        <f>IF(A302="","",IFERROR(VLOOKUP(A302,BOOKINGS!$A:$Q,8,FALSE),BOOKINGS!B302))</f>
        <v/>
      </c>
      <c r="D302" s="38" t="str">
        <f>IF(A302="","",PROFITABILITY!B302)</f>
        <v/>
      </c>
      <c r="E302" s="38" t="str">
        <f>IF(A302="","",SETUP_RATES!$K$4)</f>
        <v/>
      </c>
      <c r="F302" s="38" t="str">
        <f t="shared" si="2"/>
        <v/>
      </c>
      <c r="G302" s="33" t="str">
        <f t="shared" si="3"/>
        <v/>
      </c>
      <c r="H302" s="39" t="str">
        <f>IF(C302="","",C302+IFERROR(VLOOKUP(VLOOKUP(A302,BOOKINGS!$A:$Q,3,FALSE),CLIENTS!$A:$H,6,FALSE),30))</f>
        <v/>
      </c>
      <c r="I302" s="33" t="str">
        <f>IF(A302="","",IFERROR(VLOOKUP(B302,COLLECTIONS!$A:$I,7,FALSE),"Unpaid"))</f>
        <v/>
      </c>
    </row>
    <row r="303" ht="15.75" customHeight="1">
      <c r="A303" s="33" t="str">
        <f>IF(PROFITABILITY!A303="","",PROFITABILITY!A303)</f>
        <v/>
      </c>
      <c r="B303" s="33" t="str">
        <f t="shared" si="1"/>
        <v/>
      </c>
      <c r="C303" s="39" t="str">
        <f>IF(A303="","",IFERROR(VLOOKUP(A303,BOOKINGS!$A:$Q,8,FALSE),BOOKINGS!B303))</f>
        <v/>
      </c>
      <c r="D303" s="38" t="str">
        <f>IF(A303="","",PROFITABILITY!B303)</f>
        <v/>
      </c>
      <c r="E303" s="38" t="str">
        <f>IF(A303="","",SETUP_RATES!$K$4)</f>
        <v/>
      </c>
      <c r="F303" s="38" t="str">
        <f t="shared" si="2"/>
        <v/>
      </c>
      <c r="G303" s="33" t="str">
        <f t="shared" si="3"/>
        <v/>
      </c>
      <c r="H303" s="39" t="str">
        <f>IF(C303="","",C303+IFERROR(VLOOKUP(VLOOKUP(A303,BOOKINGS!$A:$Q,3,FALSE),CLIENTS!$A:$H,6,FALSE),30))</f>
        <v/>
      </c>
      <c r="I303" s="33" t="str">
        <f>IF(A303="","",IFERROR(VLOOKUP(B303,COLLECTIONS!$A:$I,7,FALSE),"Unpaid"))</f>
        <v/>
      </c>
    </row>
    <row r="304" ht="15.75" customHeight="1">
      <c r="A304" s="33" t="str">
        <f>IF(PROFITABILITY!A304="","",PROFITABILITY!A304)</f>
        <v/>
      </c>
      <c r="B304" s="33" t="str">
        <f t="shared" si="1"/>
        <v/>
      </c>
      <c r="C304" s="39" t="str">
        <f>IF(A304="","",IFERROR(VLOOKUP(A304,BOOKINGS!$A:$Q,8,FALSE),BOOKINGS!B304))</f>
        <v/>
      </c>
      <c r="D304" s="38" t="str">
        <f>IF(A304="","",PROFITABILITY!B304)</f>
        <v/>
      </c>
      <c r="E304" s="38" t="str">
        <f>IF(A304="","",SETUP_RATES!$K$4)</f>
        <v/>
      </c>
      <c r="F304" s="38" t="str">
        <f t="shared" si="2"/>
        <v/>
      </c>
      <c r="G304" s="33" t="str">
        <f t="shared" si="3"/>
        <v/>
      </c>
      <c r="H304" s="39" t="str">
        <f>IF(C304="","",C304+IFERROR(VLOOKUP(VLOOKUP(A304,BOOKINGS!$A:$Q,3,FALSE),CLIENTS!$A:$H,6,FALSE),30))</f>
        <v/>
      </c>
      <c r="I304" s="33" t="str">
        <f>IF(A304="","",IFERROR(VLOOKUP(B304,COLLECTIONS!$A:$I,7,FALSE),"Unpaid"))</f>
        <v/>
      </c>
    </row>
    <row r="305" ht="15.75" customHeight="1">
      <c r="A305" s="33" t="str">
        <f>IF(PROFITABILITY!A305="","",PROFITABILITY!A305)</f>
        <v/>
      </c>
      <c r="B305" s="33" t="str">
        <f t="shared" si="1"/>
        <v/>
      </c>
      <c r="C305" s="39" t="str">
        <f>IF(A305="","",IFERROR(VLOOKUP(A305,BOOKINGS!$A:$Q,8,FALSE),BOOKINGS!B305))</f>
        <v/>
      </c>
      <c r="D305" s="38" t="str">
        <f>IF(A305="","",PROFITABILITY!B305)</f>
        <v/>
      </c>
      <c r="E305" s="38" t="str">
        <f>IF(A305="","",SETUP_RATES!$K$4)</f>
        <v/>
      </c>
      <c r="F305" s="38" t="str">
        <f t="shared" si="2"/>
        <v/>
      </c>
      <c r="G305" s="33" t="str">
        <f t="shared" si="3"/>
        <v/>
      </c>
      <c r="H305" s="39" t="str">
        <f>IF(C305="","",C305+IFERROR(VLOOKUP(VLOOKUP(A305,BOOKINGS!$A:$Q,3,FALSE),CLIENTS!$A:$H,6,FALSE),30))</f>
        <v/>
      </c>
      <c r="I305" s="33" t="str">
        <f>IF(A305="","",IFERROR(VLOOKUP(B305,COLLECTIONS!$A:$I,7,FALSE),"Unpaid"))</f>
        <v/>
      </c>
    </row>
    <row r="306" ht="15.75" customHeight="1">
      <c r="A306" s="33" t="str">
        <f>IF(PROFITABILITY!A306="","",PROFITABILITY!A306)</f>
        <v/>
      </c>
      <c r="B306" s="33" t="str">
        <f t="shared" si="1"/>
        <v/>
      </c>
      <c r="C306" s="39" t="str">
        <f>IF(A306="","",IFERROR(VLOOKUP(A306,BOOKINGS!$A:$Q,8,FALSE),BOOKINGS!B306))</f>
        <v/>
      </c>
      <c r="D306" s="38" t="str">
        <f>IF(A306="","",PROFITABILITY!B306)</f>
        <v/>
      </c>
      <c r="E306" s="38" t="str">
        <f>IF(A306="","",SETUP_RATES!$K$4)</f>
        <v/>
      </c>
      <c r="F306" s="38" t="str">
        <f t="shared" si="2"/>
        <v/>
      </c>
      <c r="G306" s="33" t="str">
        <f t="shared" si="3"/>
        <v/>
      </c>
      <c r="H306" s="39" t="str">
        <f>IF(C306="","",C306+IFERROR(VLOOKUP(VLOOKUP(A306,BOOKINGS!$A:$Q,3,FALSE),CLIENTS!$A:$H,6,FALSE),30))</f>
        <v/>
      </c>
      <c r="I306" s="33" t="str">
        <f>IF(A306="","",IFERROR(VLOOKUP(B306,COLLECTIONS!$A:$I,7,FALSE),"Unpaid"))</f>
        <v/>
      </c>
    </row>
    <row r="307" ht="15.75" customHeight="1">
      <c r="A307" s="33" t="str">
        <f>IF(PROFITABILITY!A307="","",PROFITABILITY!A307)</f>
        <v/>
      </c>
      <c r="B307" s="33" t="str">
        <f t="shared" si="1"/>
        <v/>
      </c>
      <c r="C307" s="39" t="str">
        <f>IF(A307="","",IFERROR(VLOOKUP(A307,BOOKINGS!$A:$Q,8,FALSE),BOOKINGS!B307))</f>
        <v/>
      </c>
      <c r="D307" s="38" t="str">
        <f>IF(A307="","",PROFITABILITY!B307)</f>
        <v/>
      </c>
      <c r="E307" s="38" t="str">
        <f>IF(A307="","",SETUP_RATES!$K$4)</f>
        <v/>
      </c>
      <c r="F307" s="38" t="str">
        <f t="shared" si="2"/>
        <v/>
      </c>
      <c r="G307" s="33" t="str">
        <f t="shared" si="3"/>
        <v/>
      </c>
      <c r="H307" s="39" t="str">
        <f>IF(C307="","",C307+IFERROR(VLOOKUP(VLOOKUP(A307,BOOKINGS!$A:$Q,3,FALSE),CLIENTS!$A:$H,6,FALSE),30))</f>
        <v/>
      </c>
      <c r="I307" s="33" t="str">
        <f>IF(A307="","",IFERROR(VLOOKUP(B307,COLLECTIONS!$A:$I,7,FALSE),"Unpaid"))</f>
        <v/>
      </c>
    </row>
    <row r="308" ht="15.75" customHeight="1">
      <c r="A308" s="33" t="str">
        <f>IF(PROFITABILITY!A308="","",PROFITABILITY!A308)</f>
        <v/>
      </c>
      <c r="B308" s="33" t="str">
        <f t="shared" si="1"/>
        <v/>
      </c>
      <c r="C308" s="39" t="str">
        <f>IF(A308="","",IFERROR(VLOOKUP(A308,BOOKINGS!$A:$Q,8,FALSE),BOOKINGS!B308))</f>
        <v/>
      </c>
      <c r="D308" s="38" t="str">
        <f>IF(A308="","",PROFITABILITY!B308)</f>
        <v/>
      </c>
      <c r="E308" s="38" t="str">
        <f>IF(A308="","",SETUP_RATES!$K$4)</f>
        <v/>
      </c>
      <c r="F308" s="38" t="str">
        <f t="shared" si="2"/>
        <v/>
      </c>
      <c r="G308" s="33" t="str">
        <f t="shared" si="3"/>
        <v/>
      </c>
      <c r="H308" s="39" t="str">
        <f>IF(C308="","",C308+IFERROR(VLOOKUP(VLOOKUP(A308,BOOKINGS!$A:$Q,3,FALSE),CLIENTS!$A:$H,6,FALSE),30))</f>
        <v/>
      </c>
      <c r="I308" s="33" t="str">
        <f>IF(A308="","",IFERROR(VLOOKUP(B308,COLLECTIONS!$A:$I,7,FALSE),"Unpaid"))</f>
        <v/>
      </c>
    </row>
    <row r="309" ht="15.75" customHeight="1">
      <c r="A309" s="33" t="str">
        <f>IF(PROFITABILITY!A309="","",PROFITABILITY!A309)</f>
        <v/>
      </c>
      <c r="B309" s="33" t="str">
        <f t="shared" si="1"/>
        <v/>
      </c>
      <c r="C309" s="39" t="str">
        <f>IF(A309="","",IFERROR(VLOOKUP(A309,BOOKINGS!$A:$Q,8,FALSE),BOOKINGS!B309))</f>
        <v/>
      </c>
      <c r="D309" s="38" t="str">
        <f>IF(A309="","",PROFITABILITY!B309)</f>
        <v/>
      </c>
      <c r="E309" s="38" t="str">
        <f>IF(A309="","",SETUP_RATES!$K$4)</f>
        <v/>
      </c>
      <c r="F309" s="38" t="str">
        <f t="shared" si="2"/>
        <v/>
      </c>
      <c r="G309" s="33" t="str">
        <f t="shared" si="3"/>
        <v/>
      </c>
      <c r="H309" s="39" t="str">
        <f>IF(C309="","",C309+IFERROR(VLOOKUP(VLOOKUP(A309,BOOKINGS!$A:$Q,3,FALSE),CLIENTS!$A:$H,6,FALSE),30))</f>
        <v/>
      </c>
      <c r="I309" s="33" t="str">
        <f>IF(A309="","",IFERROR(VLOOKUP(B309,COLLECTIONS!$A:$I,7,FALSE),"Unpaid"))</f>
        <v/>
      </c>
    </row>
    <row r="310" ht="15.75" customHeight="1">
      <c r="A310" s="33" t="str">
        <f>IF(PROFITABILITY!A310="","",PROFITABILITY!A310)</f>
        <v/>
      </c>
      <c r="B310" s="33" t="str">
        <f t="shared" si="1"/>
        <v/>
      </c>
      <c r="C310" s="39" t="str">
        <f>IF(A310="","",IFERROR(VLOOKUP(A310,BOOKINGS!$A:$Q,8,FALSE),BOOKINGS!B310))</f>
        <v/>
      </c>
      <c r="D310" s="38" t="str">
        <f>IF(A310="","",PROFITABILITY!B310)</f>
        <v/>
      </c>
      <c r="E310" s="38" t="str">
        <f>IF(A310="","",SETUP_RATES!$K$4)</f>
        <v/>
      </c>
      <c r="F310" s="38" t="str">
        <f t="shared" si="2"/>
        <v/>
      </c>
      <c r="G310" s="33" t="str">
        <f t="shared" si="3"/>
        <v/>
      </c>
      <c r="H310" s="39" t="str">
        <f>IF(C310="","",C310+IFERROR(VLOOKUP(VLOOKUP(A310,BOOKINGS!$A:$Q,3,FALSE),CLIENTS!$A:$H,6,FALSE),30))</f>
        <v/>
      </c>
      <c r="I310" s="33" t="str">
        <f>IF(A310="","",IFERROR(VLOOKUP(B310,COLLECTIONS!$A:$I,7,FALSE),"Unpaid"))</f>
        <v/>
      </c>
    </row>
    <row r="311" ht="15.75" customHeight="1">
      <c r="A311" s="33" t="str">
        <f>IF(PROFITABILITY!A311="","",PROFITABILITY!A311)</f>
        <v/>
      </c>
      <c r="B311" s="33" t="str">
        <f t="shared" si="1"/>
        <v/>
      </c>
      <c r="C311" s="39" t="str">
        <f>IF(A311="","",IFERROR(VLOOKUP(A311,BOOKINGS!$A:$Q,8,FALSE),BOOKINGS!B311))</f>
        <v/>
      </c>
      <c r="D311" s="38" t="str">
        <f>IF(A311="","",PROFITABILITY!B311)</f>
        <v/>
      </c>
      <c r="E311" s="38" t="str">
        <f>IF(A311="","",SETUP_RATES!$K$4)</f>
        <v/>
      </c>
      <c r="F311" s="38" t="str">
        <f t="shared" si="2"/>
        <v/>
      </c>
      <c r="G311" s="33" t="str">
        <f t="shared" si="3"/>
        <v/>
      </c>
      <c r="H311" s="39" t="str">
        <f>IF(C311="","",C311+IFERROR(VLOOKUP(VLOOKUP(A311,BOOKINGS!$A:$Q,3,FALSE),CLIENTS!$A:$H,6,FALSE),30))</f>
        <v/>
      </c>
      <c r="I311" s="33" t="str">
        <f>IF(A311="","",IFERROR(VLOOKUP(B311,COLLECTIONS!$A:$I,7,FALSE),"Unpaid"))</f>
        <v/>
      </c>
    </row>
    <row r="312" ht="15.75" customHeight="1">
      <c r="A312" s="33" t="str">
        <f>IF(PROFITABILITY!A312="","",PROFITABILITY!A312)</f>
        <v/>
      </c>
      <c r="B312" s="33" t="str">
        <f t="shared" si="1"/>
        <v/>
      </c>
      <c r="C312" s="39" t="str">
        <f>IF(A312="","",IFERROR(VLOOKUP(A312,BOOKINGS!$A:$Q,8,FALSE),BOOKINGS!B312))</f>
        <v/>
      </c>
      <c r="D312" s="38" t="str">
        <f>IF(A312="","",PROFITABILITY!B312)</f>
        <v/>
      </c>
      <c r="E312" s="38" t="str">
        <f>IF(A312="","",SETUP_RATES!$K$4)</f>
        <v/>
      </c>
      <c r="F312" s="38" t="str">
        <f t="shared" si="2"/>
        <v/>
      </c>
      <c r="G312" s="33" t="str">
        <f t="shared" si="3"/>
        <v/>
      </c>
      <c r="H312" s="39" t="str">
        <f>IF(C312="","",C312+IFERROR(VLOOKUP(VLOOKUP(A312,BOOKINGS!$A:$Q,3,FALSE),CLIENTS!$A:$H,6,FALSE),30))</f>
        <v/>
      </c>
      <c r="I312" s="33" t="str">
        <f>IF(A312="","",IFERROR(VLOOKUP(B312,COLLECTIONS!$A:$I,7,FALSE),"Unpaid"))</f>
        <v/>
      </c>
    </row>
    <row r="313" ht="15.75" customHeight="1">
      <c r="A313" s="33" t="str">
        <f>IF(PROFITABILITY!A313="","",PROFITABILITY!A313)</f>
        <v/>
      </c>
      <c r="B313" s="33" t="str">
        <f t="shared" si="1"/>
        <v/>
      </c>
      <c r="C313" s="39" t="str">
        <f>IF(A313="","",IFERROR(VLOOKUP(A313,BOOKINGS!$A:$Q,8,FALSE),BOOKINGS!B313))</f>
        <v/>
      </c>
      <c r="D313" s="38" t="str">
        <f>IF(A313="","",PROFITABILITY!B313)</f>
        <v/>
      </c>
      <c r="E313" s="38" t="str">
        <f>IF(A313="","",SETUP_RATES!$K$4)</f>
        <v/>
      </c>
      <c r="F313" s="38" t="str">
        <f t="shared" si="2"/>
        <v/>
      </c>
      <c r="G313" s="33" t="str">
        <f t="shared" si="3"/>
        <v/>
      </c>
      <c r="H313" s="39" t="str">
        <f>IF(C313="","",C313+IFERROR(VLOOKUP(VLOOKUP(A313,BOOKINGS!$A:$Q,3,FALSE),CLIENTS!$A:$H,6,FALSE),30))</f>
        <v/>
      </c>
      <c r="I313" s="33" t="str">
        <f>IF(A313="","",IFERROR(VLOOKUP(B313,COLLECTIONS!$A:$I,7,FALSE),"Unpaid"))</f>
        <v/>
      </c>
    </row>
    <row r="314" ht="15.75" customHeight="1">
      <c r="A314" s="33" t="str">
        <f>IF(PROFITABILITY!A314="","",PROFITABILITY!A314)</f>
        <v/>
      </c>
      <c r="B314" s="33" t="str">
        <f t="shared" si="1"/>
        <v/>
      </c>
      <c r="C314" s="39" t="str">
        <f>IF(A314="","",IFERROR(VLOOKUP(A314,BOOKINGS!$A:$Q,8,FALSE),BOOKINGS!B314))</f>
        <v/>
      </c>
      <c r="D314" s="38" t="str">
        <f>IF(A314="","",PROFITABILITY!B314)</f>
        <v/>
      </c>
      <c r="E314" s="38" t="str">
        <f>IF(A314="","",SETUP_RATES!$K$4)</f>
        <v/>
      </c>
      <c r="F314" s="38" t="str">
        <f t="shared" si="2"/>
        <v/>
      </c>
      <c r="G314" s="33" t="str">
        <f t="shared" si="3"/>
        <v/>
      </c>
      <c r="H314" s="39" t="str">
        <f>IF(C314="","",C314+IFERROR(VLOOKUP(VLOOKUP(A314,BOOKINGS!$A:$Q,3,FALSE),CLIENTS!$A:$H,6,FALSE),30))</f>
        <v/>
      </c>
      <c r="I314" s="33" t="str">
        <f>IF(A314="","",IFERROR(VLOOKUP(B314,COLLECTIONS!$A:$I,7,FALSE),"Unpaid"))</f>
        <v/>
      </c>
    </row>
    <row r="315" ht="15.75" customHeight="1">
      <c r="A315" s="33" t="str">
        <f>IF(PROFITABILITY!A315="","",PROFITABILITY!A315)</f>
        <v/>
      </c>
      <c r="B315" s="33" t="str">
        <f t="shared" si="1"/>
        <v/>
      </c>
      <c r="C315" s="39" t="str">
        <f>IF(A315="","",IFERROR(VLOOKUP(A315,BOOKINGS!$A:$Q,8,FALSE),BOOKINGS!B315))</f>
        <v/>
      </c>
      <c r="D315" s="38" t="str">
        <f>IF(A315="","",PROFITABILITY!B315)</f>
        <v/>
      </c>
      <c r="E315" s="38" t="str">
        <f>IF(A315="","",SETUP_RATES!$K$4)</f>
        <v/>
      </c>
      <c r="F315" s="38" t="str">
        <f t="shared" si="2"/>
        <v/>
      </c>
      <c r="G315" s="33" t="str">
        <f t="shared" si="3"/>
        <v/>
      </c>
      <c r="H315" s="39" t="str">
        <f>IF(C315="","",C315+IFERROR(VLOOKUP(VLOOKUP(A315,BOOKINGS!$A:$Q,3,FALSE),CLIENTS!$A:$H,6,FALSE),30))</f>
        <v/>
      </c>
      <c r="I315" s="33" t="str">
        <f>IF(A315="","",IFERROR(VLOOKUP(B315,COLLECTIONS!$A:$I,7,FALSE),"Unpaid"))</f>
        <v/>
      </c>
    </row>
    <row r="316" ht="15.75" customHeight="1">
      <c r="A316" s="33" t="str">
        <f>IF(PROFITABILITY!A316="","",PROFITABILITY!A316)</f>
        <v/>
      </c>
      <c r="B316" s="33" t="str">
        <f t="shared" si="1"/>
        <v/>
      </c>
      <c r="C316" s="39" t="str">
        <f>IF(A316="","",IFERROR(VLOOKUP(A316,BOOKINGS!$A:$Q,8,FALSE),BOOKINGS!B316))</f>
        <v/>
      </c>
      <c r="D316" s="38" t="str">
        <f>IF(A316="","",PROFITABILITY!B316)</f>
        <v/>
      </c>
      <c r="E316" s="38" t="str">
        <f>IF(A316="","",SETUP_RATES!$K$4)</f>
        <v/>
      </c>
      <c r="F316" s="38" t="str">
        <f t="shared" si="2"/>
        <v/>
      </c>
      <c r="G316" s="33" t="str">
        <f t="shared" si="3"/>
        <v/>
      </c>
      <c r="H316" s="39" t="str">
        <f>IF(C316="","",C316+IFERROR(VLOOKUP(VLOOKUP(A316,BOOKINGS!$A:$Q,3,FALSE),CLIENTS!$A:$H,6,FALSE),30))</f>
        <v/>
      </c>
      <c r="I316" s="33" t="str">
        <f>IF(A316="","",IFERROR(VLOOKUP(B316,COLLECTIONS!$A:$I,7,FALSE),"Unpaid"))</f>
        <v/>
      </c>
    </row>
    <row r="317" ht="15.75" customHeight="1">
      <c r="A317" s="33" t="str">
        <f>IF(PROFITABILITY!A317="","",PROFITABILITY!A317)</f>
        <v/>
      </c>
      <c r="B317" s="33" t="str">
        <f t="shared" si="1"/>
        <v/>
      </c>
      <c r="C317" s="39" t="str">
        <f>IF(A317="","",IFERROR(VLOOKUP(A317,BOOKINGS!$A:$Q,8,FALSE),BOOKINGS!B317))</f>
        <v/>
      </c>
      <c r="D317" s="38" t="str">
        <f>IF(A317="","",PROFITABILITY!B317)</f>
        <v/>
      </c>
      <c r="E317" s="38" t="str">
        <f>IF(A317="","",SETUP_RATES!$K$4)</f>
        <v/>
      </c>
      <c r="F317" s="38" t="str">
        <f t="shared" si="2"/>
        <v/>
      </c>
      <c r="G317" s="33" t="str">
        <f t="shared" si="3"/>
        <v/>
      </c>
      <c r="H317" s="39" t="str">
        <f>IF(C317="","",C317+IFERROR(VLOOKUP(VLOOKUP(A317,BOOKINGS!$A:$Q,3,FALSE),CLIENTS!$A:$H,6,FALSE),30))</f>
        <v/>
      </c>
      <c r="I317" s="33" t="str">
        <f>IF(A317="","",IFERROR(VLOOKUP(B317,COLLECTIONS!$A:$I,7,FALSE),"Unpaid"))</f>
        <v/>
      </c>
    </row>
    <row r="318" ht="15.75" customHeight="1">
      <c r="A318" s="33" t="str">
        <f>IF(PROFITABILITY!A318="","",PROFITABILITY!A318)</f>
        <v/>
      </c>
      <c r="B318" s="33" t="str">
        <f t="shared" si="1"/>
        <v/>
      </c>
      <c r="C318" s="39" t="str">
        <f>IF(A318="","",IFERROR(VLOOKUP(A318,BOOKINGS!$A:$Q,8,FALSE),BOOKINGS!B318))</f>
        <v/>
      </c>
      <c r="D318" s="38" t="str">
        <f>IF(A318="","",PROFITABILITY!B318)</f>
        <v/>
      </c>
      <c r="E318" s="38" t="str">
        <f>IF(A318="","",SETUP_RATES!$K$4)</f>
        <v/>
      </c>
      <c r="F318" s="38" t="str">
        <f t="shared" si="2"/>
        <v/>
      </c>
      <c r="G318" s="33" t="str">
        <f t="shared" si="3"/>
        <v/>
      </c>
      <c r="H318" s="39" t="str">
        <f>IF(C318="","",C318+IFERROR(VLOOKUP(VLOOKUP(A318,BOOKINGS!$A:$Q,3,FALSE),CLIENTS!$A:$H,6,FALSE),30))</f>
        <v/>
      </c>
      <c r="I318" s="33" t="str">
        <f>IF(A318="","",IFERROR(VLOOKUP(B318,COLLECTIONS!$A:$I,7,FALSE),"Unpaid"))</f>
        <v/>
      </c>
    </row>
    <row r="319" ht="15.75" customHeight="1">
      <c r="A319" s="33" t="str">
        <f>IF(PROFITABILITY!A319="","",PROFITABILITY!A319)</f>
        <v/>
      </c>
      <c r="B319" s="33" t="str">
        <f t="shared" si="1"/>
        <v/>
      </c>
      <c r="C319" s="39" t="str">
        <f>IF(A319="","",IFERROR(VLOOKUP(A319,BOOKINGS!$A:$Q,8,FALSE),BOOKINGS!B319))</f>
        <v/>
      </c>
      <c r="D319" s="38" t="str">
        <f>IF(A319="","",PROFITABILITY!B319)</f>
        <v/>
      </c>
      <c r="E319" s="38" t="str">
        <f>IF(A319="","",SETUP_RATES!$K$4)</f>
        <v/>
      </c>
      <c r="F319" s="38" t="str">
        <f t="shared" si="2"/>
        <v/>
      </c>
      <c r="G319" s="33" t="str">
        <f t="shared" si="3"/>
        <v/>
      </c>
      <c r="H319" s="39" t="str">
        <f>IF(C319="","",C319+IFERROR(VLOOKUP(VLOOKUP(A319,BOOKINGS!$A:$Q,3,FALSE),CLIENTS!$A:$H,6,FALSE),30))</f>
        <v/>
      </c>
      <c r="I319" s="33" t="str">
        <f>IF(A319="","",IFERROR(VLOOKUP(B319,COLLECTIONS!$A:$I,7,FALSE),"Unpaid"))</f>
        <v/>
      </c>
    </row>
    <row r="320" ht="15.75" customHeight="1">
      <c r="A320" s="33" t="str">
        <f>IF(PROFITABILITY!A320="","",PROFITABILITY!A320)</f>
        <v/>
      </c>
      <c r="B320" s="33" t="str">
        <f t="shared" si="1"/>
        <v/>
      </c>
      <c r="C320" s="39" t="str">
        <f>IF(A320="","",IFERROR(VLOOKUP(A320,BOOKINGS!$A:$Q,8,FALSE),BOOKINGS!B320))</f>
        <v/>
      </c>
      <c r="D320" s="38" t="str">
        <f>IF(A320="","",PROFITABILITY!B320)</f>
        <v/>
      </c>
      <c r="E320" s="38" t="str">
        <f>IF(A320="","",SETUP_RATES!$K$4)</f>
        <v/>
      </c>
      <c r="F320" s="38" t="str">
        <f t="shared" si="2"/>
        <v/>
      </c>
      <c r="G320" s="33" t="str">
        <f t="shared" si="3"/>
        <v/>
      </c>
      <c r="H320" s="39" t="str">
        <f>IF(C320="","",C320+IFERROR(VLOOKUP(VLOOKUP(A320,BOOKINGS!$A:$Q,3,FALSE),CLIENTS!$A:$H,6,FALSE),30))</f>
        <v/>
      </c>
      <c r="I320" s="33" t="str">
        <f>IF(A320="","",IFERROR(VLOOKUP(B320,COLLECTIONS!$A:$I,7,FALSE),"Unpaid"))</f>
        <v/>
      </c>
    </row>
    <row r="321" ht="15.75" customHeight="1">
      <c r="A321" s="33" t="str">
        <f>IF(PROFITABILITY!A321="","",PROFITABILITY!A321)</f>
        <v/>
      </c>
      <c r="B321" s="33" t="str">
        <f t="shared" si="1"/>
        <v/>
      </c>
      <c r="C321" s="39" t="str">
        <f>IF(A321="","",IFERROR(VLOOKUP(A321,BOOKINGS!$A:$Q,8,FALSE),BOOKINGS!B321))</f>
        <v/>
      </c>
      <c r="D321" s="38" t="str">
        <f>IF(A321="","",PROFITABILITY!B321)</f>
        <v/>
      </c>
      <c r="E321" s="38" t="str">
        <f>IF(A321="","",SETUP_RATES!$K$4)</f>
        <v/>
      </c>
      <c r="F321" s="38" t="str">
        <f t="shared" si="2"/>
        <v/>
      </c>
      <c r="G321" s="33" t="str">
        <f t="shared" si="3"/>
        <v/>
      </c>
      <c r="H321" s="39" t="str">
        <f>IF(C321="","",C321+IFERROR(VLOOKUP(VLOOKUP(A321,BOOKINGS!$A:$Q,3,FALSE),CLIENTS!$A:$H,6,FALSE),30))</f>
        <v/>
      </c>
      <c r="I321" s="33" t="str">
        <f>IF(A321="","",IFERROR(VLOOKUP(B321,COLLECTIONS!$A:$I,7,FALSE),"Unpaid"))</f>
        <v/>
      </c>
    </row>
    <row r="322" ht="15.75" customHeight="1">
      <c r="A322" s="33" t="str">
        <f>IF(PROFITABILITY!A322="","",PROFITABILITY!A322)</f>
        <v/>
      </c>
      <c r="B322" s="33" t="str">
        <f t="shared" si="1"/>
        <v/>
      </c>
      <c r="C322" s="39" t="str">
        <f>IF(A322="","",IFERROR(VLOOKUP(A322,BOOKINGS!$A:$Q,8,FALSE),BOOKINGS!B322))</f>
        <v/>
      </c>
      <c r="D322" s="38" t="str">
        <f>IF(A322="","",PROFITABILITY!B322)</f>
        <v/>
      </c>
      <c r="E322" s="38" t="str">
        <f>IF(A322="","",SETUP_RATES!$K$4)</f>
        <v/>
      </c>
      <c r="F322" s="38" t="str">
        <f t="shared" si="2"/>
        <v/>
      </c>
      <c r="G322" s="33" t="str">
        <f t="shared" si="3"/>
        <v/>
      </c>
      <c r="H322" s="39" t="str">
        <f>IF(C322="","",C322+IFERROR(VLOOKUP(VLOOKUP(A322,BOOKINGS!$A:$Q,3,FALSE),CLIENTS!$A:$H,6,FALSE),30))</f>
        <v/>
      </c>
      <c r="I322" s="33" t="str">
        <f>IF(A322="","",IFERROR(VLOOKUP(B322,COLLECTIONS!$A:$I,7,FALSE),"Unpaid"))</f>
        <v/>
      </c>
    </row>
    <row r="323" ht="15.75" customHeight="1">
      <c r="A323" s="33" t="str">
        <f>IF(PROFITABILITY!A323="","",PROFITABILITY!A323)</f>
        <v/>
      </c>
      <c r="B323" s="33" t="str">
        <f t="shared" si="1"/>
        <v/>
      </c>
      <c r="C323" s="39" t="str">
        <f>IF(A323="","",IFERROR(VLOOKUP(A323,BOOKINGS!$A:$Q,8,FALSE),BOOKINGS!B323))</f>
        <v/>
      </c>
      <c r="D323" s="38" t="str">
        <f>IF(A323="","",PROFITABILITY!B323)</f>
        <v/>
      </c>
      <c r="E323" s="38" t="str">
        <f>IF(A323="","",SETUP_RATES!$K$4)</f>
        <v/>
      </c>
      <c r="F323" s="38" t="str">
        <f t="shared" si="2"/>
        <v/>
      </c>
      <c r="G323" s="33" t="str">
        <f t="shared" si="3"/>
        <v/>
      </c>
      <c r="H323" s="39" t="str">
        <f>IF(C323="","",C323+IFERROR(VLOOKUP(VLOOKUP(A323,BOOKINGS!$A:$Q,3,FALSE),CLIENTS!$A:$H,6,FALSE),30))</f>
        <v/>
      </c>
      <c r="I323" s="33" t="str">
        <f>IF(A323="","",IFERROR(VLOOKUP(B323,COLLECTIONS!$A:$I,7,FALSE),"Unpaid"))</f>
        <v/>
      </c>
    </row>
    <row r="324" ht="15.75" customHeight="1">
      <c r="A324" s="33" t="str">
        <f>IF(PROFITABILITY!A324="","",PROFITABILITY!A324)</f>
        <v/>
      </c>
      <c r="B324" s="33" t="str">
        <f t="shared" si="1"/>
        <v/>
      </c>
      <c r="C324" s="39" t="str">
        <f>IF(A324="","",IFERROR(VLOOKUP(A324,BOOKINGS!$A:$Q,8,FALSE),BOOKINGS!B324))</f>
        <v/>
      </c>
      <c r="D324" s="38" t="str">
        <f>IF(A324="","",PROFITABILITY!B324)</f>
        <v/>
      </c>
      <c r="E324" s="38" t="str">
        <f>IF(A324="","",SETUP_RATES!$K$4)</f>
        <v/>
      </c>
      <c r="F324" s="38" t="str">
        <f t="shared" si="2"/>
        <v/>
      </c>
      <c r="G324" s="33" t="str">
        <f t="shared" si="3"/>
        <v/>
      </c>
      <c r="H324" s="39" t="str">
        <f>IF(C324="","",C324+IFERROR(VLOOKUP(VLOOKUP(A324,BOOKINGS!$A:$Q,3,FALSE),CLIENTS!$A:$H,6,FALSE),30))</f>
        <v/>
      </c>
      <c r="I324" s="33" t="str">
        <f>IF(A324="","",IFERROR(VLOOKUP(B324,COLLECTIONS!$A:$I,7,FALSE),"Unpaid"))</f>
        <v/>
      </c>
    </row>
    <row r="325" ht="15.75" customHeight="1">
      <c r="A325" s="33" t="str">
        <f>IF(PROFITABILITY!A325="","",PROFITABILITY!A325)</f>
        <v/>
      </c>
      <c r="B325" s="33" t="str">
        <f t="shared" si="1"/>
        <v/>
      </c>
      <c r="C325" s="39" t="str">
        <f>IF(A325="","",IFERROR(VLOOKUP(A325,BOOKINGS!$A:$Q,8,FALSE),BOOKINGS!B325))</f>
        <v/>
      </c>
      <c r="D325" s="38" t="str">
        <f>IF(A325="","",PROFITABILITY!B325)</f>
        <v/>
      </c>
      <c r="E325" s="38" t="str">
        <f>IF(A325="","",SETUP_RATES!$K$4)</f>
        <v/>
      </c>
      <c r="F325" s="38" t="str">
        <f t="shared" si="2"/>
        <v/>
      </c>
      <c r="G325" s="33" t="str">
        <f t="shared" si="3"/>
        <v/>
      </c>
      <c r="H325" s="39" t="str">
        <f>IF(C325="","",C325+IFERROR(VLOOKUP(VLOOKUP(A325,BOOKINGS!$A:$Q,3,FALSE),CLIENTS!$A:$H,6,FALSE),30))</f>
        <v/>
      </c>
      <c r="I325" s="33" t="str">
        <f>IF(A325="","",IFERROR(VLOOKUP(B325,COLLECTIONS!$A:$I,7,FALSE),"Unpaid"))</f>
        <v/>
      </c>
    </row>
    <row r="326" ht="15.75" customHeight="1">
      <c r="A326" s="33" t="str">
        <f>IF(PROFITABILITY!A326="","",PROFITABILITY!A326)</f>
        <v/>
      </c>
      <c r="B326" s="33" t="str">
        <f t="shared" si="1"/>
        <v/>
      </c>
      <c r="C326" s="39" t="str">
        <f>IF(A326="","",IFERROR(VLOOKUP(A326,BOOKINGS!$A:$Q,8,FALSE),BOOKINGS!B326))</f>
        <v/>
      </c>
      <c r="D326" s="38" t="str">
        <f>IF(A326="","",PROFITABILITY!B326)</f>
        <v/>
      </c>
      <c r="E326" s="38" t="str">
        <f>IF(A326="","",SETUP_RATES!$K$4)</f>
        <v/>
      </c>
      <c r="F326" s="38" t="str">
        <f t="shared" si="2"/>
        <v/>
      </c>
      <c r="G326" s="33" t="str">
        <f t="shared" si="3"/>
        <v/>
      </c>
      <c r="H326" s="39" t="str">
        <f>IF(C326="","",C326+IFERROR(VLOOKUP(VLOOKUP(A326,BOOKINGS!$A:$Q,3,FALSE),CLIENTS!$A:$H,6,FALSE),30))</f>
        <v/>
      </c>
      <c r="I326" s="33" t="str">
        <f>IF(A326="","",IFERROR(VLOOKUP(B326,COLLECTIONS!$A:$I,7,FALSE),"Unpaid"))</f>
        <v/>
      </c>
    </row>
    <row r="327" ht="15.75" customHeight="1">
      <c r="A327" s="33" t="str">
        <f>IF(PROFITABILITY!A327="","",PROFITABILITY!A327)</f>
        <v/>
      </c>
      <c r="B327" s="33" t="str">
        <f t="shared" si="1"/>
        <v/>
      </c>
      <c r="C327" s="39" t="str">
        <f>IF(A327="","",IFERROR(VLOOKUP(A327,BOOKINGS!$A:$Q,8,FALSE),BOOKINGS!B327))</f>
        <v/>
      </c>
      <c r="D327" s="38" t="str">
        <f>IF(A327="","",PROFITABILITY!B327)</f>
        <v/>
      </c>
      <c r="E327" s="38" t="str">
        <f>IF(A327="","",SETUP_RATES!$K$4)</f>
        <v/>
      </c>
      <c r="F327" s="38" t="str">
        <f t="shared" si="2"/>
        <v/>
      </c>
      <c r="G327" s="33" t="str">
        <f t="shared" si="3"/>
        <v/>
      </c>
      <c r="H327" s="39" t="str">
        <f>IF(C327="","",C327+IFERROR(VLOOKUP(VLOOKUP(A327,BOOKINGS!$A:$Q,3,FALSE),CLIENTS!$A:$H,6,FALSE),30))</f>
        <v/>
      </c>
      <c r="I327" s="33" t="str">
        <f>IF(A327="","",IFERROR(VLOOKUP(B327,COLLECTIONS!$A:$I,7,FALSE),"Unpaid"))</f>
        <v/>
      </c>
    </row>
    <row r="328" ht="15.75" customHeight="1">
      <c r="A328" s="33" t="str">
        <f>IF(PROFITABILITY!A328="","",PROFITABILITY!A328)</f>
        <v/>
      </c>
      <c r="B328" s="33" t="str">
        <f t="shared" si="1"/>
        <v/>
      </c>
      <c r="C328" s="39" t="str">
        <f>IF(A328="","",IFERROR(VLOOKUP(A328,BOOKINGS!$A:$Q,8,FALSE),BOOKINGS!B328))</f>
        <v/>
      </c>
      <c r="D328" s="38" t="str">
        <f>IF(A328="","",PROFITABILITY!B328)</f>
        <v/>
      </c>
      <c r="E328" s="38" t="str">
        <f>IF(A328="","",SETUP_RATES!$K$4)</f>
        <v/>
      </c>
      <c r="F328" s="38" t="str">
        <f t="shared" si="2"/>
        <v/>
      </c>
      <c r="G328" s="33" t="str">
        <f t="shared" si="3"/>
        <v/>
      </c>
      <c r="H328" s="39" t="str">
        <f>IF(C328="","",C328+IFERROR(VLOOKUP(VLOOKUP(A328,BOOKINGS!$A:$Q,3,FALSE),CLIENTS!$A:$H,6,FALSE),30))</f>
        <v/>
      </c>
      <c r="I328" s="33" t="str">
        <f>IF(A328="","",IFERROR(VLOOKUP(B328,COLLECTIONS!$A:$I,7,FALSE),"Unpaid"))</f>
        <v/>
      </c>
    </row>
    <row r="329" ht="15.75" customHeight="1">
      <c r="A329" s="33" t="str">
        <f>IF(PROFITABILITY!A329="","",PROFITABILITY!A329)</f>
        <v/>
      </c>
      <c r="B329" s="33" t="str">
        <f t="shared" si="1"/>
        <v/>
      </c>
      <c r="C329" s="39" t="str">
        <f>IF(A329="","",IFERROR(VLOOKUP(A329,BOOKINGS!$A:$Q,8,FALSE),BOOKINGS!B329))</f>
        <v/>
      </c>
      <c r="D329" s="38" t="str">
        <f>IF(A329="","",PROFITABILITY!B329)</f>
        <v/>
      </c>
      <c r="E329" s="38" t="str">
        <f>IF(A329="","",SETUP_RATES!$K$4)</f>
        <v/>
      </c>
      <c r="F329" s="38" t="str">
        <f t="shared" si="2"/>
        <v/>
      </c>
      <c r="G329" s="33" t="str">
        <f t="shared" si="3"/>
        <v/>
      </c>
      <c r="H329" s="39" t="str">
        <f>IF(C329="","",C329+IFERROR(VLOOKUP(VLOOKUP(A329,BOOKINGS!$A:$Q,3,FALSE),CLIENTS!$A:$H,6,FALSE),30))</f>
        <v/>
      </c>
      <c r="I329" s="33" t="str">
        <f>IF(A329="","",IFERROR(VLOOKUP(B329,COLLECTIONS!$A:$I,7,FALSE),"Unpaid"))</f>
        <v/>
      </c>
    </row>
    <row r="330" ht="15.75" customHeight="1">
      <c r="A330" s="33" t="str">
        <f>IF(PROFITABILITY!A330="","",PROFITABILITY!A330)</f>
        <v/>
      </c>
      <c r="B330" s="33" t="str">
        <f t="shared" si="1"/>
        <v/>
      </c>
      <c r="C330" s="39" t="str">
        <f>IF(A330="","",IFERROR(VLOOKUP(A330,BOOKINGS!$A:$Q,8,FALSE),BOOKINGS!B330))</f>
        <v/>
      </c>
      <c r="D330" s="38" t="str">
        <f>IF(A330="","",PROFITABILITY!B330)</f>
        <v/>
      </c>
      <c r="E330" s="38" t="str">
        <f>IF(A330="","",SETUP_RATES!$K$4)</f>
        <v/>
      </c>
      <c r="F330" s="38" t="str">
        <f t="shared" si="2"/>
        <v/>
      </c>
      <c r="G330" s="33" t="str">
        <f t="shared" si="3"/>
        <v/>
      </c>
      <c r="H330" s="39" t="str">
        <f>IF(C330="","",C330+IFERROR(VLOOKUP(VLOOKUP(A330,BOOKINGS!$A:$Q,3,FALSE),CLIENTS!$A:$H,6,FALSE),30))</f>
        <v/>
      </c>
      <c r="I330" s="33" t="str">
        <f>IF(A330="","",IFERROR(VLOOKUP(B330,COLLECTIONS!$A:$I,7,FALSE),"Unpaid"))</f>
        <v/>
      </c>
    </row>
    <row r="331" ht="15.75" customHeight="1">
      <c r="A331" s="33" t="str">
        <f>IF(PROFITABILITY!A331="","",PROFITABILITY!A331)</f>
        <v/>
      </c>
      <c r="B331" s="33" t="str">
        <f t="shared" si="1"/>
        <v/>
      </c>
      <c r="C331" s="39" t="str">
        <f>IF(A331="","",IFERROR(VLOOKUP(A331,BOOKINGS!$A:$Q,8,FALSE),BOOKINGS!B331))</f>
        <v/>
      </c>
      <c r="D331" s="38" t="str">
        <f>IF(A331="","",PROFITABILITY!B331)</f>
        <v/>
      </c>
      <c r="E331" s="38" t="str">
        <f>IF(A331="","",SETUP_RATES!$K$4)</f>
        <v/>
      </c>
      <c r="F331" s="38" t="str">
        <f t="shared" si="2"/>
        <v/>
      </c>
      <c r="G331" s="33" t="str">
        <f t="shared" si="3"/>
        <v/>
      </c>
      <c r="H331" s="39" t="str">
        <f>IF(C331="","",C331+IFERROR(VLOOKUP(VLOOKUP(A331,BOOKINGS!$A:$Q,3,FALSE),CLIENTS!$A:$H,6,FALSE),30))</f>
        <v/>
      </c>
      <c r="I331" s="33" t="str">
        <f>IF(A331="","",IFERROR(VLOOKUP(B331,COLLECTIONS!$A:$I,7,FALSE),"Unpaid"))</f>
        <v/>
      </c>
    </row>
    <row r="332" ht="15.75" customHeight="1">
      <c r="A332" s="33" t="str">
        <f>IF(PROFITABILITY!A332="","",PROFITABILITY!A332)</f>
        <v/>
      </c>
      <c r="B332" s="33" t="str">
        <f t="shared" si="1"/>
        <v/>
      </c>
      <c r="C332" s="39" t="str">
        <f>IF(A332="","",IFERROR(VLOOKUP(A332,BOOKINGS!$A:$Q,8,FALSE),BOOKINGS!B332))</f>
        <v/>
      </c>
      <c r="D332" s="38" t="str">
        <f>IF(A332="","",PROFITABILITY!B332)</f>
        <v/>
      </c>
      <c r="E332" s="38" t="str">
        <f>IF(A332="","",SETUP_RATES!$K$4)</f>
        <v/>
      </c>
      <c r="F332" s="38" t="str">
        <f t="shared" si="2"/>
        <v/>
      </c>
      <c r="G332" s="33" t="str">
        <f t="shared" si="3"/>
        <v/>
      </c>
      <c r="H332" s="39" t="str">
        <f>IF(C332="","",C332+IFERROR(VLOOKUP(VLOOKUP(A332,BOOKINGS!$A:$Q,3,FALSE),CLIENTS!$A:$H,6,FALSE),30))</f>
        <v/>
      </c>
      <c r="I332" s="33" t="str">
        <f>IF(A332="","",IFERROR(VLOOKUP(B332,COLLECTIONS!$A:$I,7,FALSE),"Unpaid"))</f>
        <v/>
      </c>
    </row>
    <row r="333" ht="15.75" customHeight="1">
      <c r="A333" s="33" t="str">
        <f>IF(PROFITABILITY!A333="","",PROFITABILITY!A333)</f>
        <v/>
      </c>
      <c r="B333" s="33" t="str">
        <f t="shared" si="1"/>
        <v/>
      </c>
      <c r="C333" s="39" t="str">
        <f>IF(A333="","",IFERROR(VLOOKUP(A333,BOOKINGS!$A:$Q,8,FALSE),BOOKINGS!B333))</f>
        <v/>
      </c>
      <c r="D333" s="38" t="str">
        <f>IF(A333="","",PROFITABILITY!B333)</f>
        <v/>
      </c>
      <c r="E333" s="38" t="str">
        <f>IF(A333="","",SETUP_RATES!$K$4)</f>
        <v/>
      </c>
      <c r="F333" s="38" t="str">
        <f t="shared" si="2"/>
        <v/>
      </c>
      <c r="G333" s="33" t="str">
        <f t="shared" si="3"/>
        <v/>
      </c>
      <c r="H333" s="39" t="str">
        <f>IF(C333="","",C333+IFERROR(VLOOKUP(VLOOKUP(A333,BOOKINGS!$A:$Q,3,FALSE),CLIENTS!$A:$H,6,FALSE),30))</f>
        <v/>
      </c>
      <c r="I333" s="33" t="str">
        <f>IF(A333="","",IFERROR(VLOOKUP(B333,COLLECTIONS!$A:$I,7,FALSE),"Unpaid"))</f>
        <v/>
      </c>
    </row>
    <row r="334" ht="15.75" customHeight="1">
      <c r="A334" s="33" t="str">
        <f>IF(PROFITABILITY!A334="","",PROFITABILITY!A334)</f>
        <v/>
      </c>
      <c r="B334" s="33" t="str">
        <f t="shared" si="1"/>
        <v/>
      </c>
      <c r="C334" s="39" t="str">
        <f>IF(A334="","",IFERROR(VLOOKUP(A334,BOOKINGS!$A:$Q,8,FALSE),BOOKINGS!B334))</f>
        <v/>
      </c>
      <c r="D334" s="38" t="str">
        <f>IF(A334="","",PROFITABILITY!B334)</f>
        <v/>
      </c>
      <c r="E334" s="38" t="str">
        <f>IF(A334="","",SETUP_RATES!$K$4)</f>
        <v/>
      </c>
      <c r="F334" s="38" t="str">
        <f t="shared" si="2"/>
        <v/>
      </c>
      <c r="G334" s="33" t="str">
        <f t="shared" si="3"/>
        <v/>
      </c>
      <c r="H334" s="39" t="str">
        <f>IF(C334="","",C334+IFERROR(VLOOKUP(VLOOKUP(A334,BOOKINGS!$A:$Q,3,FALSE),CLIENTS!$A:$H,6,FALSE),30))</f>
        <v/>
      </c>
      <c r="I334" s="33" t="str">
        <f>IF(A334="","",IFERROR(VLOOKUP(B334,COLLECTIONS!$A:$I,7,FALSE),"Unpaid"))</f>
        <v/>
      </c>
    </row>
    <row r="335" ht="15.75" customHeight="1">
      <c r="A335" s="33" t="str">
        <f>IF(PROFITABILITY!A335="","",PROFITABILITY!A335)</f>
        <v/>
      </c>
      <c r="B335" s="33" t="str">
        <f t="shared" si="1"/>
        <v/>
      </c>
      <c r="C335" s="39" t="str">
        <f>IF(A335="","",IFERROR(VLOOKUP(A335,BOOKINGS!$A:$Q,8,FALSE),BOOKINGS!B335))</f>
        <v/>
      </c>
      <c r="D335" s="38" t="str">
        <f>IF(A335="","",PROFITABILITY!B335)</f>
        <v/>
      </c>
      <c r="E335" s="38" t="str">
        <f>IF(A335="","",SETUP_RATES!$K$4)</f>
        <v/>
      </c>
      <c r="F335" s="38" t="str">
        <f t="shared" si="2"/>
        <v/>
      </c>
      <c r="G335" s="33" t="str">
        <f t="shared" si="3"/>
        <v/>
      </c>
      <c r="H335" s="39" t="str">
        <f>IF(C335="","",C335+IFERROR(VLOOKUP(VLOOKUP(A335,BOOKINGS!$A:$Q,3,FALSE),CLIENTS!$A:$H,6,FALSE),30))</f>
        <v/>
      </c>
      <c r="I335" s="33" t="str">
        <f>IF(A335="","",IFERROR(VLOOKUP(B335,COLLECTIONS!$A:$I,7,FALSE),"Unpaid"))</f>
        <v/>
      </c>
    </row>
    <row r="336" ht="15.75" customHeight="1">
      <c r="A336" s="33" t="str">
        <f>IF(PROFITABILITY!A336="","",PROFITABILITY!A336)</f>
        <v/>
      </c>
      <c r="B336" s="33" t="str">
        <f t="shared" si="1"/>
        <v/>
      </c>
      <c r="C336" s="39" t="str">
        <f>IF(A336="","",IFERROR(VLOOKUP(A336,BOOKINGS!$A:$Q,8,FALSE),BOOKINGS!B336))</f>
        <v/>
      </c>
      <c r="D336" s="38" t="str">
        <f>IF(A336="","",PROFITABILITY!B336)</f>
        <v/>
      </c>
      <c r="E336" s="38" t="str">
        <f>IF(A336="","",SETUP_RATES!$K$4)</f>
        <v/>
      </c>
      <c r="F336" s="38" t="str">
        <f t="shared" si="2"/>
        <v/>
      </c>
      <c r="G336" s="33" t="str">
        <f t="shared" si="3"/>
        <v/>
      </c>
      <c r="H336" s="39" t="str">
        <f>IF(C336="","",C336+IFERROR(VLOOKUP(VLOOKUP(A336,BOOKINGS!$A:$Q,3,FALSE),CLIENTS!$A:$H,6,FALSE),30))</f>
        <v/>
      </c>
      <c r="I336" s="33" t="str">
        <f>IF(A336="","",IFERROR(VLOOKUP(B336,COLLECTIONS!$A:$I,7,FALSE),"Unpaid"))</f>
        <v/>
      </c>
    </row>
    <row r="337" ht="15.75" customHeight="1">
      <c r="A337" s="33" t="str">
        <f>IF(PROFITABILITY!A337="","",PROFITABILITY!A337)</f>
        <v/>
      </c>
      <c r="B337" s="33" t="str">
        <f t="shared" si="1"/>
        <v/>
      </c>
      <c r="C337" s="39" t="str">
        <f>IF(A337="","",IFERROR(VLOOKUP(A337,BOOKINGS!$A:$Q,8,FALSE),BOOKINGS!B337))</f>
        <v/>
      </c>
      <c r="D337" s="38" t="str">
        <f>IF(A337="","",PROFITABILITY!B337)</f>
        <v/>
      </c>
      <c r="E337" s="38" t="str">
        <f>IF(A337="","",SETUP_RATES!$K$4)</f>
        <v/>
      </c>
      <c r="F337" s="38" t="str">
        <f t="shared" si="2"/>
        <v/>
      </c>
      <c r="G337" s="33" t="str">
        <f t="shared" si="3"/>
        <v/>
      </c>
      <c r="H337" s="39" t="str">
        <f>IF(C337="","",C337+IFERROR(VLOOKUP(VLOOKUP(A337,BOOKINGS!$A:$Q,3,FALSE),CLIENTS!$A:$H,6,FALSE),30))</f>
        <v/>
      </c>
      <c r="I337" s="33" t="str">
        <f>IF(A337="","",IFERROR(VLOOKUP(B337,COLLECTIONS!$A:$I,7,FALSE),"Unpaid"))</f>
        <v/>
      </c>
    </row>
    <row r="338" ht="15.75" customHeight="1">
      <c r="A338" s="33" t="str">
        <f>IF(PROFITABILITY!A338="","",PROFITABILITY!A338)</f>
        <v/>
      </c>
      <c r="B338" s="33" t="str">
        <f t="shared" si="1"/>
        <v/>
      </c>
      <c r="C338" s="39" t="str">
        <f>IF(A338="","",IFERROR(VLOOKUP(A338,BOOKINGS!$A:$Q,8,FALSE),BOOKINGS!B338))</f>
        <v/>
      </c>
      <c r="D338" s="38" t="str">
        <f>IF(A338="","",PROFITABILITY!B338)</f>
        <v/>
      </c>
      <c r="E338" s="38" t="str">
        <f>IF(A338="","",SETUP_RATES!$K$4)</f>
        <v/>
      </c>
      <c r="F338" s="38" t="str">
        <f t="shared" si="2"/>
        <v/>
      </c>
      <c r="G338" s="33" t="str">
        <f t="shared" si="3"/>
        <v/>
      </c>
      <c r="H338" s="39" t="str">
        <f>IF(C338="","",C338+IFERROR(VLOOKUP(VLOOKUP(A338,BOOKINGS!$A:$Q,3,FALSE),CLIENTS!$A:$H,6,FALSE),30))</f>
        <v/>
      </c>
      <c r="I338" s="33" t="str">
        <f>IF(A338="","",IFERROR(VLOOKUP(B338,COLLECTIONS!$A:$I,7,FALSE),"Unpaid"))</f>
        <v/>
      </c>
    </row>
    <row r="339" ht="15.75" customHeight="1">
      <c r="A339" s="33" t="str">
        <f>IF(PROFITABILITY!A339="","",PROFITABILITY!A339)</f>
        <v/>
      </c>
      <c r="B339" s="33" t="str">
        <f t="shared" si="1"/>
        <v/>
      </c>
      <c r="C339" s="39" t="str">
        <f>IF(A339="","",IFERROR(VLOOKUP(A339,BOOKINGS!$A:$Q,8,FALSE),BOOKINGS!B339))</f>
        <v/>
      </c>
      <c r="D339" s="38" t="str">
        <f>IF(A339="","",PROFITABILITY!B339)</f>
        <v/>
      </c>
      <c r="E339" s="38" t="str">
        <f>IF(A339="","",SETUP_RATES!$K$4)</f>
        <v/>
      </c>
      <c r="F339" s="38" t="str">
        <f t="shared" si="2"/>
        <v/>
      </c>
      <c r="G339" s="33" t="str">
        <f t="shared" si="3"/>
        <v/>
      </c>
      <c r="H339" s="39" t="str">
        <f>IF(C339="","",C339+IFERROR(VLOOKUP(VLOOKUP(A339,BOOKINGS!$A:$Q,3,FALSE),CLIENTS!$A:$H,6,FALSE),30))</f>
        <v/>
      </c>
      <c r="I339" s="33" t="str">
        <f>IF(A339="","",IFERROR(VLOOKUP(B339,COLLECTIONS!$A:$I,7,FALSE),"Unpaid"))</f>
        <v/>
      </c>
    </row>
    <row r="340" ht="15.75" customHeight="1">
      <c r="A340" s="33" t="str">
        <f>IF(PROFITABILITY!A340="","",PROFITABILITY!A340)</f>
        <v/>
      </c>
      <c r="B340" s="33" t="str">
        <f t="shared" si="1"/>
        <v/>
      </c>
      <c r="C340" s="39" t="str">
        <f>IF(A340="","",IFERROR(VLOOKUP(A340,BOOKINGS!$A:$Q,8,FALSE),BOOKINGS!B340))</f>
        <v/>
      </c>
      <c r="D340" s="38" t="str">
        <f>IF(A340="","",PROFITABILITY!B340)</f>
        <v/>
      </c>
      <c r="E340" s="38" t="str">
        <f>IF(A340="","",SETUP_RATES!$K$4)</f>
        <v/>
      </c>
      <c r="F340" s="38" t="str">
        <f t="shared" si="2"/>
        <v/>
      </c>
      <c r="G340" s="33" t="str">
        <f t="shared" si="3"/>
        <v/>
      </c>
      <c r="H340" s="39" t="str">
        <f>IF(C340="","",C340+IFERROR(VLOOKUP(VLOOKUP(A340,BOOKINGS!$A:$Q,3,FALSE),CLIENTS!$A:$H,6,FALSE),30))</f>
        <v/>
      </c>
      <c r="I340" s="33" t="str">
        <f>IF(A340="","",IFERROR(VLOOKUP(B340,COLLECTIONS!$A:$I,7,FALSE),"Unpaid"))</f>
        <v/>
      </c>
    </row>
    <row r="341" ht="15.75" customHeight="1">
      <c r="A341" s="33" t="str">
        <f>IF(PROFITABILITY!A341="","",PROFITABILITY!A341)</f>
        <v/>
      </c>
      <c r="B341" s="33" t="str">
        <f t="shared" si="1"/>
        <v/>
      </c>
      <c r="C341" s="39" t="str">
        <f>IF(A341="","",IFERROR(VLOOKUP(A341,BOOKINGS!$A:$Q,8,FALSE),BOOKINGS!B341))</f>
        <v/>
      </c>
      <c r="D341" s="38" t="str">
        <f>IF(A341="","",PROFITABILITY!B341)</f>
        <v/>
      </c>
      <c r="E341" s="38" t="str">
        <f>IF(A341="","",SETUP_RATES!$K$4)</f>
        <v/>
      </c>
      <c r="F341" s="38" t="str">
        <f t="shared" si="2"/>
        <v/>
      </c>
      <c r="G341" s="33" t="str">
        <f t="shared" si="3"/>
        <v/>
      </c>
      <c r="H341" s="39" t="str">
        <f>IF(C341="","",C341+IFERROR(VLOOKUP(VLOOKUP(A341,BOOKINGS!$A:$Q,3,FALSE),CLIENTS!$A:$H,6,FALSE),30))</f>
        <v/>
      </c>
      <c r="I341" s="33" t="str">
        <f>IF(A341="","",IFERROR(VLOOKUP(B341,COLLECTIONS!$A:$I,7,FALSE),"Unpaid"))</f>
        <v/>
      </c>
    </row>
    <row r="342" ht="15.75" customHeight="1">
      <c r="A342" s="33" t="str">
        <f>IF(PROFITABILITY!A342="","",PROFITABILITY!A342)</f>
        <v/>
      </c>
      <c r="B342" s="33" t="str">
        <f t="shared" si="1"/>
        <v/>
      </c>
      <c r="C342" s="39" t="str">
        <f>IF(A342="","",IFERROR(VLOOKUP(A342,BOOKINGS!$A:$Q,8,FALSE),BOOKINGS!B342))</f>
        <v/>
      </c>
      <c r="D342" s="38" t="str">
        <f>IF(A342="","",PROFITABILITY!B342)</f>
        <v/>
      </c>
      <c r="E342" s="38" t="str">
        <f>IF(A342="","",SETUP_RATES!$K$4)</f>
        <v/>
      </c>
      <c r="F342" s="38" t="str">
        <f t="shared" si="2"/>
        <v/>
      </c>
      <c r="G342" s="33" t="str">
        <f t="shared" si="3"/>
        <v/>
      </c>
      <c r="H342" s="39" t="str">
        <f>IF(C342="","",C342+IFERROR(VLOOKUP(VLOOKUP(A342,BOOKINGS!$A:$Q,3,FALSE),CLIENTS!$A:$H,6,FALSE),30))</f>
        <v/>
      </c>
      <c r="I342" s="33" t="str">
        <f>IF(A342="","",IFERROR(VLOOKUP(B342,COLLECTIONS!$A:$I,7,FALSE),"Unpaid"))</f>
        <v/>
      </c>
    </row>
    <row r="343" ht="15.75" customHeight="1">
      <c r="A343" s="33" t="str">
        <f>IF(PROFITABILITY!A343="","",PROFITABILITY!A343)</f>
        <v/>
      </c>
      <c r="B343" s="33" t="str">
        <f t="shared" si="1"/>
        <v/>
      </c>
      <c r="C343" s="39" t="str">
        <f>IF(A343="","",IFERROR(VLOOKUP(A343,BOOKINGS!$A:$Q,8,FALSE),BOOKINGS!B343))</f>
        <v/>
      </c>
      <c r="D343" s="38" t="str">
        <f>IF(A343="","",PROFITABILITY!B343)</f>
        <v/>
      </c>
      <c r="E343" s="38" t="str">
        <f>IF(A343="","",SETUP_RATES!$K$4)</f>
        <v/>
      </c>
      <c r="F343" s="38" t="str">
        <f t="shared" si="2"/>
        <v/>
      </c>
      <c r="G343" s="33" t="str">
        <f t="shared" si="3"/>
        <v/>
      </c>
      <c r="H343" s="39" t="str">
        <f>IF(C343="","",C343+IFERROR(VLOOKUP(VLOOKUP(A343,BOOKINGS!$A:$Q,3,FALSE),CLIENTS!$A:$H,6,FALSE),30))</f>
        <v/>
      </c>
      <c r="I343" s="33" t="str">
        <f>IF(A343="","",IFERROR(VLOOKUP(B343,COLLECTIONS!$A:$I,7,FALSE),"Unpaid"))</f>
        <v/>
      </c>
    </row>
    <row r="344" ht="15.75" customHeight="1">
      <c r="A344" s="33" t="str">
        <f>IF(PROFITABILITY!A344="","",PROFITABILITY!A344)</f>
        <v/>
      </c>
      <c r="B344" s="33" t="str">
        <f t="shared" si="1"/>
        <v/>
      </c>
      <c r="C344" s="39" t="str">
        <f>IF(A344="","",IFERROR(VLOOKUP(A344,BOOKINGS!$A:$Q,8,FALSE),BOOKINGS!B344))</f>
        <v/>
      </c>
      <c r="D344" s="38" t="str">
        <f>IF(A344="","",PROFITABILITY!B344)</f>
        <v/>
      </c>
      <c r="E344" s="38" t="str">
        <f>IF(A344="","",SETUP_RATES!$K$4)</f>
        <v/>
      </c>
      <c r="F344" s="38" t="str">
        <f t="shared" si="2"/>
        <v/>
      </c>
      <c r="G344" s="33" t="str">
        <f t="shared" si="3"/>
        <v/>
      </c>
      <c r="H344" s="39" t="str">
        <f>IF(C344="","",C344+IFERROR(VLOOKUP(VLOOKUP(A344,BOOKINGS!$A:$Q,3,FALSE),CLIENTS!$A:$H,6,FALSE),30))</f>
        <v/>
      </c>
      <c r="I344" s="33" t="str">
        <f>IF(A344="","",IFERROR(VLOOKUP(B344,COLLECTIONS!$A:$I,7,FALSE),"Unpaid"))</f>
        <v/>
      </c>
    </row>
    <row r="345" ht="15.75" customHeight="1">
      <c r="A345" s="33" t="str">
        <f>IF(PROFITABILITY!A345="","",PROFITABILITY!A345)</f>
        <v/>
      </c>
      <c r="B345" s="33" t="str">
        <f t="shared" si="1"/>
        <v/>
      </c>
      <c r="C345" s="39" t="str">
        <f>IF(A345="","",IFERROR(VLOOKUP(A345,BOOKINGS!$A:$Q,8,FALSE),BOOKINGS!B345))</f>
        <v/>
      </c>
      <c r="D345" s="38" t="str">
        <f>IF(A345="","",PROFITABILITY!B345)</f>
        <v/>
      </c>
      <c r="E345" s="38" t="str">
        <f>IF(A345="","",SETUP_RATES!$K$4)</f>
        <v/>
      </c>
      <c r="F345" s="38" t="str">
        <f t="shared" si="2"/>
        <v/>
      </c>
      <c r="G345" s="33" t="str">
        <f t="shared" si="3"/>
        <v/>
      </c>
      <c r="H345" s="39" t="str">
        <f>IF(C345="","",C345+IFERROR(VLOOKUP(VLOOKUP(A345,BOOKINGS!$A:$Q,3,FALSE),CLIENTS!$A:$H,6,FALSE),30))</f>
        <v/>
      </c>
      <c r="I345" s="33" t="str">
        <f>IF(A345="","",IFERROR(VLOOKUP(B345,COLLECTIONS!$A:$I,7,FALSE),"Unpaid"))</f>
        <v/>
      </c>
    </row>
    <row r="346" ht="15.75" customHeight="1">
      <c r="A346" s="33" t="str">
        <f>IF(PROFITABILITY!A346="","",PROFITABILITY!A346)</f>
        <v/>
      </c>
      <c r="B346" s="33" t="str">
        <f t="shared" si="1"/>
        <v/>
      </c>
      <c r="C346" s="39" t="str">
        <f>IF(A346="","",IFERROR(VLOOKUP(A346,BOOKINGS!$A:$Q,8,FALSE),BOOKINGS!B346))</f>
        <v/>
      </c>
      <c r="D346" s="38" t="str">
        <f>IF(A346="","",PROFITABILITY!B346)</f>
        <v/>
      </c>
      <c r="E346" s="38" t="str">
        <f>IF(A346="","",SETUP_RATES!$K$4)</f>
        <v/>
      </c>
      <c r="F346" s="38" t="str">
        <f t="shared" si="2"/>
        <v/>
      </c>
      <c r="G346" s="33" t="str">
        <f t="shared" si="3"/>
        <v/>
      </c>
      <c r="H346" s="39" t="str">
        <f>IF(C346="","",C346+IFERROR(VLOOKUP(VLOOKUP(A346,BOOKINGS!$A:$Q,3,FALSE),CLIENTS!$A:$H,6,FALSE),30))</f>
        <v/>
      </c>
      <c r="I346" s="33" t="str">
        <f>IF(A346="","",IFERROR(VLOOKUP(B346,COLLECTIONS!$A:$I,7,FALSE),"Unpaid"))</f>
        <v/>
      </c>
    </row>
    <row r="347" ht="15.75" customHeight="1">
      <c r="A347" s="33" t="str">
        <f>IF(PROFITABILITY!A347="","",PROFITABILITY!A347)</f>
        <v/>
      </c>
      <c r="B347" s="33" t="str">
        <f t="shared" si="1"/>
        <v/>
      </c>
      <c r="C347" s="39" t="str">
        <f>IF(A347="","",IFERROR(VLOOKUP(A347,BOOKINGS!$A:$Q,8,FALSE),BOOKINGS!B347))</f>
        <v/>
      </c>
      <c r="D347" s="38" t="str">
        <f>IF(A347="","",PROFITABILITY!B347)</f>
        <v/>
      </c>
      <c r="E347" s="38" t="str">
        <f>IF(A347="","",SETUP_RATES!$K$4)</f>
        <v/>
      </c>
      <c r="F347" s="38" t="str">
        <f t="shared" si="2"/>
        <v/>
      </c>
      <c r="G347" s="33" t="str">
        <f t="shared" si="3"/>
        <v/>
      </c>
      <c r="H347" s="39" t="str">
        <f>IF(C347="","",C347+IFERROR(VLOOKUP(VLOOKUP(A347,BOOKINGS!$A:$Q,3,FALSE),CLIENTS!$A:$H,6,FALSE),30))</f>
        <v/>
      </c>
      <c r="I347" s="33" t="str">
        <f>IF(A347="","",IFERROR(VLOOKUP(B347,COLLECTIONS!$A:$I,7,FALSE),"Unpaid"))</f>
        <v/>
      </c>
    </row>
    <row r="348" ht="15.75" customHeight="1">
      <c r="A348" s="33" t="str">
        <f>IF(PROFITABILITY!A348="","",PROFITABILITY!A348)</f>
        <v/>
      </c>
      <c r="B348" s="33" t="str">
        <f t="shared" si="1"/>
        <v/>
      </c>
      <c r="C348" s="39" t="str">
        <f>IF(A348="","",IFERROR(VLOOKUP(A348,BOOKINGS!$A:$Q,8,FALSE),BOOKINGS!B348))</f>
        <v/>
      </c>
      <c r="D348" s="38" t="str">
        <f>IF(A348="","",PROFITABILITY!B348)</f>
        <v/>
      </c>
      <c r="E348" s="38" t="str">
        <f>IF(A348="","",SETUP_RATES!$K$4)</f>
        <v/>
      </c>
      <c r="F348" s="38" t="str">
        <f t="shared" si="2"/>
        <v/>
      </c>
      <c r="G348" s="33" t="str">
        <f t="shared" si="3"/>
        <v/>
      </c>
      <c r="H348" s="39" t="str">
        <f>IF(C348="","",C348+IFERROR(VLOOKUP(VLOOKUP(A348,BOOKINGS!$A:$Q,3,FALSE),CLIENTS!$A:$H,6,FALSE),30))</f>
        <v/>
      </c>
      <c r="I348" s="33" t="str">
        <f>IF(A348="","",IFERROR(VLOOKUP(B348,COLLECTIONS!$A:$I,7,FALSE),"Unpaid"))</f>
        <v/>
      </c>
    </row>
    <row r="349" ht="15.75" customHeight="1">
      <c r="A349" s="33" t="str">
        <f>IF(PROFITABILITY!A349="","",PROFITABILITY!A349)</f>
        <v/>
      </c>
      <c r="B349" s="33" t="str">
        <f t="shared" si="1"/>
        <v/>
      </c>
      <c r="C349" s="39" t="str">
        <f>IF(A349="","",IFERROR(VLOOKUP(A349,BOOKINGS!$A:$Q,8,FALSE),BOOKINGS!B349))</f>
        <v/>
      </c>
      <c r="D349" s="38" t="str">
        <f>IF(A349="","",PROFITABILITY!B349)</f>
        <v/>
      </c>
      <c r="E349" s="38" t="str">
        <f>IF(A349="","",SETUP_RATES!$K$4)</f>
        <v/>
      </c>
      <c r="F349" s="38" t="str">
        <f t="shared" si="2"/>
        <v/>
      </c>
      <c r="G349" s="33" t="str">
        <f t="shared" si="3"/>
        <v/>
      </c>
      <c r="H349" s="39" t="str">
        <f>IF(C349="","",C349+IFERROR(VLOOKUP(VLOOKUP(A349,BOOKINGS!$A:$Q,3,FALSE),CLIENTS!$A:$H,6,FALSE),30))</f>
        <v/>
      </c>
      <c r="I349" s="33" t="str">
        <f>IF(A349="","",IFERROR(VLOOKUP(B349,COLLECTIONS!$A:$I,7,FALSE),"Unpaid"))</f>
        <v/>
      </c>
    </row>
    <row r="350" ht="15.75" customHeight="1">
      <c r="A350" s="33" t="str">
        <f>IF(PROFITABILITY!A350="","",PROFITABILITY!A350)</f>
        <v/>
      </c>
      <c r="B350" s="33" t="str">
        <f t="shared" si="1"/>
        <v/>
      </c>
      <c r="C350" s="39" t="str">
        <f>IF(A350="","",IFERROR(VLOOKUP(A350,BOOKINGS!$A:$Q,8,FALSE),BOOKINGS!B350))</f>
        <v/>
      </c>
      <c r="D350" s="38" t="str">
        <f>IF(A350="","",PROFITABILITY!B350)</f>
        <v/>
      </c>
      <c r="E350" s="38" t="str">
        <f>IF(A350="","",SETUP_RATES!$K$4)</f>
        <v/>
      </c>
      <c r="F350" s="38" t="str">
        <f t="shared" si="2"/>
        <v/>
      </c>
      <c r="G350" s="33" t="str">
        <f t="shared" si="3"/>
        <v/>
      </c>
      <c r="H350" s="39" t="str">
        <f>IF(C350="","",C350+IFERROR(VLOOKUP(VLOOKUP(A350,BOOKINGS!$A:$Q,3,FALSE),CLIENTS!$A:$H,6,FALSE),30))</f>
        <v/>
      </c>
      <c r="I350" s="33" t="str">
        <f>IF(A350="","",IFERROR(VLOOKUP(B350,COLLECTIONS!$A:$I,7,FALSE),"Unpaid"))</f>
        <v/>
      </c>
    </row>
    <row r="351" ht="15.75" customHeight="1">
      <c r="A351" s="33" t="str">
        <f>IF(PROFITABILITY!A351="","",PROFITABILITY!A351)</f>
        <v/>
      </c>
      <c r="B351" s="33" t="str">
        <f t="shared" si="1"/>
        <v/>
      </c>
      <c r="C351" s="39" t="str">
        <f>IF(A351="","",IFERROR(VLOOKUP(A351,BOOKINGS!$A:$Q,8,FALSE),BOOKINGS!B351))</f>
        <v/>
      </c>
      <c r="D351" s="38" t="str">
        <f>IF(A351="","",PROFITABILITY!B351)</f>
        <v/>
      </c>
      <c r="E351" s="38" t="str">
        <f>IF(A351="","",SETUP_RATES!$K$4)</f>
        <v/>
      </c>
      <c r="F351" s="38" t="str">
        <f t="shared" si="2"/>
        <v/>
      </c>
      <c r="G351" s="33" t="str">
        <f t="shared" si="3"/>
        <v/>
      </c>
      <c r="H351" s="39" t="str">
        <f>IF(C351="","",C351+IFERROR(VLOOKUP(VLOOKUP(A351,BOOKINGS!$A:$Q,3,FALSE),CLIENTS!$A:$H,6,FALSE),30))</f>
        <v/>
      </c>
      <c r="I351" s="33" t="str">
        <f>IF(A351="","",IFERROR(VLOOKUP(B351,COLLECTIONS!$A:$I,7,FALSE),"Unpaid"))</f>
        <v/>
      </c>
    </row>
    <row r="352" ht="15.75" customHeight="1">
      <c r="A352" s="33" t="str">
        <f>IF(PROFITABILITY!A352="","",PROFITABILITY!A352)</f>
        <v/>
      </c>
      <c r="B352" s="33" t="str">
        <f t="shared" si="1"/>
        <v/>
      </c>
      <c r="C352" s="39" t="str">
        <f>IF(A352="","",IFERROR(VLOOKUP(A352,BOOKINGS!$A:$Q,8,FALSE),BOOKINGS!B352))</f>
        <v/>
      </c>
      <c r="D352" s="38" t="str">
        <f>IF(A352="","",PROFITABILITY!B352)</f>
        <v/>
      </c>
      <c r="E352" s="38" t="str">
        <f>IF(A352="","",SETUP_RATES!$K$4)</f>
        <v/>
      </c>
      <c r="F352" s="38" t="str">
        <f t="shared" si="2"/>
        <v/>
      </c>
      <c r="G352" s="33" t="str">
        <f t="shared" si="3"/>
        <v/>
      </c>
      <c r="H352" s="39" t="str">
        <f>IF(C352="","",C352+IFERROR(VLOOKUP(VLOOKUP(A352,BOOKINGS!$A:$Q,3,FALSE),CLIENTS!$A:$H,6,FALSE),30))</f>
        <v/>
      </c>
      <c r="I352" s="33" t="str">
        <f>IF(A352="","",IFERROR(VLOOKUP(B352,COLLECTIONS!$A:$I,7,FALSE),"Unpaid"))</f>
        <v/>
      </c>
    </row>
    <row r="353" ht="15.75" customHeight="1">
      <c r="A353" s="33" t="str">
        <f>IF(PROFITABILITY!A353="","",PROFITABILITY!A353)</f>
        <v/>
      </c>
      <c r="B353" s="33" t="str">
        <f t="shared" si="1"/>
        <v/>
      </c>
      <c r="C353" s="39" t="str">
        <f>IF(A353="","",IFERROR(VLOOKUP(A353,BOOKINGS!$A:$Q,8,FALSE),BOOKINGS!B353))</f>
        <v/>
      </c>
      <c r="D353" s="38" t="str">
        <f>IF(A353="","",PROFITABILITY!B353)</f>
        <v/>
      </c>
      <c r="E353" s="38" t="str">
        <f>IF(A353="","",SETUP_RATES!$K$4)</f>
        <v/>
      </c>
      <c r="F353" s="38" t="str">
        <f t="shared" si="2"/>
        <v/>
      </c>
      <c r="G353" s="33" t="str">
        <f t="shared" si="3"/>
        <v/>
      </c>
      <c r="H353" s="39" t="str">
        <f>IF(C353="","",C353+IFERROR(VLOOKUP(VLOOKUP(A353,BOOKINGS!$A:$Q,3,FALSE),CLIENTS!$A:$H,6,FALSE),30))</f>
        <v/>
      </c>
      <c r="I353" s="33" t="str">
        <f>IF(A353="","",IFERROR(VLOOKUP(B353,COLLECTIONS!$A:$I,7,FALSE),"Unpaid"))</f>
        <v/>
      </c>
    </row>
    <row r="354" ht="15.75" customHeight="1">
      <c r="A354" s="33" t="str">
        <f>IF(PROFITABILITY!A354="","",PROFITABILITY!A354)</f>
        <v/>
      </c>
      <c r="B354" s="33" t="str">
        <f t="shared" si="1"/>
        <v/>
      </c>
      <c r="C354" s="39" t="str">
        <f>IF(A354="","",IFERROR(VLOOKUP(A354,BOOKINGS!$A:$Q,8,FALSE),BOOKINGS!B354))</f>
        <v/>
      </c>
      <c r="D354" s="38" t="str">
        <f>IF(A354="","",PROFITABILITY!B354)</f>
        <v/>
      </c>
      <c r="E354" s="38" t="str">
        <f>IF(A354="","",SETUP_RATES!$K$4)</f>
        <v/>
      </c>
      <c r="F354" s="38" t="str">
        <f t="shared" si="2"/>
        <v/>
      </c>
      <c r="G354" s="33" t="str">
        <f t="shared" si="3"/>
        <v/>
      </c>
      <c r="H354" s="39" t="str">
        <f>IF(C354="","",C354+IFERROR(VLOOKUP(VLOOKUP(A354,BOOKINGS!$A:$Q,3,FALSE),CLIENTS!$A:$H,6,FALSE),30))</f>
        <v/>
      </c>
      <c r="I354" s="33" t="str">
        <f>IF(A354="","",IFERROR(VLOOKUP(B354,COLLECTIONS!$A:$I,7,FALSE),"Unpaid"))</f>
        <v/>
      </c>
    </row>
    <row r="355" ht="15.75" customHeight="1">
      <c r="A355" s="33" t="str">
        <f>IF(PROFITABILITY!A355="","",PROFITABILITY!A355)</f>
        <v/>
      </c>
      <c r="B355" s="33" t="str">
        <f t="shared" si="1"/>
        <v/>
      </c>
      <c r="C355" s="39" t="str">
        <f>IF(A355="","",IFERROR(VLOOKUP(A355,BOOKINGS!$A:$Q,8,FALSE),BOOKINGS!B355))</f>
        <v/>
      </c>
      <c r="D355" s="38" t="str">
        <f>IF(A355="","",PROFITABILITY!B355)</f>
        <v/>
      </c>
      <c r="E355" s="38" t="str">
        <f>IF(A355="","",SETUP_RATES!$K$4)</f>
        <v/>
      </c>
      <c r="F355" s="38" t="str">
        <f t="shared" si="2"/>
        <v/>
      </c>
      <c r="G355" s="33" t="str">
        <f t="shared" si="3"/>
        <v/>
      </c>
      <c r="H355" s="39" t="str">
        <f>IF(C355="","",C355+IFERROR(VLOOKUP(VLOOKUP(A355,BOOKINGS!$A:$Q,3,FALSE),CLIENTS!$A:$H,6,FALSE),30))</f>
        <v/>
      </c>
      <c r="I355" s="33" t="str">
        <f>IF(A355="","",IFERROR(VLOOKUP(B355,COLLECTIONS!$A:$I,7,FALSE),"Unpaid"))</f>
        <v/>
      </c>
    </row>
    <row r="356" ht="15.75" customHeight="1">
      <c r="A356" s="33" t="str">
        <f>IF(PROFITABILITY!A356="","",PROFITABILITY!A356)</f>
        <v/>
      </c>
      <c r="B356" s="33" t="str">
        <f t="shared" si="1"/>
        <v/>
      </c>
      <c r="C356" s="39" t="str">
        <f>IF(A356="","",IFERROR(VLOOKUP(A356,BOOKINGS!$A:$Q,8,FALSE),BOOKINGS!B356))</f>
        <v/>
      </c>
      <c r="D356" s="38" t="str">
        <f>IF(A356="","",PROFITABILITY!B356)</f>
        <v/>
      </c>
      <c r="E356" s="38" t="str">
        <f>IF(A356="","",SETUP_RATES!$K$4)</f>
        <v/>
      </c>
      <c r="F356" s="38" t="str">
        <f t="shared" si="2"/>
        <v/>
      </c>
      <c r="G356" s="33" t="str">
        <f t="shared" si="3"/>
        <v/>
      </c>
      <c r="H356" s="39" t="str">
        <f>IF(C356="","",C356+IFERROR(VLOOKUP(VLOOKUP(A356,BOOKINGS!$A:$Q,3,FALSE),CLIENTS!$A:$H,6,FALSE),30))</f>
        <v/>
      </c>
      <c r="I356" s="33" t="str">
        <f>IF(A356="","",IFERROR(VLOOKUP(B356,COLLECTIONS!$A:$I,7,FALSE),"Unpaid"))</f>
        <v/>
      </c>
    </row>
    <row r="357" ht="15.75" customHeight="1">
      <c r="A357" s="33" t="str">
        <f>IF(PROFITABILITY!A357="","",PROFITABILITY!A357)</f>
        <v/>
      </c>
      <c r="B357" s="33" t="str">
        <f t="shared" si="1"/>
        <v/>
      </c>
      <c r="C357" s="39" t="str">
        <f>IF(A357="","",IFERROR(VLOOKUP(A357,BOOKINGS!$A:$Q,8,FALSE),BOOKINGS!B357))</f>
        <v/>
      </c>
      <c r="D357" s="38" t="str">
        <f>IF(A357="","",PROFITABILITY!B357)</f>
        <v/>
      </c>
      <c r="E357" s="38" t="str">
        <f>IF(A357="","",SETUP_RATES!$K$4)</f>
        <v/>
      </c>
      <c r="F357" s="38" t="str">
        <f t="shared" si="2"/>
        <v/>
      </c>
      <c r="G357" s="33" t="str">
        <f t="shared" si="3"/>
        <v/>
      </c>
      <c r="H357" s="39" t="str">
        <f>IF(C357="","",C357+IFERROR(VLOOKUP(VLOOKUP(A357,BOOKINGS!$A:$Q,3,FALSE),CLIENTS!$A:$H,6,FALSE),30))</f>
        <v/>
      </c>
      <c r="I357" s="33" t="str">
        <f>IF(A357="","",IFERROR(VLOOKUP(B357,COLLECTIONS!$A:$I,7,FALSE),"Unpaid"))</f>
        <v/>
      </c>
    </row>
    <row r="358" ht="15.75" customHeight="1">
      <c r="A358" s="33" t="str">
        <f>IF(PROFITABILITY!A358="","",PROFITABILITY!A358)</f>
        <v/>
      </c>
      <c r="B358" s="33" t="str">
        <f t="shared" si="1"/>
        <v/>
      </c>
      <c r="C358" s="39" t="str">
        <f>IF(A358="","",IFERROR(VLOOKUP(A358,BOOKINGS!$A:$Q,8,FALSE),BOOKINGS!B358))</f>
        <v/>
      </c>
      <c r="D358" s="38" t="str">
        <f>IF(A358="","",PROFITABILITY!B358)</f>
        <v/>
      </c>
      <c r="E358" s="38" t="str">
        <f>IF(A358="","",SETUP_RATES!$K$4)</f>
        <v/>
      </c>
      <c r="F358" s="38" t="str">
        <f t="shared" si="2"/>
        <v/>
      </c>
      <c r="G358" s="33" t="str">
        <f t="shared" si="3"/>
        <v/>
      </c>
      <c r="H358" s="39" t="str">
        <f>IF(C358="","",C358+IFERROR(VLOOKUP(VLOOKUP(A358,BOOKINGS!$A:$Q,3,FALSE),CLIENTS!$A:$H,6,FALSE),30))</f>
        <v/>
      </c>
      <c r="I358" s="33" t="str">
        <f>IF(A358="","",IFERROR(VLOOKUP(B358,COLLECTIONS!$A:$I,7,FALSE),"Unpaid"))</f>
        <v/>
      </c>
    </row>
    <row r="359" ht="15.75" customHeight="1">
      <c r="A359" s="33" t="str">
        <f>IF(PROFITABILITY!A359="","",PROFITABILITY!A359)</f>
        <v/>
      </c>
      <c r="B359" s="33" t="str">
        <f t="shared" si="1"/>
        <v/>
      </c>
      <c r="C359" s="39" t="str">
        <f>IF(A359="","",IFERROR(VLOOKUP(A359,BOOKINGS!$A:$Q,8,FALSE),BOOKINGS!B359))</f>
        <v/>
      </c>
      <c r="D359" s="38" t="str">
        <f>IF(A359="","",PROFITABILITY!B359)</f>
        <v/>
      </c>
      <c r="E359" s="38" t="str">
        <f>IF(A359="","",SETUP_RATES!$K$4)</f>
        <v/>
      </c>
      <c r="F359" s="38" t="str">
        <f t="shared" si="2"/>
        <v/>
      </c>
      <c r="G359" s="33" t="str">
        <f t="shared" si="3"/>
        <v/>
      </c>
      <c r="H359" s="39" t="str">
        <f>IF(C359="","",C359+IFERROR(VLOOKUP(VLOOKUP(A359,BOOKINGS!$A:$Q,3,FALSE),CLIENTS!$A:$H,6,FALSE),30))</f>
        <v/>
      </c>
      <c r="I359" s="33" t="str">
        <f>IF(A359="","",IFERROR(VLOOKUP(B359,COLLECTIONS!$A:$I,7,FALSE),"Unpaid"))</f>
        <v/>
      </c>
    </row>
    <row r="360" ht="15.75" customHeight="1">
      <c r="A360" s="33" t="str">
        <f>IF(PROFITABILITY!A360="","",PROFITABILITY!A360)</f>
        <v/>
      </c>
      <c r="B360" s="33" t="str">
        <f t="shared" si="1"/>
        <v/>
      </c>
      <c r="C360" s="39" t="str">
        <f>IF(A360="","",IFERROR(VLOOKUP(A360,BOOKINGS!$A:$Q,8,FALSE),BOOKINGS!B360))</f>
        <v/>
      </c>
      <c r="D360" s="38" t="str">
        <f>IF(A360="","",PROFITABILITY!B360)</f>
        <v/>
      </c>
      <c r="E360" s="38" t="str">
        <f>IF(A360="","",SETUP_RATES!$K$4)</f>
        <v/>
      </c>
      <c r="F360" s="38" t="str">
        <f t="shared" si="2"/>
        <v/>
      </c>
      <c r="G360" s="33" t="str">
        <f t="shared" si="3"/>
        <v/>
      </c>
      <c r="H360" s="39" t="str">
        <f>IF(C360="","",C360+IFERROR(VLOOKUP(VLOOKUP(A360,BOOKINGS!$A:$Q,3,FALSE),CLIENTS!$A:$H,6,FALSE),30))</f>
        <v/>
      </c>
      <c r="I360" s="33" t="str">
        <f>IF(A360="","",IFERROR(VLOOKUP(B360,COLLECTIONS!$A:$I,7,FALSE),"Unpaid"))</f>
        <v/>
      </c>
    </row>
    <row r="361" ht="15.75" customHeight="1">
      <c r="A361" s="33" t="str">
        <f>IF(PROFITABILITY!A361="","",PROFITABILITY!A361)</f>
        <v/>
      </c>
      <c r="B361" s="33" t="str">
        <f t="shared" si="1"/>
        <v/>
      </c>
      <c r="C361" s="39" t="str">
        <f>IF(A361="","",IFERROR(VLOOKUP(A361,BOOKINGS!$A:$Q,8,FALSE),BOOKINGS!B361))</f>
        <v/>
      </c>
      <c r="D361" s="38" t="str">
        <f>IF(A361="","",PROFITABILITY!B361)</f>
        <v/>
      </c>
      <c r="E361" s="38" t="str">
        <f>IF(A361="","",SETUP_RATES!$K$4)</f>
        <v/>
      </c>
      <c r="F361" s="38" t="str">
        <f t="shared" si="2"/>
        <v/>
      </c>
      <c r="G361" s="33" t="str">
        <f t="shared" si="3"/>
        <v/>
      </c>
      <c r="H361" s="39" t="str">
        <f>IF(C361="","",C361+IFERROR(VLOOKUP(VLOOKUP(A361,BOOKINGS!$A:$Q,3,FALSE),CLIENTS!$A:$H,6,FALSE),30))</f>
        <v/>
      </c>
      <c r="I361" s="33" t="str">
        <f>IF(A361="","",IFERROR(VLOOKUP(B361,COLLECTIONS!$A:$I,7,FALSE),"Unpaid"))</f>
        <v/>
      </c>
    </row>
    <row r="362" ht="15.75" customHeight="1">
      <c r="A362" s="33" t="str">
        <f>IF(PROFITABILITY!A362="","",PROFITABILITY!A362)</f>
        <v/>
      </c>
      <c r="B362" s="33" t="str">
        <f t="shared" si="1"/>
        <v/>
      </c>
      <c r="C362" s="39" t="str">
        <f>IF(A362="","",IFERROR(VLOOKUP(A362,BOOKINGS!$A:$Q,8,FALSE),BOOKINGS!B362))</f>
        <v/>
      </c>
      <c r="D362" s="38" t="str">
        <f>IF(A362="","",PROFITABILITY!B362)</f>
        <v/>
      </c>
      <c r="E362" s="38" t="str">
        <f>IF(A362="","",SETUP_RATES!$K$4)</f>
        <v/>
      </c>
      <c r="F362" s="38" t="str">
        <f t="shared" si="2"/>
        <v/>
      </c>
      <c r="G362" s="33" t="str">
        <f t="shared" si="3"/>
        <v/>
      </c>
      <c r="H362" s="39" t="str">
        <f>IF(C362="","",C362+IFERROR(VLOOKUP(VLOOKUP(A362,BOOKINGS!$A:$Q,3,FALSE),CLIENTS!$A:$H,6,FALSE),30))</f>
        <v/>
      </c>
      <c r="I362" s="33" t="str">
        <f>IF(A362="","",IFERROR(VLOOKUP(B362,COLLECTIONS!$A:$I,7,FALSE),"Unpaid"))</f>
        <v/>
      </c>
    </row>
    <row r="363" ht="15.75" customHeight="1">
      <c r="A363" s="33" t="str">
        <f>IF(PROFITABILITY!A363="","",PROFITABILITY!A363)</f>
        <v/>
      </c>
      <c r="B363" s="33" t="str">
        <f t="shared" si="1"/>
        <v/>
      </c>
      <c r="C363" s="39" t="str">
        <f>IF(A363="","",IFERROR(VLOOKUP(A363,BOOKINGS!$A:$Q,8,FALSE),BOOKINGS!B363))</f>
        <v/>
      </c>
      <c r="D363" s="38" t="str">
        <f>IF(A363="","",PROFITABILITY!B363)</f>
        <v/>
      </c>
      <c r="E363" s="38" t="str">
        <f>IF(A363="","",SETUP_RATES!$K$4)</f>
        <v/>
      </c>
      <c r="F363" s="38" t="str">
        <f t="shared" si="2"/>
        <v/>
      </c>
      <c r="G363" s="33" t="str">
        <f t="shared" si="3"/>
        <v/>
      </c>
      <c r="H363" s="39" t="str">
        <f>IF(C363="","",C363+IFERROR(VLOOKUP(VLOOKUP(A363,BOOKINGS!$A:$Q,3,FALSE),CLIENTS!$A:$H,6,FALSE),30))</f>
        <v/>
      </c>
      <c r="I363" s="33" t="str">
        <f>IF(A363="","",IFERROR(VLOOKUP(B363,COLLECTIONS!$A:$I,7,FALSE),"Unpaid"))</f>
        <v/>
      </c>
    </row>
    <row r="364" ht="15.75" customHeight="1">
      <c r="A364" s="33" t="str">
        <f>IF(PROFITABILITY!A364="","",PROFITABILITY!A364)</f>
        <v/>
      </c>
      <c r="B364" s="33" t="str">
        <f t="shared" si="1"/>
        <v/>
      </c>
      <c r="C364" s="39" t="str">
        <f>IF(A364="","",IFERROR(VLOOKUP(A364,BOOKINGS!$A:$Q,8,FALSE),BOOKINGS!B364))</f>
        <v/>
      </c>
      <c r="D364" s="38" t="str">
        <f>IF(A364="","",PROFITABILITY!B364)</f>
        <v/>
      </c>
      <c r="E364" s="38" t="str">
        <f>IF(A364="","",SETUP_RATES!$K$4)</f>
        <v/>
      </c>
      <c r="F364" s="38" t="str">
        <f t="shared" si="2"/>
        <v/>
      </c>
      <c r="G364" s="33" t="str">
        <f t="shared" si="3"/>
        <v/>
      </c>
      <c r="H364" s="39" t="str">
        <f>IF(C364="","",C364+IFERROR(VLOOKUP(VLOOKUP(A364,BOOKINGS!$A:$Q,3,FALSE),CLIENTS!$A:$H,6,FALSE),30))</f>
        <v/>
      </c>
      <c r="I364" s="33" t="str">
        <f>IF(A364="","",IFERROR(VLOOKUP(B364,COLLECTIONS!$A:$I,7,FALSE),"Unpaid"))</f>
        <v/>
      </c>
    </row>
    <row r="365" ht="15.75" customHeight="1">
      <c r="A365" s="33" t="str">
        <f>IF(PROFITABILITY!A365="","",PROFITABILITY!A365)</f>
        <v/>
      </c>
      <c r="B365" s="33" t="str">
        <f t="shared" si="1"/>
        <v/>
      </c>
      <c r="C365" s="39" t="str">
        <f>IF(A365="","",IFERROR(VLOOKUP(A365,BOOKINGS!$A:$Q,8,FALSE),BOOKINGS!B365))</f>
        <v/>
      </c>
      <c r="D365" s="38" t="str">
        <f>IF(A365="","",PROFITABILITY!B365)</f>
        <v/>
      </c>
      <c r="E365" s="38" t="str">
        <f>IF(A365="","",SETUP_RATES!$K$4)</f>
        <v/>
      </c>
      <c r="F365" s="38" t="str">
        <f t="shared" si="2"/>
        <v/>
      </c>
      <c r="G365" s="33" t="str">
        <f t="shared" si="3"/>
        <v/>
      </c>
      <c r="H365" s="39" t="str">
        <f>IF(C365="","",C365+IFERROR(VLOOKUP(VLOOKUP(A365,BOOKINGS!$A:$Q,3,FALSE),CLIENTS!$A:$H,6,FALSE),30))</f>
        <v/>
      </c>
      <c r="I365" s="33" t="str">
        <f>IF(A365="","",IFERROR(VLOOKUP(B365,COLLECTIONS!$A:$I,7,FALSE),"Unpaid"))</f>
        <v/>
      </c>
    </row>
    <row r="366" ht="15.75" customHeight="1">
      <c r="A366" s="33" t="str">
        <f>IF(PROFITABILITY!A366="","",PROFITABILITY!A366)</f>
        <v/>
      </c>
      <c r="B366" s="33" t="str">
        <f t="shared" si="1"/>
        <v/>
      </c>
      <c r="C366" s="39" t="str">
        <f>IF(A366="","",IFERROR(VLOOKUP(A366,BOOKINGS!$A:$Q,8,FALSE),BOOKINGS!B366))</f>
        <v/>
      </c>
      <c r="D366" s="38" t="str">
        <f>IF(A366="","",PROFITABILITY!B366)</f>
        <v/>
      </c>
      <c r="E366" s="38" t="str">
        <f>IF(A366="","",SETUP_RATES!$K$4)</f>
        <v/>
      </c>
      <c r="F366" s="38" t="str">
        <f t="shared" si="2"/>
        <v/>
      </c>
      <c r="G366" s="33" t="str">
        <f t="shared" si="3"/>
        <v/>
      </c>
      <c r="H366" s="39" t="str">
        <f>IF(C366="","",C366+IFERROR(VLOOKUP(VLOOKUP(A366,BOOKINGS!$A:$Q,3,FALSE),CLIENTS!$A:$H,6,FALSE),30))</f>
        <v/>
      </c>
      <c r="I366" s="33" t="str">
        <f>IF(A366="","",IFERROR(VLOOKUP(B366,COLLECTIONS!$A:$I,7,FALSE),"Unpaid"))</f>
        <v/>
      </c>
    </row>
    <row r="367" ht="15.75" customHeight="1">
      <c r="A367" s="33" t="str">
        <f>IF(PROFITABILITY!A367="","",PROFITABILITY!A367)</f>
        <v/>
      </c>
      <c r="B367" s="33" t="str">
        <f t="shared" si="1"/>
        <v/>
      </c>
      <c r="C367" s="39" t="str">
        <f>IF(A367="","",IFERROR(VLOOKUP(A367,BOOKINGS!$A:$Q,8,FALSE),BOOKINGS!B367))</f>
        <v/>
      </c>
      <c r="D367" s="38" t="str">
        <f>IF(A367="","",PROFITABILITY!B367)</f>
        <v/>
      </c>
      <c r="E367" s="38" t="str">
        <f>IF(A367="","",SETUP_RATES!$K$4)</f>
        <v/>
      </c>
      <c r="F367" s="38" t="str">
        <f t="shared" si="2"/>
        <v/>
      </c>
      <c r="G367" s="33" t="str">
        <f t="shared" si="3"/>
        <v/>
      </c>
      <c r="H367" s="39" t="str">
        <f>IF(C367="","",C367+IFERROR(VLOOKUP(VLOOKUP(A367,BOOKINGS!$A:$Q,3,FALSE),CLIENTS!$A:$H,6,FALSE),30))</f>
        <v/>
      </c>
      <c r="I367" s="33" t="str">
        <f>IF(A367="","",IFERROR(VLOOKUP(B367,COLLECTIONS!$A:$I,7,FALSE),"Unpaid"))</f>
        <v/>
      </c>
    </row>
    <row r="368" ht="15.75" customHeight="1">
      <c r="A368" s="33" t="str">
        <f>IF(PROFITABILITY!A368="","",PROFITABILITY!A368)</f>
        <v/>
      </c>
      <c r="B368" s="33" t="str">
        <f t="shared" si="1"/>
        <v/>
      </c>
      <c r="C368" s="39" t="str">
        <f>IF(A368="","",IFERROR(VLOOKUP(A368,BOOKINGS!$A:$Q,8,FALSE),BOOKINGS!B368))</f>
        <v/>
      </c>
      <c r="D368" s="38" t="str">
        <f>IF(A368="","",PROFITABILITY!B368)</f>
        <v/>
      </c>
      <c r="E368" s="38" t="str">
        <f>IF(A368="","",SETUP_RATES!$K$4)</f>
        <v/>
      </c>
      <c r="F368" s="38" t="str">
        <f t="shared" si="2"/>
        <v/>
      </c>
      <c r="G368" s="33" t="str">
        <f t="shared" si="3"/>
        <v/>
      </c>
      <c r="H368" s="39" t="str">
        <f>IF(C368="","",C368+IFERROR(VLOOKUP(VLOOKUP(A368,BOOKINGS!$A:$Q,3,FALSE),CLIENTS!$A:$H,6,FALSE),30))</f>
        <v/>
      </c>
      <c r="I368" s="33" t="str">
        <f>IF(A368="","",IFERROR(VLOOKUP(B368,COLLECTIONS!$A:$I,7,FALSE),"Unpaid"))</f>
        <v/>
      </c>
    </row>
    <row r="369" ht="15.75" customHeight="1">
      <c r="A369" s="33" t="str">
        <f>IF(PROFITABILITY!A369="","",PROFITABILITY!A369)</f>
        <v/>
      </c>
      <c r="B369" s="33" t="str">
        <f t="shared" si="1"/>
        <v/>
      </c>
      <c r="C369" s="39" t="str">
        <f>IF(A369="","",IFERROR(VLOOKUP(A369,BOOKINGS!$A:$Q,8,FALSE),BOOKINGS!B369))</f>
        <v/>
      </c>
      <c r="D369" s="38" t="str">
        <f>IF(A369="","",PROFITABILITY!B369)</f>
        <v/>
      </c>
      <c r="E369" s="38" t="str">
        <f>IF(A369="","",SETUP_RATES!$K$4)</f>
        <v/>
      </c>
      <c r="F369" s="38" t="str">
        <f t="shared" si="2"/>
        <v/>
      </c>
      <c r="G369" s="33" t="str">
        <f t="shared" si="3"/>
        <v/>
      </c>
      <c r="H369" s="39" t="str">
        <f>IF(C369="","",C369+IFERROR(VLOOKUP(VLOOKUP(A369,BOOKINGS!$A:$Q,3,FALSE),CLIENTS!$A:$H,6,FALSE),30))</f>
        <v/>
      </c>
      <c r="I369" s="33" t="str">
        <f>IF(A369="","",IFERROR(VLOOKUP(B369,COLLECTIONS!$A:$I,7,FALSE),"Unpaid"))</f>
        <v/>
      </c>
    </row>
    <row r="370" ht="15.75" customHeight="1">
      <c r="A370" s="33" t="str">
        <f>IF(PROFITABILITY!A370="","",PROFITABILITY!A370)</f>
        <v/>
      </c>
      <c r="B370" s="33" t="str">
        <f t="shared" si="1"/>
        <v/>
      </c>
      <c r="C370" s="39" t="str">
        <f>IF(A370="","",IFERROR(VLOOKUP(A370,BOOKINGS!$A:$Q,8,FALSE),BOOKINGS!B370))</f>
        <v/>
      </c>
      <c r="D370" s="38" t="str">
        <f>IF(A370="","",PROFITABILITY!B370)</f>
        <v/>
      </c>
      <c r="E370" s="38" t="str">
        <f>IF(A370="","",SETUP_RATES!$K$4)</f>
        <v/>
      </c>
      <c r="F370" s="38" t="str">
        <f t="shared" si="2"/>
        <v/>
      </c>
      <c r="G370" s="33" t="str">
        <f t="shared" si="3"/>
        <v/>
      </c>
      <c r="H370" s="39" t="str">
        <f>IF(C370="","",C370+IFERROR(VLOOKUP(VLOOKUP(A370,BOOKINGS!$A:$Q,3,FALSE),CLIENTS!$A:$H,6,FALSE),30))</f>
        <v/>
      </c>
      <c r="I370" s="33" t="str">
        <f>IF(A370="","",IFERROR(VLOOKUP(B370,COLLECTIONS!$A:$I,7,FALSE),"Unpaid"))</f>
        <v/>
      </c>
    </row>
    <row r="371" ht="15.75" customHeight="1">
      <c r="A371" s="33" t="str">
        <f>IF(PROFITABILITY!A371="","",PROFITABILITY!A371)</f>
        <v/>
      </c>
      <c r="B371" s="33" t="str">
        <f t="shared" si="1"/>
        <v/>
      </c>
      <c r="C371" s="39" t="str">
        <f>IF(A371="","",IFERROR(VLOOKUP(A371,BOOKINGS!$A:$Q,8,FALSE),BOOKINGS!B371))</f>
        <v/>
      </c>
      <c r="D371" s="38" t="str">
        <f>IF(A371="","",PROFITABILITY!B371)</f>
        <v/>
      </c>
      <c r="E371" s="38" t="str">
        <f>IF(A371="","",SETUP_RATES!$K$4)</f>
        <v/>
      </c>
      <c r="F371" s="38" t="str">
        <f t="shared" si="2"/>
        <v/>
      </c>
      <c r="G371" s="33" t="str">
        <f t="shared" si="3"/>
        <v/>
      </c>
      <c r="H371" s="39" t="str">
        <f>IF(C371="","",C371+IFERROR(VLOOKUP(VLOOKUP(A371,BOOKINGS!$A:$Q,3,FALSE),CLIENTS!$A:$H,6,FALSE),30))</f>
        <v/>
      </c>
      <c r="I371" s="33" t="str">
        <f>IF(A371="","",IFERROR(VLOOKUP(B371,COLLECTIONS!$A:$I,7,FALSE),"Unpaid"))</f>
        <v/>
      </c>
    </row>
    <row r="372" ht="15.75" customHeight="1">
      <c r="A372" s="33" t="str">
        <f>IF(PROFITABILITY!A372="","",PROFITABILITY!A372)</f>
        <v/>
      </c>
      <c r="B372" s="33" t="str">
        <f t="shared" si="1"/>
        <v/>
      </c>
      <c r="C372" s="39" t="str">
        <f>IF(A372="","",IFERROR(VLOOKUP(A372,BOOKINGS!$A:$Q,8,FALSE),BOOKINGS!B372))</f>
        <v/>
      </c>
      <c r="D372" s="38" t="str">
        <f>IF(A372="","",PROFITABILITY!B372)</f>
        <v/>
      </c>
      <c r="E372" s="38" t="str">
        <f>IF(A372="","",SETUP_RATES!$K$4)</f>
        <v/>
      </c>
      <c r="F372" s="38" t="str">
        <f t="shared" si="2"/>
        <v/>
      </c>
      <c r="G372" s="33" t="str">
        <f t="shared" si="3"/>
        <v/>
      </c>
      <c r="H372" s="39" t="str">
        <f>IF(C372="","",C372+IFERROR(VLOOKUP(VLOOKUP(A372,BOOKINGS!$A:$Q,3,FALSE),CLIENTS!$A:$H,6,FALSE),30))</f>
        <v/>
      </c>
      <c r="I372" s="33" t="str">
        <f>IF(A372="","",IFERROR(VLOOKUP(B372,COLLECTIONS!$A:$I,7,FALSE),"Unpaid"))</f>
        <v/>
      </c>
    </row>
    <row r="373" ht="15.75" customHeight="1">
      <c r="A373" s="33" t="str">
        <f>IF(PROFITABILITY!A373="","",PROFITABILITY!A373)</f>
        <v/>
      </c>
      <c r="B373" s="33" t="str">
        <f t="shared" si="1"/>
        <v/>
      </c>
      <c r="C373" s="39" t="str">
        <f>IF(A373="","",IFERROR(VLOOKUP(A373,BOOKINGS!$A:$Q,8,FALSE),BOOKINGS!B373))</f>
        <v/>
      </c>
      <c r="D373" s="38" t="str">
        <f>IF(A373="","",PROFITABILITY!B373)</f>
        <v/>
      </c>
      <c r="E373" s="38" t="str">
        <f>IF(A373="","",SETUP_RATES!$K$4)</f>
        <v/>
      </c>
      <c r="F373" s="38" t="str">
        <f t="shared" si="2"/>
        <v/>
      </c>
      <c r="G373" s="33" t="str">
        <f t="shared" si="3"/>
        <v/>
      </c>
      <c r="H373" s="39" t="str">
        <f>IF(C373="","",C373+IFERROR(VLOOKUP(VLOOKUP(A373,BOOKINGS!$A:$Q,3,FALSE),CLIENTS!$A:$H,6,FALSE),30))</f>
        <v/>
      </c>
      <c r="I373" s="33" t="str">
        <f>IF(A373="","",IFERROR(VLOOKUP(B373,COLLECTIONS!$A:$I,7,FALSE),"Unpaid"))</f>
        <v/>
      </c>
    </row>
    <row r="374" ht="15.75" customHeight="1">
      <c r="A374" s="33" t="str">
        <f>IF(PROFITABILITY!A374="","",PROFITABILITY!A374)</f>
        <v/>
      </c>
      <c r="B374" s="33" t="str">
        <f t="shared" si="1"/>
        <v/>
      </c>
      <c r="C374" s="39" t="str">
        <f>IF(A374="","",IFERROR(VLOOKUP(A374,BOOKINGS!$A:$Q,8,FALSE),BOOKINGS!B374))</f>
        <v/>
      </c>
      <c r="D374" s="38" t="str">
        <f>IF(A374="","",PROFITABILITY!B374)</f>
        <v/>
      </c>
      <c r="E374" s="38" t="str">
        <f>IF(A374="","",SETUP_RATES!$K$4)</f>
        <v/>
      </c>
      <c r="F374" s="38" t="str">
        <f t="shared" si="2"/>
        <v/>
      </c>
      <c r="G374" s="33" t="str">
        <f t="shared" si="3"/>
        <v/>
      </c>
      <c r="H374" s="39" t="str">
        <f>IF(C374="","",C374+IFERROR(VLOOKUP(VLOOKUP(A374,BOOKINGS!$A:$Q,3,FALSE),CLIENTS!$A:$H,6,FALSE),30))</f>
        <v/>
      </c>
      <c r="I374" s="33" t="str">
        <f>IF(A374="","",IFERROR(VLOOKUP(B374,COLLECTIONS!$A:$I,7,FALSE),"Unpaid"))</f>
        <v/>
      </c>
    </row>
    <row r="375" ht="15.75" customHeight="1">
      <c r="A375" s="33" t="str">
        <f>IF(PROFITABILITY!A375="","",PROFITABILITY!A375)</f>
        <v/>
      </c>
      <c r="B375" s="33" t="str">
        <f t="shared" si="1"/>
        <v/>
      </c>
      <c r="C375" s="39" t="str">
        <f>IF(A375="","",IFERROR(VLOOKUP(A375,BOOKINGS!$A:$Q,8,FALSE),BOOKINGS!B375))</f>
        <v/>
      </c>
      <c r="D375" s="38" t="str">
        <f>IF(A375="","",PROFITABILITY!B375)</f>
        <v/>
      </c>
      <c r="E375" s="38" t="str">
        <f>IF(A375="","",SETUP_RATES!$K$4)</f>
        <v/>
      </c>
      <c r="F375" s="38" t="str">
        <f t="shared" si="2"/>
        <v/>
      </c>
      <c r="G375" s="33" t="str">
        <f t="shared" si="3"/>
        <v/>
      </c>
      <c r="H375" s="39" t="str">
        <f>IF(C375="","",C375+IFERROR(VLOOKUP(VLOOKUP(A375,BOOKINGS!$A:$Q,3,FALSE),CLIENTS!$A:$H,6,FALSE),30))</f>
        <v/>
      </c>
      <c r="I375" s="33" t="str">
        <f>IF(A375="","",IFERROR(VLOOKUP(B375,COLLECTIONS!$A:$I,7,FALSE),"Unpaid"))</f>
        <v/>
      </c>
    </row>
    <row r="376" ht="15.75" customHeight="1">
      <c r="A376" s="33" t="str">
        <f>IF(PROFITABILITY!A376="","",PROFITABILITY!A376)</f>
        <v/>
      </c>
      <c r="B376" s="33" t="str">
        <f t="shared" si="1"/>
        <v/>
      </c>
      <c r="C376" s="39" t="str">
        <f>IF(A376="","",IFERROR(VLOOKUP(A376,BOOKINGS!$A:$Q,8,FALSE),BOOKINGS!B376))</f>
        <v/>
      </c>
      <c r="D376" s="38" t="str">
        <f>IF(A376="","",PROFITABILITY!B376)</f>
        <v/>
      </c>
      <c r="E376" s="38" t="str">
        <f>IF(A376="","",SETUP_RATES!$K$4)</f>
        <v/>
      </c>
      <c r="F376" s="38" t="str">
        <f t="shared" si="2"/>
        <v/>
      </c>
      <c r="G376" s="33" t="str">
        <f t="shared" si="3"/>
        <v/>
      </c>
      <c r="H376" s="39" t="str">
        <f>IF(C376="","",C376+IFERROR(VLOOKUP(VLOOKUP(A376,BOOKINGS!$A:$Q,3,FALSE),CLIENTS!$A:$H,6,FALSE),30))</f>
        <v/>
      </c>
      <c r="I376" s="33" t="str">
        <f>IF(A376="","",IFERROR(VLOOKUP(B376,COLLECTIONS!$A:$I,7,FALSE),"Unpaid"))</f>
        <v/>
      </c>
    </row>
    <row r="377" ht="15.75" customHeight="1">
      <c r="A377" s="33" t="str">
        <f>IF(PROFITABILITY!A377="","",PROFITABILITY!A377)</f>
        <v/>
      </c>
      <c r="B377" s="33" t="str">
        <f t="shared" si="1"/>
        <v/>
      </c>
      <c r="C377" s="39" t="str">
        <f>IF(A377="","",IFERROR(VLOOKUP(A377,BOOKINGS!$A:$Q,8,FALSE),BOOKINGS!B377))</f>
        <v/>
      </c>
      <c r="D377" s="38" t="str">
        <f>IF(A377="","",PROFITABILITY!B377)</f>
        <v/>
      </c>
      <c r="E377" s="38" t="str">
        <f>IF(A377="","",SETUP_RATES!$K$4)</f>
        <v/>
      </c>
      <c r="F377" s="38" t="str">
        <f t="shared" si="2"/>
        <v/>
      </c>
      <c r="G377" s="33" t="str">
        <f t="shared" si="3"/>
        <v/>
      </c>
      <c r="H377" s="39" t="str">
        <f>IF(C377="","",C377+IFERROR(VLOOKUP(VLOOKUP(A377,BOOKINGS!$A:$Q,3,FALSE),CLIENTS!$A:$H,6,FALSE),30))</f>
        <v/>
      </c>
      <c r="I377" s="33" t="str">
        <f>IF(A377="","",IFERROR(VLOOKUP(B377,COLLECTIONS!$A:$I,7,FALSE),"Unpaid"))</f>
        <v/>
      </c>
    </row>
    <row r="378" ht="15.75" customHeight="1">
      <c r="A378" s="33" t="str">
        <f>IF(PROFITABILITY!A378="","",PROFITABILITY!A378)</f>
        <v/>
      </c>
      <c r="B378" s="33" t="str">
        <f t="shared" si="1"/>
        <v/>
      </c>
      <c r="C378" s="39" t="str">
        <f>IF(A378="","",IFERROR(VLOOKUP(A378,BOOKINGS!$A:$Q,8,FALSE),BOOKINGS!B378))</f>
        <v/>
      </c>
      <c r="D378" s="38" t="str">
        <f>IF(A378="","",PROFITABILITY!B378)</f>
        <v/>
      </c>
      <c r="E378" s="38" t="str">
        <f>IF(A378="","",SETUP_RATES!$K$4)</f>
        <v/>
      </c>
      <c r="F378" s="38" t="str">
        <f t="shared" si="2"/>
        <v/>
      </c>
      <c r="G378" s="33" t="str">
        <f t="shared" si="3"/>
        <v/>
      </c>
      <c r="H378" s="39" t="str">
        <f>IF(C378="","",C378+IFERROR(VLOOKUP(VLOOKUP(A378,BOOKINGS!$A:$Q,3,FALSE),CLIENTS!$A:$H,6,FALSE),30))</f>
        <v/>
      </c>
      <c r="I378" s="33" t="str">
        <f>IF(A378="","",IFERROR(VLOOKUP(B378,COLLECTIONS!$A:$I,7,FALSE),"Unpaid"))</f>
        <v/>
      </c>
    </row>
    <row r="379" ht="15.75" customHeight="1">
      <c r="A379" s="33" t="str">
        <f>IF(PROFITABILITY!A379="","",PROFITABILITY!A379)</f>
        <v/>
      </c>
      <c r="B379" s="33" t="str">
        <f t="shared" si="1"/>
        <v/>
      </c>
      <c r="C379" s="39" t="str">
        <f>IF(A379="","",IFERROR(VLOOKUP(A379,BOOKINGS!$A:$Q,8,FALSE),BOOKINGS!B379))</f>
        <v/>
      </c>
      <c r="D379" s="38" t="str">
        <f>IF(A379="","",PROFITABILITY!B379)</f>
        <v/>
      </c>
      <c r="E379" s="38" t="str">
        <f>IF(A379="","",SETUP_RATES!$K$4)</f>
        <v/>
      </c>
      <c r="F379" s="38" t="str">
        <f t="shared" si="2"/>
        <v/>
      </c>
      <c r="G379" s="33" t="str">
        <f t="shared" si="3"/>
        <v/>
      </c>
      <c r="H379" s="39" t="str">
        <f>IF(C379="","",C379+IFERROR(VLOOKUP(VLOOKUP(A379,BOOKINGS!$A:$Q,3,FALSE),CLIENTS!$A:$H,6,FALSE),30))</f>
        <v/>
      </c>
      <c r="I379" s="33" t="str">
        <f>IF(A379="","",IFERROR(VLOOKUP(B379,COLLECTIONS!$A:$I,7,FALSE),"Unpaid"))</f>
        <v/>
      </c>
    </row>
    <row r="380" ht="15.75" customHeight="1">
      <c r="A380" s="33" t="str">
        <f>IF(PROFITABILITY!A380="","",PROFITABILITY!A380)</f>
        <v/>
      </c>
      <c r="B380" s="33" t="str">
        <f t="shared" si="1"/>
        <v/>
      </c>
      <c r="C380" s="39" t="str">
        <f>IF(A380="","",IFERROR(VLOOKUP(A380,BOOKINGS!$A:$Q,8,FALSE),BOOKINGS!B380))</f>
        <v/>
      </c>
      <c r="D380" s="38" t="str">
        <f>IF(A380="","",PROFITABILITY!B380)</f>
        <v/>
      </c>
      <c r="E380" s="38" t="str">
        <f>IF(A380="","",SETUP_RATES!$K$4)</f>
        <v/>
      </c>
      <c r="F380" s="38" t="str">
        <f t="shared" si="2"/>
        <v/>
      </c>
      <c r="G380" s="33" t="str">
        <f t="shared" si="3"/>
        <v/>
      </c>
      <c r="H380" s="39" t="str">
        <f>IF(C380="","",C380+IFERROR(VLOOKUP(VLOOKUP(A380,BOOKINGS!$A:$Q,3,FALSE),CLIENTS!$A:$H,6,FALSE),30))</f>
        <v/>
      </c>
      <c r="I380" s="33" t="str">
        <f>IF(A380="","",IFERROR(VLOOKUP(B380,COLLECTIONS!$A:$I,7,FALSE),"Unpaid"))</f>
        <v/>
      </c>
    </row>
    <row r="381" ht="15.75" customHeight="1">
      <c r="A381" s="33" t="str">
        <f>IF(PROFITABILITY!A381="","",PROFITABILITY!A381)</f>
        <v/>
      </c>
      <c r="B381" s="33" t="str">
        <f t="shared" si="1"/>
        <v/>
      </c>
      <c r="C381" s="39" t="str">
        <f>IF(A381="","",IFERROR(VLOOKUP(A381,BOOKINGS!$A:$Q,8,FALSE),BOOKINGS!B381))</f>
        <v/>
      </c>
      <c r="D381" s="38" t="str">
        <f>IF(A381="","",PROFITABILITY!B381)</f>
        <v/>
      </c>
      <c r="E381" s="38" t="str">
        <f>IF(A381="","",SETUP_RATES!$K$4)</f>
        <v/>
      </c>
      <c r="F381" s="38" t="str">
        <f t="shared" si="2"/>
        <v/>
      </c>
      <c r="G381" s="33" t="str">
        <f t="shared" si="3"/>
        <v/>
      </c>
      <c r="H381" s="39" t="str">
        <f>IF(C381="","",C381+IFERROR(VLOOKUP(VLOOKUP(A381,BOOKINGS!$A:$Q,3,FALSE),CLIENTS!$A:$H,6,FALSE),30))</f>
        <v/>
      </c>
      <c r="I381" s="33" t="str">
        <f>IF(A381="","",IFERROR(VLOOKUP(B381,COLLECTIONS!$A:$I,7,FALSE),"Unpaid"))</f>
        <v/>
      </c>
    </row>
    <row r="382" ht="15.75" customHeight="1">
      <c r="A382" s="33" t="str">
        <f>IF(PROFITABILITY!A382="","",PROFITABILITY!A382)</f>
        <v/>
      </c>
      <c r="B382" s="33" t="str">
        <f t="shared" si="1"/>
        <v/>
      </c>
      <c r="C382" s="39" t="str">
        <f>IF(A382="","",IFERROR(VLOOKUP(A382,BOOKINGS!$A:$Q,8,FALSE),BOOKINGS!B382))</f>
        <v/>
      </c>
      <c r="D382" s="38" t="str">
        <f>IF(A382="","",PROFITABILITY!B382)</f>
        <v/>
      </c>
      <c r="E382" s="38" t="str">
        <f>IF(A382="","",SETUP_RATES!$K$4)</f>
        <v/>
      </c>
      <c r="F382" s="38" t="str">
        <f t="shared" si="2"/>
        <v/>
      </c>
      <c r="G382" s="33" t="str">
        <f t="shared" si="3"/>
        <v/>
      </c>
      <c r="H382" s="39" t="str">
        <f>IF(C382="","",C382+IFERROR(VLOOKUP(VLOOKUP(A382,BOOKINGS!$A:$Q,3,FALSE),CLIENTS!$A:$H,6,FALSE),30))</f>
        <v/>
      </c>
      <c r="I382" s="33" t="str">
        <f>IF(A382="","",IFERROR(VLOOKUP(B382,COLLECTIONS!$A:$I,7,FALSE),"Unpaid"))</f>
        <v/>
      </c>
    </row>
    <row r="383" ht="15.75" customHeight="1">
      <c r="A383" s="33" t="str">
        <f>IF(PROFITABILITY!A383="","",PROFITABILITY!A383)</f>
        <v/>
      </c>
      <c r="B383" s="33" t="str">
        <f t="shared" si="1"/>
        <v/>
      </c>
      <c r="C383" s="39" t="str">
        <f>IF(A383="","",IFERROR(VLOOKUP(A383,BOOKINGS!$A:$Q,8,FALSE),BOOKINGS!B383))</f>
        <v/>
      </c>
      <c r="D383" s="38" t="str">
        <f>IF(A383="","",PROFITABILITY!B383)</f>
        <v/>
      </c>
      <c r="E383" s="38" t="str">
        <f>IF(A383="","",SETUP_RATES!$K$4)</f>
        <v/>
      </c>
      <c r="F383" s="38" t="str">
        <f t="shared" si="2"/>
        <v/>
      </c>
      <c r="G383" s="33" t="str">
        <f t="shared" si="3"/>
        <v/>
      </c>
      <c r="H383" s="39" t="str">
        <f>IF(C383="","",C383+IFERROR(VLOOKUP(VLOOKUP(A383,BOOKINGS!$A:$Q,3,FALSE),CLIENTS!$A:$H,6,FALSE),30))</f>
        <v/>
      </c>
      <c r="I383" s="33" t="str">
        <f>IF(A383="","",IFERROR(VLOOKUP(B383,COLLECTIONS!$A:$I,7,FALSE),"Unpaid"))</f>
        <v/>
      </c>
    </row>
    <row r="384" ht="15.75" customHeight="1">
      <c r="A384" s="33" t="str">
        <f>IF(PROFITABILITY!A384="","",PROFITABILITY!A384)</f>
        <v/>
      </c>
      <c r="B384" s="33" t="str">
        <f t="shared" si="1"/>
        <v/>
      </c>
      <c r="C384" s="39" t="str">
        <f>IF(A384="","",IFERROR(VLOOKUP(A384,BOOKINGS!$A:$Q,8,FALSE),BOOKINGS!B384))</f>
        <v/>
      </c>
      <c r="D384" s="38" t="str">
        <f>IF(A384="","",PROFITABILITY!B384)</f>
        <v/>
      </c>
      <c r="E384" s="38" t="str">
        <f>IF(A384="","",SETUP_RATES!$K$4)</f>
        <v/>
      </c>
      <c r="F384" s="38" t="str">
        <f t="shared" si="2"/>
        <v/>
      </c>
      <c r="G384" s="33" t="str">
        <f t="shared" si="3"/>
        <v/>
      </c>
      <c r="H384" s="39" t="str">
        <f>IF(C384="","",C384+IFERROR(VLOOKUP(VLOOKUP(A384,BOOKINGS!$A:$Q,3,FALSE),CLIENTS!$A:$H,6,FALSE),30))</f>
        <v/>
      </c>
      <c r="I384" s="33" t="str">
        <f>IF(A384="","",IFERROR(VLOOKUP(B384,COLLECTIONS!$A:$I,7,FALSE),"Unpaid"))</f>
        <v/>
      </c>
    </row>
    <row r="385" ht="15.75" customHeight="1">
      <c r="A385" s="33" t="str">
        <f>IF(PROFITABILITY!A385="","",PROFITABILITY!A385)</f>
        <v/>
      </c>
      <c r="B385" s="33" t="str">
        <f t="shared" si="1"/>
        <v/>
      </c>
      <c r="C385" s="39" t="str">
        <f>IF(A385="","",IFERROR(VLOOKUP(A385,BOOKINGS!$A:$Q,8,FALSE),BOOKINGS!B385))</f>
        <v/>
      </c>
      <c r="D385" s="38" t="str">
        <f>IF(A385="","",PROFITABILITY!B385)</f>
        <v/>
      </c>
      <c r="E385" s="38" t="str">
        <f>IF(A385="","",SETUP_RATES!$K$4)</f>
        <v/>
      </c>
      <c r="F385" s="38" t="str">
        <f t="shared" si="2"/>
        <v/>
      </c>
      <c r="G385" s="33" t="str">
        <f t="shared" si="3"/>
        <v/>
      </c>
      <c r="H385" s="39" t="str">
        <f>IF(C385="","",C385+IFERROR(VLOOKUP(VLOOKUP(A385,BOOKINGS!$A:$Q,3,FALSE),CLIENTS!$A:$H,6,FALSE),30))</f>
        <v/>
      </c>
      <c r="I385" s="33" t="str">
        <f>IF(A385="","",IFERROR(VLOOKUP(B385,COLLECTIONS!$A:$I,7,FALSE),"Unpaid"))</f>
        <v/>
      </c>
    </row>
    <row r="386" ht="15.75" customHeight="1">
      <c r="A386" s="33" t="str">
        <f>IF(PROFITABILITY!A386="","",PROFITABILITY!A386)</f>
        <v/>
      </c>
      <c r="B386" s="33" t="str">
        <f t="shared" si="1"/>
        <v/>
      </c>
      <c r="C386" s="39" t="str">
        <f>IF(A386="","",IFERROR(VLOOKUP(A386,BOOKINGS!$A:$Q,8,FALSE),BOOKINGS!B386))</f>
        <v/>
      </c>
      <c r="D386" s="38" t="str">
        <f>IF(A386="","",PROFITABILITY!B386)</f>
        <v/>
      </c>
      <c r="E386" s="38" t="str">
        <f>IF(A386="","",SETUP_RATES!$K$4)</f>
        <v/>
      </c>
      <c r="F386" s="38" t="str">
        <f t="shared" si="2"/>
        <v/>
      </c>
      <c r="G386" s="33" t="str">
        <f t="shared" si="3"/>
        <v/>
      </c>
      <c r="H386" s="39" t="str">
        <f>IF(C386="","",C386+IFERROR(VLOOKUP(VLOOKUP(A386,BOOKINGS!$A:$Q,3,FALSE),CLIENTS!$A:$H,6,FALSE),30))</f>
        <v/>
      </c>
      <c r="I386" s="33" t="str">
        <f>IF(A386="","",IFERROR(VLOOKUP(B386,COLLECTIONS!$A:$I,7,FALSE),"Unpaid"))</f>
        <v/>
      </c>
    </row>
    <row r="387" ht="15.75" customHeight="1">
      <c r="A387" s="33" t="str">
        <f>IF(PROFITABILITY!A387="","",PROFITABILITY!A387)</f>
        <v/>
      </c>
      <c r="B387" s="33" t="str">
        <f t="shared" si="1"/>
        <v/>
      </c>
      <c r="C387" s="39" t="str">
        <f>IF(A387="","",IFERROR(VLOOKUP(A387,BOOKINGS!$A:$Q,8,FALSE),BOOKINGS!B387))</f>
        <v/>
      </c>
      <c r="D387" s="38" t="str">
        <f>IF(A387="","",PROFITABILITY!B387)</f>
        <v/>
      </c>
      <c r="E387" s="38" t="str">
        <f>IF(A387="","",SETUP_RATES!$K$4)</f>
        <v/>
      </c>
      <c r="F387" s="38" t="str">
        <f t="shared" si="2"/>
        <v/>
      </c>
      <c r="G387" s="33" t="str">
        <f t="shared" si="3"/>
        <v/>
      </c>
      <c r="H387" s="39" t="str">
        <f>IF(C387="","",C387+IFERROR(VLOOKUP(VLOOKUP(A387,BOOKINGS!$A:$Q,3,FALSE),CLIENTS!$A:$H,6,FALSE),30))</f>
        <v/>
      </c>
      <c r="I387" s="33" t="str">
        <f>IF(A387="","",IFERROR(VLOOKUP(B387,COLLECTIONS!$A:$I,7,FALSE),"Unpaid"))</f>
        <v/>
      </c>
    </row>
    <row r="388" ht="15.75" customHeight="1">
      <c r="A388" s="33" t="str">
        <f>IF(PROFITABILITY!A388="","",PROFITABILITY!A388)</f>
        <v/>
      </c>
      <c r="B388" s="33" t="str">
        <f t="shared" si="1"/>
        <v/>
      </c>
      <c r="C388" s="39" t="str">
        <f>IF(A388="","",IFERROR(VLOOKUP(A388,BOOKINGS!$A:$Q,8,FALSE),BOOKINGS!B388))</f>
        <v/>
      </c>
      <c r="D388" s="38" t="str">
        <f>IF(A388="","",PROFITABILITY!B388)</f>
        <v/>
      </c>
      <c r="E388" s="38" t="str">
        <f>IF(A388="","",SETUP_RATES!$K$4)</f>
        <v/>
      </c>
      <c r="F388" s="38" t="str">
        <f t="shared" si="2"/>
        <v/>
      </c>
      <c r="G388" s="33" t="str">
        <f t="shared" si="3"/>
        <v/>
      </c>
      <c r="H388" s="39" t="str">
        <f>IF(C388="","",C388+IFERROR(VLOOKUP(VLOOKUP(A388,BOOKINGS!$A:$Q,3,FALSE),CLIENTS!$A:$H,6,FALSE),30))</f>
        <v/>
      </c>
      <c r="I388" s="33" t="str">
        <f>IF(A388="","",IFERROR(VLOOKUP(B388,COLLECTIONS!$A:$I,7,FALSE),"Unpaid"))</f>
        <v/>
      </c>
    </row>
    <row r="389" ht="15.75" customHeight="1">
      <c r="A389" s="33" t="str">
        <f>IF(PROFITABILITY!A389="","",PROFITABILITY!A389)</f>
        <v/>
      </c>
      <c r="B389" s="33" t="str">
        <f t="shared" si="1"/>
        <v/>
      </c>
      <c r="C389" s="39" t="str">
        <f>IF(A389="","",IFERROR(VLOOKUP(A389,BOOKINGS!$A:$Q,8,FALSE),BOOKINGS!B389))</f>
        <v/>
      </c>
      <c r="D389" s="38" t="str">
        <f>IF(A389="","",PROFITABILITY!B389)</f>
        <v/>
      </c>
      <c r="E389" s="38" t="str">
        <f>IF(A389="","",SETUP_RATES!$K$4)</f>
        <v/>
      </c>
      <c r="F389" s="38" t="str">
        <f t="shared" si="2"/>
        <v/>
      </c>
      <c r="G389" s="33" t="str">
        <f t="shared" si="3"/>
        <v/>
      </c>
      <c r="H389" s="39" t="str">
        <f>IF(C389="","",C389+IFERROR(VLOOKUP(VLOOKUP(A389,BOOKINGS!$A:$Q,3,FALSE),CLIENTS!$A:$H,6,FALSE),30))</f>
        <v/>
      </c>
      <c r="I389" s="33" t="str">
        <f>IF(A389="","",IFERROR(VLOOKUP(B389,COLLECTIONS!$A:$I,7,FALSE),"Unpaid"))</f>
        <v/>
      </c>
    </row>
    <row r="390" ht="15.75" customHeight="1">
      <c r="A390" s="33" t="str">
        <f>IF(PROFITABILITY!A390="","",PROFITABILITY!A390)</f>
        <v/>
      </c>
      <c r="B390" s="33" t="str">
        <f t="shared" si="1"/>
        <v/>
      </c>
      <c r="C390" s="39" t="str">
        <f>IF(A390="","",IFERROR(VLOOKUP(A390,BOOKINGS!$A:$Q,8,FALSE),BOOKINGS!B390))</f>
        <v/>
      </c>
      <c r="D390" s="38" t="str">
        <f>IF(A390="","",PROFITABILITY!B390)</f>
        <v/>
      </c>
      <c r="E390" s="38" t="str">
        <f>IF(A390="","",SETUP_RATES!$K$4)</f>
        <v/>
      </c>
      <c r="F390" s="38" t="str">
        <f t="shared" si="2"/>
        <v/>
      </c>
      <c r="G390" s="33" t="str">
        <f t="shared" si="3"/>
        <v/>
      </c>
      <c r="H390" s="39" t="str">
        <f>IF(C390="","",C390+IFERROR(VLOOKUP(VLOOKUP(A390,BOOKINGS!$A:$Q,3,FALSE),CLIENTS!$A:$H,6,FALSE),30))</f>
        <v/>
      </c>
      <c r="I390" s="33" t="str">
        <f>IF(A390="","",IFERROR(VLOOKUP(B390,COLLECTIONS!$A:$I,7,FALSE),"Unpaid"))</f>
        <v/>
      </c>
    </row>
    <row r="391" ht="15.75" customHeight="1">
      <c r="A391" s="33" t="str">
        <f>IF(PROFITABILITY!A391="","",PROFITABILITY!A391)</f>
        <v/>
      </c>
      <c r="B391" s="33" t="str">
        <f t="shared" si="1"/>
        <v/>
      </c>
      <c r="C391" s="39" t="str">
        <f>IF(A391="","",IFERROR(VLOOKUP(A391,BOOKINGS!$A:$Q,8,FALSE),BOOKINGS!B391))</f>
        <v/>
      </c>
      <c r="D391" s="38" t="str">
        <f>IF(A391="","",PROFITABILITY!B391)</f>
        <v/>
      </c>
      <c r="E391" s="38" t="str">
        <f>IF(A391="","",SETUP_RATES!$K$4)</f>
        <v/>
      </c>
      <c r="F391" s="38" t="str">
        <f t="shared" si="2"/>
        <v/>
      </c>
      <c r="G391" s="33" t="str">
        <f t="shared" si="3"/>
        <v/>
      </c>
      <c r="H391" s="39" t="str">
        <f>IF(C391="","",C391+IFERROR(VLOOKUP(VLOOKUP(A391,BOOKINGS!$A:$Q,3,FALSE),CLIENTS!$A:$H,6,FALSE),30))</f>
        <v/>
      </c>
      <c r="I391" s="33" t="str">
        <f>IF(A391="","",IFERROR(VLOOKUP(B391,COLLECTIONS!$A:$I,7,FALSE),"Unpaid"))</f>
        <v/>
      </c>
    </row>
    <row r="392" ht="15.75" customHeight="1">
      <c r="A392" s="33" t="str">
        <f>IF(PROFITABILITY!A392="","",PROFITABILITY!A392)</f>
        <v/>
      </c>
      <c r="B392" s="33" t="str">
        <f t="shared" si="1"/>
        <v/>
      </c>
      <c r="C392" s="39" t="str">
        <f>IF(A392="","",IFERROR(VLOOKUP(A392,BOOKINGS!$A:$Q,8,FALSE),BOOKINGS!B392))</f>
        <v/>
      </c>
      <c r="D392" s="38" t="str">
        <f>IF(A392="","",PROFITABILITY!B392)</f>
        <v/>
      </c>
      <c r="E392" s="38" t="str">
        <f>IF(A392="","",SETUP_RATES!$K$4)</f>
        <v/>
      </c>
      <c r="F392" s="38" t="str">
        <f t="shared" si="2"/>
        <v/>
      </c>
      <c r="G392" s="33" t="str">
        <f t="shared" si="3"/>
        <v/>
      </c>
      <c r="H392" s="39" t="str">
        <f>IF(C392="","",C392+IFERROR(VLOOKUP(VLOOKUP(A392,BOOKINGS!$A:$Q,3,FALSE),CLIENTS!$A:$H,6,FALSE),30))</f>
        <v/>
      </c>
      <c r="I392" s="33" t="str">
        <f>IF(A392="","",IFERROR(VLOOKUP(B392,COLLECTIONS!$A:$I,7,FALSE),"Unpaid"))</f>
        <v/>
      </c>
    </row>
    <row r="393" ht="15.75" customHeight="1">
      <c r="A393" s="33" t="str">
        <f>IF(PROFITABILITY!A393="","",PROFITABILITY!A393)</f>
        <v/>
      </c>
      <c r="B393" s="33" t="str">
        <f t="shared" si="1"/>
        <v/>
      </c>
      <c r="C393" s="39" t="str">
        <f>IF(A393="","",IFERROR(VLOOKUP(A393,BOOKINGS!$A:$Q,8,FALSE),BOOKINGS!B393))</f>
        <v/>
      </c>
      <c r="D393" s="38" t="str">
        <f>IF(A393="","",PROFITABILITY!B393)</f>
        <v/>
      </c>
      <c r="E393" s="38" t="str">
        <f>IF(A393="","",SETUP_RATES!$K$4)</f>
        <v/>
      </c>
      <c r="F393" s="38" t="str">
        <f t="shared" si="2"/>
        <v/>
      </c>
      <c r="G393" s="33" t="str">
        <f t="shared" si="3"/>
        <v/>
      </c>
      <c r="H393" s="39" t="str">
        <f>IF(C393="","",C393+IFERROR(VLOOKUP(VLOOKUP(A393,BOOKINGS!$A:$Q,3,FALSE),CLIENTS!$A:$H,6,FALSE),30))</f>
        <v/>
      </c>
      <c r="I393" s="33" t="str">
        <f>IF(A393="","",IFERROR(VLOOKUP(B393,COLLECTIONS!$A:$I,7,FALSE),"Unpaid"))</f>
        <v/>
      </c>
    </row>
    <row r="394" ht="15.75" customHeight="1">
      <c r="A394" s="33" t="str">
        <f>IF(PROFITABILITY!A394="","",PROFITABILITY!A394)</f>
        <v/>
      </c>
      <c r="B394" s="33" t="str">
        <f t="shared" si="1"/>
        <v/>
      </c>
      <c r="C394" s="39" t="str">
        <f>IF(A394="","",IFERROR(VLOOKUP(A394,BOOKINGS!$A:$Q,8,FALSE),BOOKINGS!B394))</f>
        <v/>
      </c>
      <c r="D394" s="38" t="str">
        <f>IF(A394="","",PROFITABILITY!B394)</f>
        <v/>
      </c>
      <c r="E394" s="38" t="str">
        <f>IF(A394="","",SETUP_RATES!$K$4)</f>
        <v/>
      </c>
      <c r="F394" s="38" t="str">
        <f t="shared" si="2"/>
        <v/>
      </c>
      <c r="G394" s="33" t="str">
        <f t="shared" si="3"/>
        <v/>
      </c>
      <c r="H394" s="39" t="str">
        <f>IF(C394="","",C394+IFERROR(VLOOKUP(VLOOKUP(A394,BOOKINGS!$A:$Q,3,FALSE),CLIENTS!$A:$H,6,FALSE),30))</f>
        <v/>
      </c>
      <c r="I394" s="33" t="str">
        <f>IF(A394="","",IFERROR(VLOOKUP(B394,COLLECTIONS!$A:$I,7,FALSE),"Unpaid"))</f>
        <v/>
      </c>
    </row>
    <row r="395" ht="15.75" customHeight="1">
      <c r="A395" s="33" t="str">
        <f>IF(PROFITABILITY!A395="","",PROFITABILITY!A395)</f>
        <v/>
      </c>
      <c r="B395" s="33" t="str">
        <f t="shared" si="1"/>
        <v/>
      </c>
      <c r="C395" s="39" t="str">
        <f>IF(A395="","",IFERROR(VLOOKUP(A395,BOOKINGS!$A:$Q,8,FALSE),BOOKINGS!B395))</f>
        <v/>
      </c>
      <c r="D395" s="38" t="str">
        <f>IF(A395="","",PROFITABILITY!B395)</f>
        <v/>
      </c>
      <c r="E395" s="38" t="str">
        <f>IF(A395="","",SETUP_RATES!$K$4)</f>
        <v/>
      </c>
      <c r="F395" s="38" t="str">
        <f t="shared" si="2"/>
        <v/>
      </c>
      <c r="G395" s="33" t="str">
        <f t="shared" si="3"/>
        <v/>
      </c>
      <c r="H395" s="39" t="str">
        <f>IF(C395="","",C395+IFERROR(VLOOKUP(VLOOKUP(A395,BOOKINGS!$A:$Q,3,FALSE),CLIENTS!$A:$H,6,FALSE),30))</f>
        <v/>
      </c>
      <c r="I395" s="33" t="str">
        <f>IF(A395="","",IFERROR(VLOOKUP(B395,COLLECTIONS!$A:$I,7,FALSE),"Unpaid"))</f>
        <v/>
      </c>
    </row>
    <row r="396" ht="15.75" customHeight="1">
      <c r="A396" s="33" t="str">
        <f>IF(PROFITABILITY!A396="","",PROFITABILITY!A396)</f>
        <v/>
      </c>
      <c r="B396" s="33" t="str">
        <f t="shared" si="1"/>
        <v/>
      </c>
      <c r="C396" s="39" t="str">
        <f>IF(A396="","",IFERROR(VLOOKUP(A396,BOOKINGS!$A:$Q,8,FALSE),BOOKINGS!B396))</f>
        <v/>
      </c>
      <c r="D396" s="38" t="str">
        <f>IF(A396="","",PROFITABILITY!B396)</f>
        <v/>
      </c>
      <c r="E396" s="38" t="str">
        <f>IF(A396="","",SETUP_RATES!$K$4)</f>
        <v/>
      </c>
      <c r="F396" s="38" t="str">
        <f t="shared" si="2"/>
        <v/>
      </c>
      <c r="G396" s="33" t="str">
        <f t="shared" si="3"/>
        <v/>
      </c>
      <c r="H396" s="39" t="str">
        <f>IF(C396="","",C396+IFERROR(VLOOKUP(VLOOKUP(A396,BOOKINGS!$A:$Q,3,FALSE),CLIENTS!$A:$H,6,FALSE),30))</f>
        <v/>
      </c>
      <c r="I396" s="33" t="str">
        <f>IF(A396="","",IFERROR(VLOOKUP(B396,COLLECTIONS!$A:$I,7,FALSE),"Unpaid"))</f>
        <v/>
      </c>
    </row>
    <row r="397" ht="15.75" customHeight="1">
      <c r="A397" s="33" t="str">
        <f>IF(PROFITABILITY!A397="","",PROFITABILITY!A397)</f>
        <v/>
      </c>
      <c r="B397" s="33" t="str">
        <f t="shared" si="1"/>
        <v/>
      </c>
      <c r="C397" s="39" t="str">
        <f>IF(A397="","",IFERROR(VLOOKUP(A397,BOOKINGS!$A:$Q,8,FALSE),BOOKINGS!B397))</f>
        <v/>
      </c>
      <c r="D397" s="38" t="str">
        <f>IF(A397="","",PROFITABILITY!B397)</f>
        <v/>
      </c>
      <c r="E397" s="38" t="str">
        <f>IF(A397="","",SETUP_RATES!$K$4)</f>
        <v/>
      </c>
      <c r="F397" s="38" t="str">
        <f t="shared" si="2"/>
        <v/>
      </c>
      <c r="G397" s="33" t="str">
        <f t="shared" si="3"/>
        <v/>
      </c>
      <c r="H397" s="39" t="str">
        <f>IF(C397="","",C397+IFERROR(VLOOKUP(VLOOKUP(A397,BOOKINGS!$A:$Q,3,FALSE),CLIENTS!$A:$H,6,FALSE),30))</f>
        <v/>
      </c>
      <c r="I397" s="33" t="str">
        <f>IF(A397="","",IFERROR(VLOOKUP(B397,COLLECTIONS!$A:$I,7,FALSE),"Unpaid"))</f>
        <v/>
      </c>
    </row>
    <row r="398" ht="15.75" customHeight="1">
      <c r="A398" s="33" t="str">
        <f>IF(PROFITABILITY!A398="","",PROFITABILITY!A398)</f>
        <v/>
      </c>
      <c r="B398" s="33" t="str">
        <f t="shared" si="1"/>
        <v/>
      </c>
      <c r="C398" s="39" t="str">
        <f>IF(A398="","",IFERROR(VLOOKUP(A398,BOOKINGS!$A:$Q,8,FALSE),BOOKINGS!B398))</f>
        <v/>
      </c>
      <c r="D398" s="38" t="str">
        <f>IF(A398="","",PROFITABILITY!B398)</f>
        <v/>
      </c>
      <c r="E398" s="38" t="str">
        <f>IF(A398="","",SETUP_RATES!$K$4)</f>
        <v/>
      </c>
      <c r="F398" s="38" t="str">
        <f t="shared" si="2"/>
        <v/>
      </c>
      <c r="G398" s="33" t="str">
        <f t="shared" si="3"/>
        <v/>
      </c>
      <c r="H398" s="39" t="str">
        <f>IF(C398="","",C398+IFERROR(VLOOKUP(VLOOKUP(A398,BOOKINGS!$A:$Q,3,FALSE),CLIENTS!$A:$H,6,FALSE),30))</f>
        <v/>
      </c>
      <c r="I398" s="33" t="str">
        <f>IF(A398="","",IFERROR(VLOOKUP(B398,COLLECTIONS!$A:$I,7,FALSE),"Unpaid"))</f>
        <v/>
      </c>
    </row>
    <row r="399" ht="15.75" customHeight="1">
      <c r="A399" s="33" t="str">
        <f>IF(PROFITABILITY!A399="","",PROFITABILITY!A399)</f>
        <v/>
      </c>
      <c r="B399" s="33" t="str">
        <f t="shared" si="1"/>
        <v/>
      </c>
      <c r="C399" s="39" t="str">
        <f>IF(A399="","",IFERROR(VLOOKUP(A399,BOOKINGS!$A:$Q,8,FALSE),BOOKINGS!B399))</f>
        <v/>
      </c>
      <c r="D399" s="38" t="str">
        <f>IF(A399="","",PROFITABILITY!B399)</f>
        <v/>
      </c>
      <c r="E399" s="38" t="str">
        <f>IF(A399="","",SETUP_RATES!$K$4)</f>
        <v/>
      </c>
      <c r="F399" s="38" t="str">
        <f t="shared" si="2"/>
        <v/>
      </c>
      <c r="G399" s="33" t="str">
        <f t="shared" si="3"/>
        <v/>
      </c>
      <c r="H399" s="39" t="str">
        <f>IF(C399="","",C399+IFERROR(VLOOKUP(VLOOKUP(A399,BOOKINGS!$A:$Q,3,FALSE),CLIENTS!$A:$H,6,FALSE),30))</f>
        <v/>
      </c>
      <c r="I399" s="33" t="str">
        <f>IF(A399="","",IFERROR(VLOOKUP(B399,COLLECTIONS!$A:$I,7,FALSE),"Unpaid"))</f>
        <v/>
      </c>
    </row>
    <row r="400" ht="15.75" customHeight="1">
      <c r="A400" s="33" t="str">
        <f>IF(PROFITABILITY!A400="","",PROFITABILITY!A400)</f>
        <v/>
      </c>
      <c r="B400" s="33" t="str">
        <f t="shared" si="1"/>
        <v/>
      </c>
      <c r="C400" s="39" t="str">
        <f>IF(A400="","",IFERROR(VLOOKUP(A400,BOOKINGS!$A:$Q,8,FALSE),BOOKINGS!B400))</f>
        <v/>
      </c>
      <c r="D400" s="38" t="str">
        <f>IF(A400="","",PROFITABILITY!B400)</f>
        <v/>
      </c>
      <c r="E400" s="38" t="str">
        <f>IF(A400="","",SETUP_RATES!$K$4)</f>
        <v/>
      </c>
      <c r="F400" s="38" t="str">
        <f t="shared" si="2"/>
        <v/>
      </c>
      <c r="G400" s="33" t="str">
        <f t="shared" si="3"/>
        <v/>
      </c>
      <c r="H400" s="39" t="str">
        <f>IF(C400="","",C400+IFERROR(VLOOKUP(VLOOKUP(A400,BOOKINGS!$A:$Q,3,FALSE),CLIENTS!$A:$H,6,FALSE),30))</f>
        <v/>
      </c>
      <c r="I400" s="33" t="str">
        <f>IF(A400="","",IFERROR(VLOOKUP(B400,COLLECTIONS!$A:$I,7,FALSE),"Unpaid"))</f>
        <v/>
      </c>
    </row>
    <row r="401" ht="15.75" customHeight="1">
      <c r="A401" s="33" t="str">
        <f>IF(PROFITABILITY!A401="","",PROFITABILITY!A401)</f>
        <v/>
      </c>
      <c r="B401" s="33" t="str">
        <f t="shared" si="1"/>
        <v/>
      </c>
      <c r="C401" s="39" t="str">
        <f>IF(A401="","",IFERROR(VLOOKUP(A401,BOOKINGS!$A:$Q,8,FALSE),BOOKINGS!B401))</f>
        <v/>
      </c>
      <c r="D401" s="38" t="str">
        <f>IF(A401="","",PROFITABILITY!B401)</f>
        <v/>
      </c>
      <c r="E401" s="38" t="str">
        <f>IF(A401="","",SETUP_RATES!$K$4)</f>
        <v/>
      </c>
      <c r="F401" s="38" t="str">
        <f t="shared" si="2"/>
        <v/>
      </c>
      <c r="G401" s="33" t="str">
        <f t="shared" si="3"/>
        <v/>
      </c>
      <c r="H401" s="39" t="str">
        <f>IF(C401="","",C401+IFERROR(VLOOKUP(VLOOKUP(A401,BOOKINGS!$A:$Q,3,FALSE),CLIENTS!$A:$H,6,FALSE),30))</f>
        <v/>
      </c>
      <c r="I401" s="33" t="str">
        <f>IF(A401="","",IFERROR(VLOOKUP(B401,COLLECTIONS!$A:$I,7,FALSE),"Unpaid"))</f>
        <v/>
      </c>
    </row>
    <row r="402" ht="15.75" customHeight="1">
      <c r="A402" s="33" t="str">
        <f>IF(PROFITABILITY!A402="","",PROFITABILITY!A402)</f>
        <v/>
      </c>
      <c r="B402" s="33" t="str">
        <f t="shared" si="1"/>
        <v/>
      </c>
      <c r="C402" s="39" t="str">
        <f>IF(A402="","",IFERROR(VLOOKUP(A402,BOOKINGS!$A:$Q,8,FALSE),BOOKINGS!B402))</f>
        <v/>
      </c>
      <c r="D402" s="38" t="str">
        <f>IF(A402="","",PROFITABILITY!B402)</f>
        <v/>
      </c>
      <c r="E402" s="38" t="str">
        <f>IF(A402="","",SETUP_RATES!$K$4)</f>
        <v/>
      </c>
      <c r="F402" s="38" t="str">
        <f t="shared" si="2"/>
        <v/>
      </c>
      <c r="G402" s="33" t="str">
        <f t="shared" si="3"/>
        <v/>
      </c>
      <c r="H402" s="39" t="str">
        <f>IF(C402="","",C402+IFERROR(VLOOKUP(VLOOKUP(A402,BOOKINGS!$A:$Q,3,FALSE),CLIENTS!$A:$H,6,FALSE),30))</f>
        <v/>
      </c>
      <c r="I402" s="33" t="str">
        <f>IF(A402="","",IFERROR(VLOOKUP(B402,COLLECTIONS!$A:$I,7,FALSE),"Unpaid"))</f>
        <v/>
      </c>
    </row>
    <row r="403" ht="15.75" customHeight="1">
      <c r="A403" s="33" t="str">
        <f>IF(PROFITABILITY!A403="","",PROFITABILITY!A403)</f>
        <v/>
      </c>
      <c r="B403" s="33" t="str">
        <f t="shared" si="1"/>
        <v/>
      </c>
      <c r="C403" s="39" t="str">
        <f>IF(A403="","",IFERROR(VLOOKUP(A403,BOOKINGS!$A:$Q,8,FALSE),BOOKINGS!B403))</f>
        <v/>
      </c>
      <c r="D403" s="38" t="str">
        <f>IF(A403="","",PROFITABILITY!B403)</f>
        <v/>
      </c>
      <c r="E403" s="38" t="str">
        <f>IF(A403="","",SETUP_RATES!$K$4)</f>
        <v/>
      </c>
      <c r="F403" s="38" t="str">
        <f t="shared" si="2"/>
        <v/>
      </c>
      <c r="G403" s="33" t="str">
        <f t="shared" si="3"/>
        <v/>
      </c>
      <c r="H403" s="39" t="str">
        <f>IF(C403="","",C403+IFERROR(VLOOKUP(VLOOKUP(A403,BOOKINGS!$A:$Q,3,FALSE),CLIENTS!$A:$H,6,FALSE),30))</f>
        <v/>
      </c>
      <c r="I403" s="33" t="str">
        <f>IF(A403="","",IFERROR(VLOOKUP(B403,COLLECTIONS!$A:$I,7,FALSE),"Unpaid"))</f>
        <v/>
      </c>
    </row>
    <row r="404" ht="15.75" customHeight="1">
      <c r="A404" s="33" t="str">
        <f>IF(PROFITABILITY!A404="","",PROFITABILITY!A404)</f>
        <v/>
      </c>
      <c r="B404" s="33" t="str">
        <f t="shared" si="1"/>
        <v/>
      </c>
      <c r="C404" s="39" t="str">
        <f>IF(A404="","",IFERROR(VLOOKUP(A404,BOOKINGS!$A:$Q,8,FALSE),BOOKINGS!B404))</f>
        <v/>
      </c>
      <c r="D404" s="38" t="str">
        <f>IF(A404="","",PROFITABILITY!B404)</f>
        <v/>
      </c>
      <c r="E404" s="38" t="str">
        <f>IF(A404="","",SETUP_RATES!$K$4)</f>
        <v/>
      </c>
      <c r="F404" s="38" t="str">
        <f t="shared" si="2"/>
        <v/>
      </c>
      <c r="G404" s="33" t="str">
        <f t="shared" si="3"/>
        <v/>
      </c>
      <c r="H404" s="39" t="str">
        <f>IF(C404="","",C404+IFERROR(VLOOKUP(VLOOKUP(A404,BOOKINGS!$A:$Q,3,FALSE),CLIENTS!$A:$H,6,FALSE),30))</f>
        <v/>
      </c>
      <c r="I404" s="33" t="str">
        <f>IF(A404="","",IFERROR(VLOOKUP(B404,COLLECTIONS!$A:$I,7,FALSE),"Unpaid"))</f>
        <v/>
      </c>
    </row>
    <row r="405" ht="15.75" customHeight="1">
      <c r="A405" s="33" t="str">
        <f>IF(PROFITABILITY!A405="","",PROFITABILITY!A405)</f>
        <v/>
      </c>
      <c r="B405" s="33" t="str">
        <f t="shared" si="1"/>
        <v/>
      </c>
      <c r="C405" s="39" t="str">
        <f>IF(A405="","",IFERROR(VLOOKUP(A405,BOOKINGS!$A:$Q,8,FALSE),BOOKINGS!B405))</f>
        <v/>
      </c>
      <c r="D405" s="38" t="str">
        <f>IF(A405="","",PROFITABILITY!B405)</f>
        <v/>
      </c>
      <c r="E405" s="38" t="str">
        <f>IF(A405="","",SETUP_RATES!$K$4)</f>
        <v/>
      </c>
      <c r="F405" s="38" t="str">
        <f t="shared" si="2"/>
        <v/>
      </c>
      <c r="G405" s="33" t="str">
        <f t="shared" si="3"/>
        <v/>
      </c>
      <c r="H405" s="39" t="str">
        <f>IF(C405="","",C405+IFERROR(VLOOKUP(VLOOKUP(A405,BOOKINGS!$A:$Q,3,FALSE),CLIENTS!$A:$H,6,FALSE),30))</f>
        <v/>
      </c>
      <c r="I405" s="33" t="str">
        <f>IF(A405="","",IFERROR(VLOOKUP(B405,COLLECTIONS!$A:$I,7,FALSE),"Unpaid"))</f>
        <v/>
      </c>
    </row>
    <row r="406" ht="15.75" customHeight="1">
      <c r="A406" s="33" t="str">
        <f>IF(PROFITABILITY!A406="","",PROFITABILITY!A406)</f>
        <v/>
      </c>
      <c r="B406" s="33" t="str">
        <f t="shared" si="1"/>
        <v/>
      </c>
      <c r="C406" s="39" t="str">
        <f>IF(A406="","",IFERROR(VLOOKUP(A406,BOOKINGS!$A:$Q,8,FALSE),BOOKINGS!B406))</f>
        <v/>
      </c>
      <c r="D406" s="38" t="str">
        <f>IF(A406="","",PROFITABILITY!B406)</f>
        <v/>
      </c>
      <c r="E406" s="38" t="str">
        <f>IF(A406="","",SETUP_RATES!$K$4)</f>
        <v/>
      </c>
      <c r="F406" s="38" t="str">
        <f t="shared" si="2"/>
        <v/>
      </c>
      <c r="G406" s="33" t="str">
        <f t="shared" si="3"/>
        <v/>
      </c>
      <c r="H406" s="39" t="str">
        <f>IF(C406="","",C406+IFERROR(VLOOKUP(VLOOKUP(A406,BOOKINGS!$A:$Q,3,FALSE),CLIENTS!$A:$H,6,FALSE),30))</f>
        <v/>
      </c>
      <c r="I406" s="33" t="str">
        <f>IF(A406="","",IFERROR(VLOOKUP(B406,COLLECTIONS!$A:$I,7,FALSE),"Unpaid"))</f>
        <v/>
      </c>
    </row>
    <row r="407" ht="15.75" customHeight="1">
      <c r="A407" s="33" t="str">
        <f>IF(PROFITABILITY!A407="","",PROFITABILITY!A407)</f>
        <v/>
      </c>
      <c r="B407" s="33" t="str">
        <f t="shared" si="1"/>
        <v/>
      </c>
      <c r="C407" s="39" t="str">
        <f>IF(A407="","",IFERROR(VLOOKUP(A407,BOOKINGS!$A:$Q,8,FALSE),BOOKINGS!B407))</f>
        <v/>
      </c>
      <c r="D407" s="38" t="str">
        <f>IF(A407="","",PROFITABILITY!B407)</f>
        <v/>
      </c>
      <c r="E407" s="38" t="str">
        <f>IF(A407="","",SETUP_RATES!$K$4)</f>
        <v/>
      </c>
      <c r="F407" s="38" t="str">
        <f t="shared" si="2"/>
        <v/>
      </c>
      <c r="G407" s="33" t="str">
        <f t="shared" si="3"/>
        <v/>
      </c>
      <c r="H407" s="39" t="str">
        <f>IF(C407="","",C407+IFERROR(VLOOKUP(VLOOKUP(A407,BOOKINGS!$A:$Q,3,FALSE),CLIENTS!$A:$H,6,FALSE),30))</f>
        <v/>
      </c>
      <c r="I407" s="33" t="str">
        <f>IF(A407="","",IFERROR(VLOOKUP(B407,COLLECTIONS!$A:$I,7,FALSE),"Unpaid"))</f>
        <v/>
      </c>
    </row>
    <row r="408" ht="15.75" customHeight="1">
      <c r="A408" s="33" t="str">
        <f>IF(PROFITABILITY!A408="","",PROFITABILITY!A408)</f>
        <v/>
      </c>
      <c r="B408" s="33" t="str">
        <f t="shared" si="1"/>
        <v/>
      </c>
      <c r="C408" s="39" t="str">
        <f>IF(A408="","",IFERROR(VLOOKUP(A408,BOOKINGS!$A:$Q,8,FALSE),BOOKINGS!B408))</f>
        <v/>
      </c>
      <c r="D408" s="38" t="str">
        <f>IF(A408="","",PROFITABILITY!B408)</f>
        <v/>
      </c>
      <c r="E408" s="38" t="str">
        <f>IF(A408="","",SETUP_RATES!$K$4)</f>
        <v/>
      </c>
      <c r="F408" s="38" t="str">
        <f t="shared" si="2"/>
        <v/>
      </c>
      <c r="G408" s="33" t="str">
        <f t="shared" si="3"/>
        <v/>
      </c>
      <c r="H408" s="39" t="str">
        <f>IF(C408="","",C408+IFERROR(VLOOKUP(VLOOKUP(A408,BOOKINGS!$A:$Q,3,FALSE),CLIENTS!$A:$H,6,FALSE),30))</f>
        <v/>
      </c>
      <c r="I408" s="33" t="str">
        <f>IF(A408="","",IFERROR(VLOOKUP(B408,COLLECTIONS!$A:$I,7,FALSE),"Unpaid"))</f>
        <v/>
      </c>
    </row>
    <row r="409" ht="15.75" customHeight="1">
      <c r="A409" s="33" t="str">
        <f>IF(PROFITABILITY!A409="","",PROFITABILITY!A409)</f>
        <v/>
      </c>
      <c r="B409" s="33" t="str">
        <f t="shared" si="1"/>
        <v/>
      </c>
      <c r="C409" s="39" t="str">
        <f>IF(A409="","",IFERROR(VLOOKUP(A409,BOOKINGS!$A:$Q,8,FALSE),BOOKINGS!B409))</f>
        <v/>
      </c>
      <c r="D409" s="38" t="str">
        <f>IF(A409="","",PROFITABILITY!B409)</f>
        <v/>
      </c>
      <c r="E409" s="38" t="str">
        <f>IF(A409="","",SETUP_RATES!$K$4)</f>
        <v/>
      </c>
      <c r="F409" s="38" t="str">
        <f t="shared" si="2"/>
        <v/>
      </c>
      <c r="G409" s="33" t="str">
        <f t="shared" si="3"/>
        <v/>
      </c>
      <c r="H409" s="39" t="str">
        <f>IF(C409="","",C409+IFERROR(VLOOKUP(VLOOKUP(A409,BOOKINGS!$A:$Q,3,FALSE),CLIENTS!$A:$H,6,FALSE),30))</f>
        <v/>
      </c>
      <c r="I409" s="33" t="str">
        <f>IF(A409="","",IFERROR(VLOOKUP(B409,COLLECTIONS!$A:$I,7,FALSE),"Unpaid"))</f>
        <v/>
      </c>
    </row>
    <row r="410" ht="15.75" customHeight="1">
      <c r="A410" s="33" t="str">
        <f>IF(PROFITABILITY!A410="","",PROFITABILITY!A410)</f>
        <v/>
      </c>
      <c r="B410" s="33" t="str">
        <f t="shared" si="1"/>
        <v/>
      </c>
      <c r="C410" s="39" t="str">
        <f>IF(A410="","",IFERROR(VLOOKUP(A410,BOOKINGS!$A:$Q,8,FALSE),BOOKINGS!B410))</f>
        <v/>
      </c>
      <c r="D410" s="38" t="str">
        <f>IF(A410="","",PROFITABILITY!B410)</f>
        <v/>
      </c>
      <c r="E410" s="38" t="str">
        <f>IF(A410="","",SETUP_RATES!$K$4)</f>
        <v/>
      </c>
      <c r="F410" s="38" t="str">
        <f t="shared" si="2"/>
        <v/>
      </c>
      <c r="G410" s="33" t="str">
        <f t="shared" si="3"/>
        <v/>
      </c>
      <c r="H410" s="39" t="str">
        <f>IF(C410="","",C410+IFERROR(VLOOKUP(VLOOKUP(A410,BOOKINGS!$A:$Q,3,FALSE),CLIENTS!$A:$H,6,FALSE),30))</f>
        <v/>
      </c>
      <c r="I410" s="33" t="str">
        <f>IF(A410="","",IFERROR(VLOOKUP(B410,COLLECTIONS!$A:$I,7,FALSE),"Unpaid"))</f>
        <v/>
      </c>
    </row>
    <row r="411" ht="15.75" customHeight="1">
      <c r="A411" s="33" t="str">
        <f>IF(PROFITABILITY!A411="","",PROFITABILITY!A411)</f>
        <v/>
      </c>
      <c r="B411" s="33" t="str">
        <f t="shared" si="1"/>
        <v/>
      </c>
      <c r="C411" s="39" t="str">
        <f>IF(A411="","",IFERROR(VLOOKUP(A411,BOOKINGS!$A:$Q,8,FALSE),BOOKINGS!B411))</f>
        <v/>
      </c>
      <c r="D411" s="38" t="str">
        <f>IF(A411="","",PROFITABILITY!B411)</f>
        <v/>
      </c>
      <c r="E411" s="38" t="str">
        <f>IF(A411="","",SETUP_RATES!$K$4)</f>
        <v/>
      </c>
      <c r="F411" s="38" t="str">
        <f t="shared" si="2"/>
        <v/>
      </c>
      <c r="G411" s="33" t="str">
        <f t="shared" si="3"/>
        <v/>
      </c>
      <c r="H411" s="39" t="str">
        <f>IF(C411="","",C411+IFERROR(VLOOKUP(VLOOKUP(A411,BOOKINGS!$A:$Q,3,FALSE),CLIENTS!$A:$H,6,FALSE),30))</f>
        <v/>
      </c>
      <c r="I411" s="33" t="str">
        <f>IF(A411="","",IFERROR(VLOOKUP(B411,COLLECTIONS!$A:$I,7,FALSE),"Unpaid"))</f>
        <v/>
      </c>
    </row>
    <row r="412" ht="15.75" customHeight="1">
      <c r="A412" s="33" t="str">
        <f>IF(PROFITABILITY!A412="","",PROFITABILITY!A412)</f>
        <v/>
      </c>
      <c r="B412" s="33" t="str">
        <f t="shared" si="1"/>
        <v/>
      </c>
      <c r="C412" s="39" t="str">
        <f>IF(A412="","",IFERROR(VLOOKUP(A412,BOOKINGS!$A:$Q,8,FALSE),BOOKINGS!B412))</f>
        <v/>
      </c>
      <c r="D412" s="38" t="str">
        <f>IF(A412="","",PROFITABILITY!B412)</f>
        <v/>
      </c>
      <c r="E412" s="38" t="str">
        <f>IF(A412="","",SETUP_RATES!$K$4)</f>
        <v/>
      </c>
      <c r="F412" s="38" t="str">
        <f t="shared" si="2"/>
        <v/>
      </c>
      <c r="G412" s="33" t="str">
        <f t="shared" si="3"/>
        <v/>
      </c>
      <c r="H412" s="39" t="str">
        <f>IF(C412="","",C412+IFERROR(VLOOKUP(VLOOKUP(A412,BOOKINGS!$A:$Q,3,FALSE),CLIENTS!$A:$H,6,FALSE),30))</f>
        <v/>
      </c>
      <c r="I412" s="33" t="str">
        <f>IF(A412="","",IFERROR(VLOOKUP(B412,COLLECTIONS!$A:$I,7,FALSE),"Unpaid"))</f>
        <v/>
      </c>
    </row>
    <row r="413" ht="15.75" customHeight="1">
      <c r="A413" s="33" t="str">
        <f>IF(PROFITABILITY!A413="","",PROFITABILITY!A413)</f>
        <v/>
      </c>
      <c r="B413" s="33" t="str">
        <f t="shared" si="1"/>
        <v/>
      </c>
      <c r="C413" s="39" t="str">
        <f>IF(A413="","",IFERROR(VLOOKUP(A413,BOOKINGS!$A:$Q,8,FALSE),BOOKINGS!B413))</f>
        <v/>
      </c>
      <c r="D413" s="38" t="str">
        <f>IF(A413="","",PROFITABILITY!B413)</f>
        <v/>
      </c>
      <c r="E413" s="38" t="str">
        <f>IF(A413="","",SETUP_RATES!$K$4)</f>
        <v/>
      </c>
      <c r="F413" s="38" t="str">
        <f t="shared" si="2"/>
        <v/>
      </c>
      <c r="G413" s="33" t="str">
        <f t="shared" si="3"/>
        <v/>
      </c>
      <c r="H413" s="39" t="str">
        <f>IF(C413="","",C413+IFERROR(VLOOKUP(VLOOKUP(A413,BOOKINGS!$A:$Q,3,FALSE),CLIENTS!$A:$H,6,FALSE),30))</f>
        <v/>
      </c>
      <c r="I413" s="33" t="str">
        <f>IF(A413="","",IFERROR(VLOOKUP(B413,COLLECTIONS!$A:$I,7,FALSE),"Unpaid"))</f>
        <v/>
      </c>
    </row>
    <row r="414" ht="15.75" customHeight="1">
      <c r="A414" s="33" t="str">
        <f>IF(PROFITABILITY!A414="","",PROFITABILITY!A414)</f>
        <v/>
      </c>
      <c r="B414" s="33" t="str">
        <f t="shared" si="1"/>
        <v/>
      </c>
      <c r="C414" s="39" t="str">
        <f>IF(A414="","",IFERROR(VLOOKUP(A414,BOOKINGS!$A:$Q,8,FALSE),BOOKINGS!B414))</f>
        <v/>
      </c>
      <c r="D414" s="38" t="str">
        <f>IF(A414="","",PROFITABILITY!B414)</f>
        <v/>
      </c>
      <c r="E414" s="38" t="str">
        <f>IF(A414="","",SETUP_RATES!$K$4)</f>
        <v/>
      </c>
      <c r="F414" s="38" t="str">
        <f t="shared" si="2"/>
        <v/>
      </c>
      <c r="G414" s="33" t="str">
        <f t="shared" si="3"/>
        <v/>
      </c>
      <c r="H414" s="39" t="str">
        <f>IF(C414="","",C414+IFERROR(VLOOKUP(VLOOKUP(A414,BOOKINGS!$A:$Q,3,FALSE),CLIENTS!$A:$H,6,FALSE),30))</f>
        <v/>
      </c>
      <c r="I414" s="33" t="str">
        <f>IF(A414="","",IFERROR(VLOOKUP(B414,COLLECTIONS!$A:$I,7,FALSE),"Unpaid"))</f>
        <v/>
      </c>
    </row>
    <row r="415" ht="15.75" customHeight="1">
      <c r="A415" s="33" t="str">
        <f>IF(PROFITABILITY!A415="","",PROFITABILITY!A415)</f>
        <v/>
      </c>
      <c r="B415" s="33" t="str">
        <f t="shared" si="1"/>
        <v/>
      </c>
      <c r="C415" s="39" t="str">
        <f>IF(A415="","",IFERROR(VLOOKUP(A415,BOOKINGS!$A:$Q,8,FALSE),BOOKINGS!B415))</f>
        <v/>
      </c>
      <c r="D415" s="38" t="str">
        <f>IF(A415="","",PROFITABILITY!B415)</f>
        <v/>
      </c>
      <c r="E415" s="38" t="str">
        <f>IF(A415="","",SETUP_RATES!$K$4)</f>
        <v/>
      </c>
      <c r="F415" s="38" t="str">
        <f t="shared" si="2"/>
        <v/>
      </c>
      <c r="G415" s="33" t="str">
        <f t="shared" si="3"/>
        <v/>
      </c>
      <c r="H415" s="39" t="str">
        <f>IF(C415="","",C415+IFERROR(VLOOKUP(VLOOKUP(A415,BOOKINGS!$A:$Q,3,FALSE),CLIENTS!$A:$H,6,FALSE),30))</f>
        <v/>
      </c>
      <c r="I415" s="33" t="str">
        <f>IF(A415="","",IFERROR(VLOOKUP(B415,COLLECTIONS!$A:$I,7,FALSE),"Unpaid"))</f>
        <v/>
      </c>
    </row>
    <row r="416" ht="15.75" customHeight="1">
      <c r="A416" s="33" t="str">
        <f>IF(PROFITABILITY!A416="","",PROFITABILITY!A416)</f>
        <v/>
      </c>
      <c r="B416" s="33" t="str">
        <f t="shared" si="1"/>
        <v/>
      </c>
      <c r="C416" s="39" t="str">
        <f>IF(A416="","",IFERROR(VLOOKUP(A416,BOOKINGS!$A:$Q,8,FALSE),BOOKINGS!B416))</f>
        <v/>
      </c>
      <c r="D416" s="38" t="str">
        <f>IF(A416="","",PROFITABILITY!B416)</f>
        <v/>
      </c>
      <c r="E416" s="38" t="str">
        <f>IF(A416="","",SETUP_RATES!$K$4)</f>
        <v/>
      </c>
      <c r="F416" s="38" t="str">
        <f t="shared" si="2"/>
        <v/>
      </c>
      <c r="G416" s="33" t="str">
        <f t="shared" si="3"/>
        <v/>
      </c>
      <c r="H416" s="39" t="str">
        <f>IF(C416="","",C416+IFERROR(VLOOKUP(VLOOKUP(A416,BOOKINGS!$A:$Q,3,FALSE),CLIENTS!$A:$H,6,FALSE),30))</f>
        <v/>
      </c>
      <c r="I416" s="33" t="str">
        <f>IF(A416="","",IFERROR(VLOOKUP(B416,COLLECTIONS!$A:$I,7,FALSE),"Unpaid"))</f>
        <v/>
      </c>
    </row>
    <row r="417" ht="15.75" customHeight="1">
      <c r="A417" s="33" t="str">
        <f>IF(PROFITABILITY!A417="","",PROFITABILITY!A417)</f>
        <v/>
      </c>
      <c r="B417" s="33" t="str">
        <f t="shared" si="1"/>
        <v/>
      </c>
      <c r="C417" s="39" t="str">
        <f>IF(A417="","",IFERROR(VLOOKUP(A417,BOOKINGS!$A:$Q,8,FALSE),BOOKINGS!B417))</f>
        <v/>
      </c>
      <c r="D417" s="38" t="str">
        <f>IF(A417="","",PROFITABILITY!B417)</f>
        <v/>
      </c>
      <c r="E417" s="38" t="str">
        <f>IF(A417="","",SETUP_RATES!$K$4)</f>
        <v/>
      </c>
      <c r="F417" s="38" t="str">
        <f t="shared" si="2"/>
        <v/>
      </c>
      <c r="G417" s="33" t="str">
        <f t="shared" si="3"/>
        <v/>
      </c>
      <c r="H417" s="39" t="str">
        <f>IF(C417="","",C417+IFERROR(VLOOKUP(VLOOKUP(A417,BOOKINGS!$A:$Q,3,FALSE),CLIENTS!$A:$H,6,FALSE),30))</f>
        <v/>
      </c>
      <c r="I417" s="33" t="str">
        <f>IF(A417="","",IFERROR(VLOOKUP(B417,COLLECTIONS!$A:$I,7,FALSE),"Unpaid"))</f>
        <v/>
      </c>
    </row>
    <row r="418" ht="15.75" customHeight="1">
      <c r="A418" s="33" t="str">
        <f>IF(PROFITABILITY!A418="","",PROFITABILITY!A418)</f>
        <v/>
      </c>
      <c r="B418" s="33" t="str">
        <f t="shared" si="1"/>
        <v/>
      </c>
      <c r="C418" s="39" t="str">
        <f>IF(A418="","",IFERROR(VLOOKUP(A418,BOOKINGS!$A:$Q,8,FALSE),BOOKINGS!B418))</f>
        <v/>
      </c>
      <c r="D418" s="38" t="str">
        <f>IF(A418="","",PROFITABILITY!B418)</f>
        <v/>
      </c>
      <c r="E418" s="38" t="str">
        <f>IF(A418="","",SETUP_RATES!$K$4)</f>
        <v/>
      </c>
      <c r="F418" s="38" t="str">
        <f t="shared" si="2"/>
        <v/>
      </c>
      <c r="G418" s="33" t="str">
        <f t="shared" si="3"/>
        <v/>
      </c>
      <c r="H418" s="39" t="str">
        <f>IF(C418="","",C418+IFERROR(VLOOKUP(VLOOKUP(A418,BOOKINGS!$A:$Q,3,FALSE),CLIENTS!$A:$H,6,FALSE),30))</f>
        <v/>
      </c>
      <c r="I418" s="33" t="str">
        <f>IF(A418="","",IFERROR(VLOOKUP(B418,COLLECTIONS!$A:$I,7,FALSE),"Unpaid"))</f>
        <v/>
      </c>
    </row>
    <row r="419" ht="15.75" customHeight="1">
      <c r="A419" s="33" t="str">
        <f>IF(PROFITABILITY!A419="","",PROFITABILITY!A419)</f>
        <v/>
      </c>
      <c r="B419" s="33" t="str">
        <f t="shared" si="1"/>
        <v/>
      </c>
      <c r="C419" s="39" t="str">
        <f>IF(A419="","",IFERROR(VLOOKUP(A419,BOOKINGS!$A:$Q,8,FALSE),BOOKINGS!B419))</f>
        <v/>
      </c>
      <c r="D419" s="38" t="str">
        <f>IF(A419="","",PROFITABILITY!B419)</f>
        <v/>
      </c>
      <c r="E419" s="38" t="str">
        <f>IF(A419="","",SETUP_RATES!$K$4)</f>
        <v/>
      </c>
      <c r="F419" s="38" t="str">
        <f t="shared" si="2"/>
        <v/>
      </c>
      <c r="G419" s="33" t="str">
        <f t="shared" si="3"/>
        <v/>
      </c>
      <c r="H419" s="39" t="str">
        <f>IF(C419="","",C419+IFERROR(VLOOKUP(VLOOKUP(A419,BOOKINGS!$A:$Q,3,FALSE),CLIENTS!$A:$H,6,FALSE),30))</f>
        <v/>
      </c>
      <c r="I419" s="33" t="str">
        <f>IF(A419="","",IFERROR(VLOOKUP(B419,COLLECTIONS!$A:$I,7,FALSE),"Unpaid"))</f>
        <v/>
      </c>
    </row>
    <row r="420" ht="15.75" customHeight="1">
      <c r="A420" s="33" t="str">
        <f>IF(PROFITABILITY!A420="","",PROFITABILITY!A420)</f>
        <v/>
      </c>
      <c r="B420" s="33" t="str">
        <f t="shared" si="1"/>
        <v/>
      </c>
      <c r="C420" s="39" t="str">
        <f>IF(A420="","",IFERROR(VLOOKUP(A420,BOOKINGS!$A:$Q,8,FALSE),BOOKINGS!B420))</f>
        <v/>
      </c>
      <c r="D420" s="38" t="str">
        <f>IF(A420="","",PROFITABILITY!B420)</f>
        <v/>
      </c>
      <c r="E420" s="38" t="str">
        <f>IF(A420="","",SETUP_RATES!$K$4)</f>
        <v/>
      </c>
      <c r="F420" s="38" t="str">
        <f t="shared" si="2"/>
        <v/>
      </c>
      <c r="G420" s="33" t="str">
        <f t="shared" si="3"/>
        <v/>
      </c>
      <c r="H420" s="39" t="str">
        <f>IF(C420="","",C420+IFERROR(VLOOKUP(VLOOKUP(A420,BOOKINGS!$A:$Q,3,FALSE),CLIENTS!$A:$H,6,FALSE),30))</f>
        <v/>
      </c>
      <c r="I420" s="33" t="str">
        <f>IF(A420="","",IFERROR(VLOOKUP(B420,COLLECTIONS!$A:$I,7,FALSE),"Unpaid"))</f>
        <v/>
      </c>
    </row>
    <row r="421" ht="15.75" customHeight="1">
      <c r="A421" s="33" t="str">
        <f>IF(PROFITABILITY!A421="","",PROFITABILITY!A421)</f>
        <v/>
      </c>
      <c r="B421" s="33" t="str">
        <f t="shared" si="1"/>
        <v/>
      </c>
      <c r="C421" s="39" t="str">
        <f>IF(A421="","",IFERROR(VLOOKUP(A421,BOOKINGS!$A:$Q,8,FALSE),BOOKINGS!B421))</f>
        <v/>
      </c>
      <c r="D421" s="38" t="str">
        <f>IF(A421="","",PROFITABILITY!B421)</f>
        <v/>
      </c>
      <c r="E421" s="38" t="str">
        <f>IF(A421="","",SETUP_RATES!$K$4)</f>
        <v/>
      </c>
      <c r="F421" s="38" t="str">
        <f t="shared" si="2"/>
        <v/>
      </c>
      <c r="G421" s="33" t="str">
        <f t="shared" si="3"/>
        <v/>
      </c>
      <c r="H421" s="39" t="str">
        <f>IF(C421="","",C421+IFERROR(VLOOKUP(VLOOKUP(A421,BOOKINGS!$A:$Q,3,FALSE),CLIENTS!$A:$H,6,FALSE),30))</f>
        <v/>
      </c>
      <c r="I421" s="33" t="str">
        <f>IF(A421="","",IFERROR(VLOOKUP(B421,COLLECTIONS!$A:$I,7,FALSE),"Unpaid"))</f>
        <v/>
      </c>
    </row>
    <row r="422" ht="15.75" customHeight="1">
      <c r="A422" s="33" t="str">
        <f>IF(PROFITABILITY!A422="","",PROFITABILITY!A422)</f>
        <v/>
      </c>
      <c r="B422" s="33" t="str">
        <f t="shared" si="1"/>
        <v/>
      </c>
      <c r="C422" s="39" t="str">
        <f>IF(A422="","",IFERROR(VLOOKUP(A422,BOOKINGS!$A:$Q,8,FALSE),BOOKINGS!B422))</f>
        <v/>
      </c>
      <c r="D422" s="38" t="str">
        <f>IF(A422="","",PROFITABILITY!B422)</f>
        <v/>
      </c>
      <c r="E422" s="38" t="str">
        <f>IF(A422="","",SETUP_RATES!$K$4)</f>
        <v/>
      </c>
      <c r="F422" s="38" t="str">
        <f t="shared" si="2"/>
        <v/>
      </c>
      <c r="G422" s="33" t="str">
        <f t="shared" si="3"/>
        <v/>
      </c>
      <c r="H422" s="39" t="str">
        <f>IF(C422="","",C422+IFERROR(VLOOKUP(VLOOKUP(A422,BOOKINGS!$A:$Q,3,FALSE),CLIENTS!$A:$H,6,FALSE),30))</f>
        <v/>
      </c>
      <c r="I422" s="33" t="str">
        <f>IF(A422="","",IFERROR(VLOOKUP(B422,COLLECTIONS!$A:$I,7,FALSE),"Unpaid"))</f>
        <v/>
      </c>
    </row>
    <row r="423" ht="15.75" customHeight="1">
      <c r="A423" s="33" t="str">
        <f>IF(PROFITABILITY!A423="","",PROFITABILITY!A423)</f>
        <v/>
      </c>
      <c r="B423" s="33" t="str">
        <f t="shared" si="1"/>
        <v/>
      </c>
      <c r="C423" s="39" t="str">
        <f>IF(A423="","",IFERROR(VLOOKUP(A423,BOOKINGS!$A:$Q,8,FALSE),BOOKINGS!B423))</f>
        <v/>
      </c>
      <c r="D423" s="38" t="str">
        <f>IF(A423="","",PROFITABILITY!B423)</f>
        <v/>
      </c>
      <c r="E423" s="38" t="str">
        <f>IF(A423="","",SETUP_RATES!$K$4)</f>
        <v/>
      </c>
      <c r="F423" s="38" t="str">
        <f t="shared" si="2"/>
        <v/>
      </c>
      <c r="G423" s="33" t="str">
        <f t="shared" si="3"/>
        <v/>
      </c>
      <c r="H423" s="39" t="str">
        <f>IF(C423="","",C423+IFERROR(VLOOKUP(VLOOKUP(A423,BOOKINGS!$A:$Q,3,FALSE),CLIENTS!$A:$H,6,FALSE),30))</f>
        <v/>
      </c>
      <c r="I423" s="33" t="str">
        <f>IF(A423="","",IFERROR(VLOOKUP(B423,COLLECTIONS!$A:$I,7,FALSE),"Unpaid"))</f>
        <v/>
      </c>
    </row>
    <row r="424" ht="15.75" customHeight="1">
      <c r="A424" s="33" t="str">
        <f>IF(PROFITABILITY!A424="","",PROFITABILITY!A424)</f>
        <v/>
      </c>
      <c r="B424" s="33" t="str">
        <f t="shared" si="1"/>
        <v/>
      </c>
      <c r="C424" s="39" t="str">
        <f>IF(A424="","",IFERROR(VLOOKUP(A424,BOOKINGS!$A:$Q,8,FALSE),BOOKINGS!B424))</f>
        <v/>
      </c>
      <c r="D424" s="38" t="str">
        <f>IF(A424="","",PROFITABILITY!B424)</f>
        <v/>
      </c>
      <c r="E424" s="38" t="str">
        <f>IF(A424="","",SETUP_RATES!$K$4)</f>
        <v/>
      </c>
      <c r="F424" s="38" t="str">
        <f t="shared" si="2"/>
        <v/>
      </c>
      <c r="G424" s="33" t="str">
        <f t="shared" si="3"/>
        <v/>
      </c>
      <c r="H424" s="39" t="str">
        <f>IF(C424="","",C424+IFERROR(VLOOKUP(VLOOKUP(A424,BOOKINGS!$A:$Q,3,FALSE),CLIENTS!$A:$H,6,FALSE),30))</f>
        <v/>
      </c>
      <c r="I424" s="33" t="str">
        <f>IF(A424="","",IFERROR(VLOOKUP(B424,COLLECTIONS!$A:$I,7,FALSE),"Unpaid"))</f>
        <v/>
      </c>
    </row>
    <row r="425" ht="15.75" customHeight="1">
      <c r="A425" s="33" t="str">
        <f>IF(PROFITABILITY!A425="","",PROFITABILITY!A425)</f>
        <v/>
      </c>
      <c r="B425" s="33" t="str">
        <f t="shared" si="1"/>
        <v/>
      </c>
      <c r="C425" s="39" t="str">
        <f>IF(A425="","",IFERROR(VLOOKUP(A425,BOOKINGS!$A:$Q,8,FALSE),BOOKINGS!B425))</f>
        <v/>
      </c>
      <c r="D425" s="38" t="str">
        <f>IF(A425="","",PROFITABILITY!B425)</f>
        <v/>
      </c>
      <c r="E425" s="38" t="str">
        <f>IF(A425="","",SETUP_RATES!$K$4)</f>
        <v/>
      </c>
      <c r="F425" s="38" t="str">
        <f t="shared" si="2"/>
        <v/>
      </c>
      <c r="G425" s="33" t="str">
        <f t="shared" si="3"/>
        <v/>
      </c>
      <c r="H425" s="39" t="str">
        <f>IF(C425="","",C425+IFERROR(VLOOKUP(VLOOKUP(A425,BOOKINGS!$A:$Q,3,FALSE),CLIENTS!$A:$H,6,FALSE),30))</f>
        <v/>
      </c>
      <c r="I425" s="33" t="str">
        <f>IF(A425="","",IFERROR(VLOOKUP(B425,COLLECTIONS!$A:$I,7,FALSE),"Unpaid"))</f>
        <v/>
      </c>
    </row>
    <row r="426" ht="15.75" customHeight="1">
      <c r="A426" s="33" t="str">
        <f>IF(PROFITABILITY!A426="","",PROFITABILITY!A426)</f>
        <v/>
      </c>
      <c r="B426" s="33" t="str">
        <f t="shared" si="1"/>
        <v/>
      </c>
      <c r="C426" s="39" t="str">
        <f>IF(A426="","",IFERROR(VLOOKUP(A426,BOOKINGS!$A:$Q,8,FALSE),BOOKINGS!B426))</f>
        <v/>
      </c>
      <c r="D426" s="38" t="str">
        <f>IF(A426="","",PROFITABILITY!B426)</f>
        <v/>
      </c>
      <c r="E426" s="38" t="str">
        <f>IF(A426="","",SETUP_RATES!$K$4)</f>
        <v/>
      </c>
      <c r="F426" s="38" t="str">
        <f t="shared" si="2"/>
        <v/>
      </c>
      <c r="G426" s="33" t="str">
        <f t="shared" si="3"/>
        <v/>
      </c>
      <c r="H426" s="39" t="str">
        <f>IF(C426="","",C426+IFERROR(VLOOKUP(VLOOKUP(A426,BOOKINGS!$A:$Q,3,FALSE),CLIENTS!$A:$H,6,FALSE),30))</f>
        <v/>
      </c>
      <c r="I426" s="33" t="str">
        <f>IF(A426="","",IFERROR(VLOOKUP(B426,COLLECTIONS!$A:$I,7,FALSE),"Unpaid"))</f>
        <v/>
      </c>
    </row>
    <row r="427" ht="15.75" customHeight="1">
      <c r="A427" s="33" t="str">
        <f>IF(PROFITABILITY!A427="","",PROFITABILITY!A427)</f>
        <v/>
      </c>
      <c r="B427" s="33" t="str">
        <f t="shared" si="1"/>
        <v/>
      </c>
      <c r="C427" s="39" t="str">
        <f>IF(A427="","",IFERROR(VLOOKUP(A427,BOOKINGS!$A:$Q,8,FALSE),BOOKINGS!B427))</f>
        <v/>
      </c>
      <c r="D427" s="38" t="str">
        <f>IF(A427="","",PROFITABILITY!B427)</f>
        <v/>
      </c>
      <c r="E427" s="38" t="str">
        <f>IF(A427="","",SETUP_RATES!$K$4)</f>
        <v/>
      </c>
      <c r="F427" s="38" t="str">
        <f t="shared" si="2"/>
        <v/>
      </c>
      <c r="G427" s="33" t="str">
        <f t="shared" si="3"/>
        <v/>
      </c>
      <c r="H427" s="39" t="str">
        <f>IF(C427="","",C427+IFERROR(VLOOKUP(VLOOKUP(A427,BOOKINGS!$A:$Q,3,FALSE),CLIENTS!$A:$H,6,FALSE),30))</f>
        <v/>
      </c>
      <c r="I427" s="33" t="str">
        <f>IF(A427="","",IFERROR(VLOOKUP(B427,COLLECTIONS!$A:$I,7,FALSE),"Unpaid"))</f>
        <v/>
      </c>
    </row>
    <row r="428" ht="15.75" customHeight="1">
      <c r="A428" s="33" t="str">
        <f>IF(PROFITABILITY!A428="","",PROFITABILITY!A428)</f>
        <v/>
      </c>
      <c r="B428" s="33" t="str">
        <f t="shared" si="1"/>
        <v/>
      </c>
      <c r="C428" s="39" t="str">
        <f>IF(A428="","",IFERROR(VLOOKUP(A428,BOOKINGS!$A:$Q,8,FALSE),BOOKINGS!B428))</f>
        <v/>
      </c>
      <c r="D428" s="38" t="str">
        <f>IF(A428="","",PROFITABILITY!B428)</f>
        <v/>
      </c>
      <c r="E428" s="38" t="str">
        <f>IF(A428="","",SETUP_RATES!$K$4)</f>
        <v/>
      </c>
      <c r="F428" s="38" t="str">
        <f t="shared" si="2"/>
        <v/>
      </c>
      <c r="G428" s="33" t="str">
        <f t="shared" si="3"/>
        <v/>
      </c>
      <c r="H428" s="39" t="str">
        <f>IF(C428="","",C428+IFERROR(VLOOKUP(VLOOKUP(A428,BOOKINGS!$A:$Q,3,FALSE),CLIENTS!$A:$H,6,FALSE),30))</f>
        <v/>
      </c>
      <c r="I428" s="33" t="str">
        <f>IF(A428="","",IFERROR(VLOOKUP(B428,COLLECTIONS!$A:$I,7,FALSE),"Unpaid"))</f>
        <v/>
      </c>
    </row>
    <row r="429" ht="15.75" customHeight="1">
      <c r="A429" s="33" t="str">
        <f>IF(PROFITABILITY!A429="","",PROFITABILITY!A429)</f>
        <v/>
      </c>
      <c r="B429" s="33" t="str">
        <f t="shared" si="1"/>
        <v/>
      </c>
      <c r="C429" s="39" t="str">
        <f>IF(A429="","",IFERROR(VLOOKUP(A429,BOOKINGS!$A:$Q,8,FALSE),BOOKINGS!B429))</f>
        <v/>
      </c>
      <c r="D429" s="38" t="str">
        <f>IF(A429="","",PROFITABILITY!B429)</f>
        <v/>
      </c>
      <c r="E429" s="38" t="str">
        <f>IF(A429="","",SETUP_RATES!$K$4)</f>
        <v/>
      </c>
      <c r="F429" s="38" t="str">
        <f t="shared" si="2"/>
        <v/>
      </c>
      <c r="G429" s="33" t="str">
        <f t="shared" si="3"/>
        <v/>
      </c>
      <c r="H429" s="39" t="str">
        <f>IF(C429="","",C429+IFERROR(VLOOKUP(VLOOKUP(A429,BOOKINGS!$A:$Q,3,FALSE),CLIENTS!$A:$H,6,FALSE),30))</f>
        <v/>
      </c>
      <c r="I429" s="33" t="str">
        <f>IF(A429="","",IFERROR(VLOOKUP(B429,COLLECTIONS!$A:$I,7,FALSE),"Unpaid"))</f>
        <v/>
      </c>
    </row>
    <row r="430" ht="15.75" customHeight="1">
      <c r="A430" s="33" t="str">
        <f>IF(PROFITABILITY!A430="","",PROFITABILITY!A430)</f>
        <v/>
      </c>
      <c r="B430" s="33" t="str">
        <f t="shared" si="1"/>
        <v/>
      </c>
      <c r="C430" s="39" t="str">
        <f>IF(A430="","",IFERROR(VLOOKUP(A430,BOOKINGS!$A:$Q,8,FALSE),BOOKINGS!B430))</f>
        <v/>
      </c>
      <c r="D430" s="38" t="str">
        <f>IF(A430="","",PROFITABILITY!B430)</f>
        <v/>
      </c>
      <c r="E430" s="38" t="str">
        <f>IF(A430="","",SETUP_RATES!$K$4)</f>
        <v/>
      </c>
      <c r="F430" s="38" t="str">
        <f t="shared" si="2"/>
        <v/>
      </c>
      <c r="G430" s="33" t="str">
        <f t="shared" si="3"/>
        <v/>
      </c>
      <c r="H430" s="39" t="str">
        <f>IF(C430="","",C430+IFERROR(VLOOKUP(VLOOKUP(A430,BOOKINGS!$A:$Q,3,FALSE),CLIENTS!$A:$H,6,FALSE),30))</f>
        <v/>
      </c>
      <c r="I430" s="33" t="str">
        <f>IF(A430="","",IFERROR(VLOOKUP(B430,COLLECTIONS!$A:$I,7,FALSE),"Unpaid"))</f>
        <v/>
      </c>
    </row>
    <row r="431" ht="15.75" customHeight="1">
      <c r="A431" s="33" t="str">
        <f>IF(PROFITABILITY!A431="","",PROFITABILITY!A431)</f>
        <v/>
      </c>
      <c r="B431" s="33" t="str">
        <f t="shared" si="1"/>
        <v/>
      </c>
      <c r="C431" s="39" t="str">
        <f>IF(A431="","",IFERROR(VLOOKUP(A431,BOOKINGS!$A:$Q,8,FALSE),BOOKINGS!B431))</f>
        <v/>
      </c>
      <c r="D431" s="38" t="str">
        <f>IF(A431="","",PROFITABILITY!B431)</f>
        <v/>
      </c>
      <c r="E431" s="38" t="str">
        <f>IF(A431="","",SETUP_RATES!$K$4)</f>
        <v/>
      </c>
      <c r="F431" s="38" t="str">
        <f t="shared" si="2"/>
        <v/>
      </c>
      <c r="G431" s="33" t="str">
        <f t="shared" si="3"/>
        <v/>
      </c>
      <c r="H431" s="39" t="str">
        <f>IF(C431="","",C431+IFERROR(VLOOKUP(VLOOKUP(A431,BOOKINGS!$A:$Q,3,FALSE),CLIENTS!$A:$H,6,FALSE),30))</f>
        <v/>
      </c>
      <c r="I431" s="33" t="str">
        <f>IF(A431="","",IFERROR(VLOOKUP(B431,COLLECTIONS!$A:$I,7,FALSE),"Unpaid"))</f>
        <v/>
      </c>
    </row>
    <row r="432" ht="15.75" customHeight="1">
      <c r="A432" s="33" t="str">
        <f>IF(PROFITABILITY!A432="","",PROFITABILITY!A432)</f>
        <v/>
      </c>
      <c r="B432" s="33" t="str">
        <f t="shared" si="1"/>
        <v/>
      </c>
      <c r="C432" s="39" t="str">
        <f>IF(A432="","",IFERROR(VLOOKUP(A432,BOOKINGS!$A:$Q,8,FALSE),BOOKINGS!B432))</f>
        <v/>
      </c>
      <c r="D432" s="38" t="str">
        <f>IF(A432="","",PROFITABILITY!B432)</f>
        <v/>
      </c>
      <c r="E432" s="38" t="str">
        <f>IF(A432="","",SETUP_RATES!$K$4)</f>
        <v/>
      </c>
      <c r="F432" s="38" t="str">
        <f t="shared" si="2"/>
        <v/>
      </c>
      <c r="G432" s="33" t="str">
        <f t="shared" si="3"/>
        <v/>
      </c>
      <c r="H432" s="39" t="str">
        <f>IF(C432="","",C432+IFERROR(VLOOKUP(VLOOKUP(A432,BOOKINGS!$A:$Q,3,FALSE),CLIENTS!$A:$H,6,FALSE),30))</f>
        <v/>
      </c>
      <c r="I432" s="33" t="str">
        <f>IF(A432="","",IFERROR(VLOOKUP(B432,COLLECTIONS!$A:$I,7,FALSE),"Unpaid"))</f>
        <v/>
      </c>
    </row>
    <row r="433" ht="15.75" customHeight="1">
      <c r="A433" s="33" t="str">
        <f>IF(PROFITABILITY!A433="","",PROFITABILITY!A433)</f>
        <v/>
      </c>
      <c r="B433" s="33" t="str">
        <f t="shared" si="1"/>
        <v/>
      </c>
      <c r="C433" s="39" t="str">
        <f>IF(A433="","",IFERROR(VLOOKUP(A433,BOOKINGS!$A:$Q,8,FALSE),BOOKINGS!B433))</f>
        <v/>
      </c>
      <c r="D433" s="38" t="str">
        <f>IF(A433="","",PROFITABILITY!B433)</f>
        <v/>
      </c>
      <c r="E433" s="38" t="str">
        <f>IF(A433="","",SETUP_RATES!$K$4)</f>
        <v/>
      </c>
      <c r="F433" s="38" t="str">
        <f t="shared" si="2"/>
        <v/>
      </c>
      <c r="G433" s="33" t="str">
        <f t="shared" si="3"/>
        <v/>
      </c>
      <c r="H433" s="39" t="str">
        <f>IF(C433="","",C433+IFERROR(VLOOKUP(VLOOKUP(A433,BOOKINGS!$A:$Q,3,FALSE),CLIENTS!$A:$H,6,FALSE),30))</f>
        <v/>
      </c>
      <c r="I433" s="33" t="str">
        <f>IF(A433="","",IFERROR(VLOOKUP(B433,COLLECTIONS!$A:$I,7,FALSE),"Unpaid"))</f>
        <v/>
      </c>
    </row>
    <row r="434" ht="15.75" customHeight="1">
      <c r="A434" s="33" t="str">
        <f>IF(PROFITABILITY!A434="","",PROFITABILITY!A434)</f>
        <v/>
      </c>
      <c r="B434" s="33" t="str">
        <f t="shared" si="1"/>
        <v/>
      </c>
      <c r="C434" s="39" t="str">
        <f>IF(A434="","",IFERROR(VLOOKUP(A434,BOOKINGS!$A:$Q,8,FALSE),BOOKINGS!B434))</f>
        <v/>
      </c>
      <c r="D434" s="38" t="str">
        <f>IF(A434="","",PROFITABILITY!B434)</f>
        <v/>
      </c>
      <c r="E434" s="38" t="str">
        <f>IF(A434="","",SETUP_RATES!$K$4)</f>
        <v/>
      </c>
      <c r="F434" s="38" t="str">
        <f t="shared" si="2"/>
        <v/>
      </c>
      <c r="G434" s="33" t="str">
        <f t="shared" si="3"/>
        <v/>
      </c>
      <c r="H434" s="39" t="str">
        <f>IF(C434="","",C434+IFERROR(VLOOKUP(VLOOKUP(A434,BOOKINGS!$A:$Q,3,FALSE),CLIENTS!$A:$H,6,FALSE),30))</f>
        <v/>
      </c>
      <c r="I434" s="33" t="str">
        <f>IF(A434="","",IFERROR(VLOOKUP(B434,COLLECTIONS!$A:$I,7,FALSE),"Unpaid"))</f>
        <v/>
      </c>
    </row>
    <row r="435" ht="15.75" customHeight="1">
      <c r="A435" s="33" t="str">
        <f>IF(PROFITABILITY!A435="","",PROFITABILITY!A435)</f>
        <v/>
      </c>
      <c r="B435" s="33" t="str">
        <f t="shared" si="1"/>
        <v/>
      </c>
      <c r="C435" s="39" t="str">
        <f>IF(A435="","",IFERROR(VLOOKUP(A435,BOOKINGS!$A:$Q,8,FALSE),BOOKINGS!B435))</f>
        <v/>
      </c>
      <c r="D435" s="38" t="str">
        <f>IF(A435="","",PROFITABILITY!B435)</f>
        <v/>
      </c>
      <c r="E435" s="38" t="str">
        <f>IF(A435="","",SETUP_RATES!$K$4)</f>
        <v/>
      </c>
      <c r="F435" s="38" t="str">
        <f t="shared" si="2"/>
        <v/>
      </c>
      <c r="G435" s="33" t="str">
        <f t="shared" si="3"/>
        <v/>
      </c>
      <c r="H435" s="39" t="str">
        <f>IF(C435="","",C435+IFERROR(VLOOKUP(VLOOKUP(A435,BOOKINGS!$A:$Q,3,FALSE),CLIENTS!$A:$H,6,FALSE),30))</f>
        <v/>
      </c>
      <c r="I435" s="33" t="str">
        <f>IF(A435="","",IFERROR(VLOOKUP(B435,COLLECTIONS!$A:$I,7,FALSE),"Unpaid"))</f>
        <v/>
      </c>
    </row>
    <row r="436" ht="15.75" customHeight="1">
      <c r="A436" s="33" t="str">
        <f>IF(PROFITABILITY!A436="","",PROFITABILITY!A436)</f>
        <v/>
      </c>
      <c r="B436" s="33" t="str">
        <f t="shared" si="1"/>
        <v/>
      </c>
      <c r="C436" s="39" t="str">
        <f>IF(A436="","",IFERROR(VLOOKUP(A436,BOOKINGS!$A:$Q,8,FALSE),BOOKINGS!B436))</f>
        <v/>
      </c>
      <c r="D436" s="38" t="str">
        <f>IF(A436="","",PROFITABILITY!B436)</f>
        <v/>
      </c>
      <c r="E436" s="38" t="str">
        <f>IF(A436="","",SETUP_RATES!$K$4)</f>
        <v/>
      </c>
      <c r="F436" s="38" t="str">
        <f t="shared" si="2"/>
        <v/>
      </c>
      <c r="G436" s="33" t="str">
        <f t="shared" si="3"/>
        <v/>
      </c>
      <c r="H436" s="39" t="str">
        <f>IF(C436="","",C436+IFERROR(VLOOKUP(VLOOKUP(A436,BOOKINGS!$A:$Q,3,FALSE),CLIENTS!$A:$H,6,FALSE),30))</f>
        <v/>
      </c>
      <c r="I436" s="33" t="str">
        <f>IF(A436="","",IFERROR(VLOOKUP(B436,COLLECTIONS!$A:$I,7,FALSE),"Unpaid"))</f>
        <v/>
      </c>
    </row>
    <row r="437" ht="15.75" customHeight="1">
      <c r="A437" s="33" t="str">
        <f>IF(PROFITABILITY!A437="","",PROFITABILITY!A437)</f>
        <v/>
      </c>
      <c r="B437" s="33" t="str">
        <f t="shared" si="1"/>
        <v/>
      </c>
      <c r="C437" s="39" t="str">
        <f>IF(A437="","",IFERROR(VLOOKUP(A437,BOOKINGS!$A:$Q,8,FALSE),BOOKINGS!B437))</f>
        <v/>
      </c>
      <c r="D437" s="38" t="str">
        <f>IF(A437="","",PROFITABILITY!B437)</f>
        <v/>
      </c>
      <c r="E437" s="38" t="str">
        <f>IF(A437="","",SETUP_RATES!$K$4)</f>
        <v/>
      </c>
      <c r="F437" s="38" t="str">
        <f t="shared" si="2"/>
        <v/>
      </c>
      <c r="G437" s="33" t="str">
        <f t="shared" si="3"/>
        <v/>
      </c>
      <c r="H437" s="39" t="str">
        <f>IF(C437="","",C437+IFERROR(VLOOKUP(VLOOKUP(A437,BOOKINGS!$A:$Q,3,FALSE),CLIENTS!$A:$H,6,FALSE),30))</f>
        <v/>
      </c>
      <c r="I437" s="33" t="str">
        <f>IF(A437="","",IFERROR(VLOOKUP(B437,COLLECTIONS!$A:$I,7,FALSE),"Unpaid"))</f>
        <v/>
      </c>
    </row>
    <row r="438" ht="15.75" customHeight="1">
      <c r="A438" s="33" t="str">
        <f>IF(PROFITABILITY!A438="","",PROFITABILITY!A438)</f>
        <v/>
      </c>
      <c r="B438" s="33" t="str">
        <f t="shared" si="1"/>
        <v/>
      </c>
      <c r="C438" s="39" t="str">
        <f>IF(A438="","",IFERROR(VLOOKUP(A438,BOOKINGS!$A:$Q,8,FALSE),BOOKINGS!B438))</f>
        <v/>
      </c>
      <c r="D438" s="38" t="str">
        <f>IF(A438="","",PROFITABILITY!B438)</f>
        <v/>
      </c>
      <c r="E438" s="38" t="str">
        <f>IF(A438="","",SETUP_RATES!$K$4)</f>
        <v/>
      </c>
      <c r="F438" s="38" t="str">
        <f t="shared" si="2"/>
        <v/>
      </c>
      <c r="G438" s="33" t="str">
        <f t="shared" si="3"/>
        <v/>
      </c>
      <c r="H438" s="39" t="str">
        <f>IF(C438="","",C438+IFERROR(VLOOKUP(VLOOKUP(A438,BOOKINGS!$A:$Q,3,FALSE),CLIENTS!$A:$H,6,FALSE),30))</f>
        <v/>
      </c>
      <c r="I438" s="33" t="str">
        <f>IF(A438="","",IFERROR(VLOOKUP(B438,COLLECTIONS!$A:$I,7,FALSE),"Unpaid"))</f>
        <v/>
      </c>
    </row>
    <row r="439" ht="15.75" customHeight="1">
      <c r="A439" s="33" t="str">
        <f>IF(PROFITABILITY!A439="","",PROFITABILITY!A439)</f>
        <v/>
      </c>
      <c r="B439" s="33" t="str">
        <f t="shared" si="1"/>
        <v/>
      </c>
      <c r="C439" s="39" t="str">
        <f>IF(A439="","",IFERROR(VLOOKUP(A439,BOOKINGS!$A:$Q,8,FALSE),BOOKINGS!B439))</f>
        <v/>
      </c>
      <c r="D439" s="38" t="str">
        <f>IF(A439="","",PROFITABILITY!B439)</f>
        <v/>
      </c>
      <c r="E439" s="38" t="str">
        <f>IF(A439="","",SETUP_RATES!$K$4)</f>
        <v/>
      </c>
      <c r="F439" s="38" t="str">
        <f t="shared" si="2"/>
        <v/>
      </c>
      <c r="G439" s="33" t="str">
        <f t="shared" si="3"/>
        <v/>
      </c>
      <c r="H439" s="39" t="str">
        <f>IF(C439="","",C439+IFERROR(VLOOKUP(VLOOKUP(A439,BOOKINGS!$A:$Q,3,FALSE),CLIENTS!$A:$H,6,FALSE),30))</f>
        <v/>
      </c>
      <c r="I439" s="33" t="str">
        <f>IF(A439="","",IFERROR(VLOOKUP(B439,COLLECTIONS!$A:$I,7,FALSE),"Unpaid"))</f>
        <v/>
      </c>
    </row>
    <row r="440" ht="15.75" customHeight="1">
      <c r="A440" s="33" t="str">
        <f>IF(PROFITABILITY!A440="","",PROFITABILITY!A440)</f>
        <v/>
      </c>
      <c r="B440" s="33" t="str">
        <f t="shared" si="1"/>
        <v/>
      </c>
      <c r="C440" s="39" t="str">
        <f>IF(A440="","",IFERROR(VLOOKUP(A440,BOOKINGS!$A:$Q,8,FALSE),BOOKINGS!B440))</f>
        <v/>
      </c>
      <c r="D440" s="38" t="str">
        <f>IF(A440="","",PROFITABILITY!B440)</f>
        <v/>
      </c>
      <c r="E440" s="38" t="str">
        <f>IF(A440="","",SETUP_RATES!$K$4)</f>
        <v/>
      </c>
      <c r="F440" s="38" t="str">
        <f t="shared" si="2"/>
        <v/>
      </c>
      <c r="G440" s="33" t="str">
        <f t="shared" si="3"/>
        <v/>
      </c>
      <c r="H440" s="39" t="str">
        <f>IF(C440="","",C440+IFERROR(VLOOKUP(VLOOKUP(A440,BOOKINGS!$A:$Q,3,FALSE),CLIENTS!$A:$H,6,FALSE),30))</f>
        <v/>
      </c>
      <c r="I440" s="33" t="str">
        <f>IF(A440="","",IFERROR(VLOOKUP(B440,COLLECTIONS!$A:$I,7,FALSE),"Unpaid"))</f>
        <v/>
      </c>
    </row>
    <row r="441" ht="15.75" customHeight="1">
      <c r="A441" s="33" t="str">
        <f>IF(PROFITABILITY!A441="","",PROFITABILITY!A441)</f>
        <v/>
      </c>
      <c r="B441" s="33" t="str">
        <f t="shared" si="1"/>
        <v/>
      </c>
      <c r="C441" s="39" t="str">
        <f>IF(A441="","",IFERROR(VLOOKUP(A441,BOOKINGS!$A:$Q,8,FALSE),BOOKINGS!B441))</f>
        <v/>
      </c>
      <c r="D441" s="38" t="str">
        <f>IF(A441="","",PROFITABILITY!B441)</f>
        <v/>
      </c>
      <c r="E441" s="38" t="str">
        <f>IF(A441="","",SETUP_RATES!$K$4)</f>
        <v/>
      </c>
      <c r="F441" s="38" t="str">
        <f t="shared" si="2"/>
        <v/>
      </c>
      <c r="G441" s="33" t="str">
        <f t="shared" si="3"/>
        <v/>
      </c>
      <c r="H441" s="39" t="str">
        <f>IF(C441="","",C441+IFERROR(VLOOKUP(VLOOKUP(A441,BOOKINGS!$A:$Q,3,FALSE),CLIENTS!$A:$H,6,FALSE),30))</f>
        <v/>
      </c>
      <c r="I441" s="33" t="str">
        <f>IF(A441="","",IFERROR(VLOOKUP(B441,COLLECTIONS!$A:$I,7,FALSE),"Unpaid"))</f>
        <v/>
      </c>
    </row>
    <row r="442" ht="15.75" customHeight="1">
      <c r="A442" s="33" t="str">
        <f>IF(PROFITABILITY!A442="","",PROFITABILITY!A442)</f>
        <v/>
      </c>
      <c r="B442" s="33" t="str">
        <f t="shared" si="1"/>
        <v/>
      </c>
      <c r="C442" s="39" t="str">
        <f>IF(A442="","",IFERROR(VLOOKUP(A442,BOOKINGS!$A:$Q,8,FALSE),BOOKINGS!B442))</f>
        <v/>
      </c>
      <c r="D442" s="38" t="str">
        <f>IF(A442="","",PROFITABILITY!B442)</f>
        <v/>
      </c>
      <c r="E442" s="38" t="str">
        <f>IF(A442="","",SETUP_RATES!$K$4)</f>
        <v/>
      </c>
      <c r="F442" s="38" t="str">
        <f t="shared" si="2"/>
        <v/>
      </c>
      <c r="G442" s="33" t="str">
        <f t="shared" si="3"/>
        <v/>
      </c>
      <c r="H442" s="39" t="str">
        <f>IF(C442="","",C442+IFERROR(VLOOKUP(VLOOKUP(A442,BOOKINGS!$A:$Q,3,FALSE),CLIENTS!$A:$H,6,FALSE),30))</f>
        <v/>
      </c>
      <c r="I442" s="33" t="str">
        <f>IF(A442="","",IFERROR(VLOOKUP(B442,COLLECTIONS!$A:$I,7,FALSE),"Unpaid"))</f>
        <v/>
      </c>
    </row>
    <row r="443" ht="15.75" customHeight="1">
      <c r="A443" s="33" t="str">
        <f>IF(PROFITABILITY!A443="","",PROFITABILITY!A443)</f>
        <v/>
      </c>
      <c r="B443" s="33" t="str">
        <f t="shared" si="1"/>
        <v/>
      </c>
      <c r="C443" s="39" t="str">
        <f>IF(A443="","",IFERROR(VLOOKUP(A443,BOOKINGS!$A:$Q,8,FALSE),BOOKINGS!B443))</f>
        <v/>
      </c>
      <c r="D443" s="38" t="str">
        <f>IF(A443="","",PROFITABILITY!B443)</f>
        <v/>
      </c>
      <c r="E443" s="38" t="str">
        <f>IF(A443="","",SETUP_RATES!$K$4)</f>
        <v/>
      </c>
      <c r="F443" s="38" t="str">
        <f t="shared" si="2"/>
        <v/>
      </c>
      <c r="G443" s="33" t="str">
        <f t="shared" si="3"/>
        <v/>
      </c>
      <c r="H443" s="39" t="str">
        <f>IF(C443="","",C443+IFERROR(VLOOKUP(VLOOKUP(A443,BOOKINGS!$A:$Q,3,FALSE),CLIENTS!$A:$H,6,FALSE),30))</f>
        <v/>
      </c>
      <c r="I443" s="33" t="str">
        <f>IF(A443="","",IFERROR(VLOOKUP(B443,COLLECTIONS!$A:$I,7,FALSE),"Unpaid"))</f>
        <v/>
      </c>
    </row>
    <row r="444" ht="15.75" customHeight="1">
      <c r="A444" s="33" t="str">
        <f>IF(PROFITABILITY!A444="","",PROFITABILITY!A444)</f>
        <v/>
      </c>
      <c r="B444" s="33" t="str">
        <f t="shared" si="1"/>
        <v/>
      </c>
      <c r="C444" s="39" t="str">
        <f>IF(A444="","",IFERROR(VLOOKUP(A444,BOOKINGS!$A:$Q,8,FALSE),BOOKINGS!B444))</f>
        <v/>
      </c>
      <c r="D444" s="38" t="str">
        <f>IF(A444="","",PROFITABILITY!B444)</f>
        <v/>
      </c>
      <c r="E444" s="38" t="str">
        <f>IF(A444="","",SETUP_RATES!$K$4)</f>
        <v/>
      </c>
      <c r="F444" s="38" t="str">
        <f t="shared" si="2"/>
        <v/>
      </c>
      <c r="G444" s="33" t="str">
        <f t="shared" si="3"/>
        <v/>
      </c>
      <c r="H444" s="39" t="str">
        <f>IF(C444="","",C444+IFERROR(VLOOKUP(VLOOKUP(A444,BOOKINGS!$A:$Q,3,FALSE),CLIENTS!$A:$H,6,FALSE),30))</f>
        <v/>
      </c>
      <c r="I444" s="33" t="str">
        <f>IF(A444="","",IFERROR(VLOOKUP(B444,COLLECTIONS!$A:$I,7,FALSE),"Unpaid"))</f>
        <v/>
      </c>
    </row>
    <row r="445" ht="15.75" customHeight="1">
      <c r="A445" s="33" t="str">
        <f>IF(PROFITABILITY!A445="","",PROFITABILITY!A445)</f>
        <v/>
      </c>
      <c r="B445" s="33" t="str">
        <f t="shared" si="1"/>
        <v/>
      </c>
      <c r="C445" s="39" t="str">
        <f>IF(A445="","",IFERROR(VLOOKUP(A445,BOOKINGS!$A:$Q,8,FALSE),BOOKINGS!B445))</f>
        <v/>
      </c>
      <c r="D445" s="38" t="str">
        <f>IF(A445="","",PROFITABILITY!B445)</f>
        <v/>
      </c>
      <c r="E445" s="38" t="str">
        <f>IF(A445="","",SETUP_RATES!$K$4)</f>
        <v/>
      </c>
      <c r="F445" s="38" t="str">
        <f t="shared" si="2"/>
        <v/>
      </c>
      <c r="G445" s="33" t="str">
        <f t="shared" si="3"/>
        <v/>
      </c>
      <c r="H445" s="39" t="str">
        <f>IF(C445="","",C445+IFERROR(VLOOKUP(VLOOKUP(A445,BOOKINGS!$A:$Q,3,FALSE),CLIENTS!$A:$H,6,FALSE),30))</f>
        <v/>
      </c>
      <c r="I445" s="33" t="str">
        <f>IF(A445="","",IFERROR(VLOOKUP(B445,COLLECTIONS!$A:$I,7,FALSE),"Unpaid"))</f>
        <v/>
      </c>
    </row>
    <row r="446" ht="15.75" customHeight="1">
      <c r="A446" s="33" t="str">
        <f>IF(PROFITABILITY!A446="","",PROFITABILITY!A446)</f>
        <v/>
      </c>
      <c r="B446" s="33" t="str">
        <f t="shared" si="1"/>
        <v/>
      </c>
      <c r="C446" s="39" t="str">
        <f>IF(A446="","",IFERROR(VLOOKUP(A446,BOOKINGS!$A:$Q,8,FALSE),BOOKINGS!B446))</f>
        <v/>
      </c>
      <c r="D446" s="38" t="str">
        <f>IF(A446="","",PROFITABILITY!B446)</f>
        <v/>
      </c>
      <c r="E446" s="38" t="str">
        <f>IF(A446="","",SETUP_RATES!$K$4)</f>
        <v/>
      </c>
      <c r="F446" s="38" t="str">
        <f t="shared" si="2"/>
        <v/>
      </c>
      <c r="G446" s="33" t="str">
        <f t="shared" si="3"/>
        <v/>
      </c>
      <c r="H446" s="39" t="str">
        <f>IF(C446="","",C446+IFERROR(VLOOKUP(VLOOKUP(A446,BOOKINGS!$A:$Q,3,FALSE),CLIENTS!$A:$H,6,FALSE),30))</f>
        <v/>
      </c>
      <c r="I446" s="33" t="str">
        <f>IF(A446="","",IFERROR(VLOOKUP(B446,COLLECTIONS!$A:$I,7,FALSE),"Unpaid"))</f>
        <v/>
      </c>
    </row>
    <row r="447" ht="15.75" customHeight="1">
      <c r="A447" s="33" t="str">
        <f>IF(PROFITABILITY!A447="","",PROFITABILITY!A447)</f>
        <v/>
      </c>
      <c r="B447" s="33" t="str">
        <f t="shared" si="1"/>
        <v/>
      </c>
      <c r="C447" s="39" t="str">
        <f>IF(A447="","",IFERROR(VLOOKUP(A447,BOOKINGS!$A:$Q,8,FALSE),BOOKINGS!B447))</f>
        <v/>
      </c>
      <c r="D447" s="38" t="str">
        <f>IF(A447="","",PROFITABILITY!B447)</f>
        <v/>
      </c>
      <c r="E447" s="38" t="str">
        <f>IF(A447="","",SETUP_RATES!$K$4)</f>
        <v/>
      </c>
      <c r="F447" s="38" t="str">
        <f t="shared" si="2"/>
        <v/>
      </c>
      <c r="G447" s="33" t="str">
        <f t="shared" si="3"/>
        <v/>
      </c>
      <c r="H447" s="39" t="str">
        <f>IF(C447="","",C447+IFERROR(VLOOKUP(VLOOKUP(A447,BOOKINGS!$A:$Q,3,FALSE),CLIENTS!$A:$H,6,FALSE),30))</f>
        <v/>
      </c>
      <c r="I447" s="33" t="str">
        <f>IF(A447="","",IFERROR(VLOOKUP(B447,COLLECTIONS!$A:$I,7,FALSE),"Unpaid"))</f>
        <v/>
      </c>
    </row>
    <row r="448" ht="15.75" customHeight="1">
      <c r="A448" s="33" t="str">
        <f>IF(PROFITABILITY!A448="","",PROFITABILITY!A448)</f>
        <v/>
      </c>
      <c r="B448" s="33" t="str">
        <f t="shared" si="1"/>
        <v/>
      </c>
      <c r="C448" s="39" t="str">
        <f>IF(A448="","",IFERROR(VLOOKUP(A448,BOOKINGS!$A:$Q,8,FALSE),BOOKINGS!B448))</f>
        <v/>
      </c>
      <c r="D448" s="38" t="str">
        <f>IF(A448="","",PROFITABILITY!B448)</f>
        <v/>
      </c>
      <c r="E448" s="38" t="str">
        <f>IF(A448="","",SETUP_RATES!$K$4)</f>
        <v/>
      </c>
      <c r="F448" s="38" t="str">
        <f t="shared" si="2"/>
        <v/>
      </c>
      <c r="G448" s="33" t="str">
        <f t="shared" si="3"/>
        <v/>
      </c>
      <c r="H448" s="39" t="str">
        <f>IF(C448="","",C448+IFERROR(VLOOKUP(VLOOKUP(A448,BOOKINGS!$A:$Q,3,FALSE),CLIENTS!$A:$H,6,FALSE),30))</f>
        <v/>
      </c>
      <c r="I448" s="33" t="str">
        <f>IF(A448="","",IFERROR(VLOOKUP(B448,COLLECTIONS!$A:$I,7,FALSE),"Unpaid"))</f>
        <v/>
      </c>
    </row>
    <row r="449" ht="15.75" customHeight="1">
      <c r="A449" s="33" t="str">
        <f>IF(PROFITABILITY!A449="","",PROFITABILITY!A449)</f>
        <v/>
      </c>
      <c r="B449" s="33" t="str">
        <f t="shared" si="1"/>
        <v/>
      </c>
      <c r="C449" s="39" t="str">
        <f>IF(A449="","",IFERROR(VLOOKUP(A449,BOOKINGS!$A:$Q,8,FALSE),BOOKINGS!B449))</f>
        <v/>
      </c>
      <c r="D449" s="38" t="str">
        <f>IF(A449="","",PROFITABILITY!B449)</f>
        <v/>
      </c>
      <c r="E449" s="38" t="str">
        <f>IF(A449="","",SETUP_RATES!$K$4)</f>
        <v/>
      </c>
      <c r="F449" s="38" t="str">
        <f t="shared" si="2"/>
        <v/>
      </c>
      <c r="G449" s="33" t="str">
        <f t="shared" si="3"/>
        <v/>
      </c>
      <c r="H449" s="39" t="str">
        <f>IF(C449="","",C449+IFERROR(VLOOKUP(VLOOKUP(A449,BOOKINGS!$A:$Q,3,FALSE),CLIENTS!$A:$H,6,FALSE),30))</f>
        <v/>
      </c>
      <c r="I449" s="33" t="str">
        <f>IF(A449="","",IFERROR(VLOOKUP(B449,COLLECTIONS!$A:$I,7,FALSE),"Unpaid"))</f>
        <v/>
      </c>
    </row>
    <row r="450" ht="15.75" customHeight="1">
      <c r="A450" s="33" t="str">
        <f>IF(PROFITABILITY!A450="","",PROFITABILITY!A450)</f>
        <v/>
      </c>
      <c r="B450" s="33" t="str">
        <f t="shared" si="1"/>
        <v/>
      </c>
      <c r="C450" s="39" t="str">
        <f>IF(A450="","",IFERROR(VLOOKUP(A450,BOOKINGS!$A:$Q,8,FALSE),BOOKINGS!B450))</f>
        <v/>
      </c>
      <c r="D450" s="38" t="str">
        <f>IF(A450="","",PROFITABILITY!B450)</f>
        <v/>
      </c>
      <c r="E450" s="38" t="str">
        <f>IF(A450="","",SETUP_RATES!$K$4)</f>
        <v/>
      </c>
      <c r="F450" s="38" t="str">
        <f t="shared" si="2"/>
        <v/>
      </c>
      <c r="G450" s="33" t="str">
        <f t="shared" si="3"/>
        <v/>
      </c>
      <c r="H450" s="39" t="str">
        <f>IF(C450="","",C450+IFERROR(VLOOKUP(VLOOKUP(A450,BOOKINGS!$A:$Q,3,FALSE),CLIENTS!$A:$H,6,FALSE),30))</f>
        <v/>
      </c>
      <c r="I450" s="33" t="str">
        <f>IF(A450="","",IFERROR(VLOOKUP(B450,COLLECTIONS!$A:$I,7,FALSE),"Unpaid"))</f>
        <v/>
      </c>
    </row>
    <row r="451" ht="15.75" customHeight="1">
      <c r="A451" s="33" t="str">
        <f>IF(PROFITABILITY!A451="","",PROFITABILITY!A451)</f>
        <v/>
      </c>
      <c r="B451" s="33" t="str">
        <f t="shared" si="1"/>
        <v/>
      </c>
      <c r="C451" s="39" t="str">
        <f>IF(A451="","",IFERROR(VLOOKUP(A451,BOOKINGS!$A:$Q,8,FALSE),BOOKINGS!B451))</f>
        <v/>
      </c>
      <c r="D451" s="38" t="str">
        <f>IF(A451="","",PROFITABILITY!B451)</f>
        <v/>
      </c>
      <c r="E451" s="38" t="str">
        <f>IF(A451="","",SETUP_RATES!$K$4)</f>
        <v/>
      </c>
      <c r="F451" s="38" t="str">
        <f t="shared" si="2"/>
        <v/>
      </c>
      <c r="G451" s="33" t="str">
        <f t="shared" si="3"/>
        <v/>
      </c>
      <c r="H451" s="39" t="str">
        <f>IF(C451="","",C451+IFERROR(VLOOKUP(VLOOKUP(A451,BOOKINGS!$A:$Q,3,FALSE),CLIENTS!$A:$H,6,FALSE),30))</f>
        <v/>
      </c>
      <c r="I451" s="33" t="str">
        <f>IF(A451="","",IFERROR(VLOOKUP(B451,COLLECTIONS!$A:$I,7,FALSE),"Unpaid"))</f>
        <v/>
      </c>
    </row>
    <row r="452" ht="15.75" customHeight="1">
      <c r="A452" s="33" t="str">
        <f>IF(PROFITABILITY!A452="","",PROFITABILITY!A452)</f>
        <v/>
      </c>
      <c r="B452" s="33" t="str">
        <f t="shared" si="1"/>
        <v/>
      </c>
      <c r="C452" s="39" t="str">
        <f>IF(A452="","",IFERROR(VLOOKUP(A452,BOOKINGS!$A:$Q,8,FALSE),BOOKINGS!B452))</f>
        <v/>
      </c>
      <c r="D452" s="38" t="str">
        <f>IF(A452="","",PROFITABILITY!B452)</f>
        <v/>
      </c>
      <c r="E452" s="38" t="str">
        <f>IF(A452="","",SETUP_RATES!$K$4)</f>
        <v/>
      </c>
      <c r="F452" s="38" t="str">
        <f t="shared" si="2"/>
        <v/>
      </c>
      <c r="G452" s="33" t="str">
        <f t="shared" si="3"/>
        <v/>
      </c>
      <c r="H452" s="39" t="str">
        <f>IF(C452="","",C452+IFERROR(VLOOKUP(VLOOKUP(A452,BOOKINGS!$A:$Q,3,FALSE),CLIENTS!$A:$H,6,FALSE),30))</f>
        <v/>
      </c>
      <c r="I452" s="33" t="str">
        <f>IF(A452="","",IFERROR(VLOOKUP(B452,COLLECTIONS!$A:$I,7,FALSE),"Unpaid"))</f>
        <v/>
      </c>
    </row>
    <row r="453" ht="15.75" customHeight="1">
      <c r="A453" s="33" t="str">
        <f>IF(PROFITABILITY!A453="","",PROFITABILITY!A453)</f>
        <v/>
      </c>
      <c r="B453" s="33" t="str">
        <f t="shared" si="1"/>
        <v/>
      </c>
      <c r="C453" s="39" t="str">
        <f>IF(A453="","",IFERROR(VLOOKUP(A453,BOOKINGS!$A:$Q,8,FALSE),BOOKINGS!B453))</f>
        <v/>
      </c>
      <c r="D453" s="38" t="str">
        <f>IF(A453="","",PROFITABILITY!B453)</f>
        <v/>
      </c>
      <c r="E453" s="38" t="str">
        <f>IF(A453="","",SETUP_RATES!$K$4)</f>
        <v/>
      </c>
      <c r="F453" s="38" t="str">
        <f t="shared" si="2"/>
        <v/>
      </c>
      <c r="G453" s="33" t="str">
        <f t="shared" si="3"/>
        <v/>
      </c>
      <c r="H453" s="39" t="str">
        <f>IF(C453="","",C453+IFERROR(VLOOKUP(VLOOKUP(A453,BOOKINGS!$A:$Q,3,FALSE),CLIENTS!$A:$H,6,FALSE),30))</f>
        <v/>
      </c>
      <c r="I453" s="33" t="str">
        <f>IF(A453="","",IFERROR(VLOOKUP(B453,COLLECTIONS!$A:$I,7,FALSE),"Unpaid"))</f>
        <v/>
      </c>
    </row>
    <row r="454" ht="15.75" customHeight="1">
      <c r="A454" s="33" t="str">
        <f>IF(PROFITABILITY!A454="","",PROFITABILITY!A454)</f>
        <v/>
      </c>
      <c r="B454" s="33" t="str">
        <f t="shared" si="1"/>
        <v/>
      </c>
      <c r="C454" s="39" t="str">
        <f>IF(A454="","",IFERROR(VLOOKUP(A454,BOOKINGS!$A:$Q,8,FALSE),BOOKINGS!B454))</f>
        <v/>
      </c>
      <c r="D454" s="38" t="str">
        <f>IF(A454="","",PROFITABILITY!B454)</f>
        <v/>
      </c>
      <c r="E454" s="38" t="str">
        <f>IF(A454="","",SETUP_RATES!$K$4)</f>
        <v/>
      </c>
      <c r="F454" s="38" t="str">
        <f t="shared" si="2"/>
        <v/>
      </c>
      <c r="G454" s="33" t="str">
        <f t="shared" si="3"/>
        <v/>
      </c>
      <c r="H454" s="39" t="str">
        <f>IF(C454="","",C454+IFERROR(VLOOKUP(VLOOKUP(A454,BOOKINGS!$A:$Q,3,FALSE),CLIENTS!$A:$H,6,FALSE),30))</f>
        <v/>
      </c>
      <c r="I454" s="33" t="str">
        <f>IF(A454="","",IFERROR(VLOOKUP(B454,COLLECTIONS!$A:$I,7,FALSE),"Unpaid"))</f>
        <v/>
      </c>
    </row>
    <row r="455" ht="15.75" customHeight="1">
      <c r="A455" s="33" t="str">
        <f>IF(PROFITABILITY!A455="","",PROFITABILITY!A455)</f>
        <v/>
      </c>
      <c r="B455" s="33" t="str">
        <f t="shared" si="1"/>
        <v/>
      </c>
      <c r="C455" s="39" t="str">
        <f>IF(A455="","",IFERROR(VLOOKUP(A455,BOOKINGS!$A:$Q,8,FALSE),BOOKINGS!B455))</f>
        <v/>
      </c>
      <c r="D455" s="38" t="str">
        <f>IF(A455="","",PROFITABILITY!B455)</f>
        <v/>
      </c>
      <c r="E455" s="38" t="str">
        <f>IF(A455="","",SETUP_RATES!$K$4)</f>
        <v/>
      </c>
      <c r="F455" s="38" t="str">
        <f t="shared" si="2"/>
        <v/>
      </c>
      <c r="G455" s="33" t="str">
        <f t="shared" si="3"/>
        <v/>
      </c>
      <c r="H455" s="39" t="str">
        <f>IF(C455="","",C455+IFERROR(VLOOKUP(VLOOKUP(A455,BOOKINGS!$A:$Q,3,FALSE),CLIENTS!$A:$H,6,FALSE),30))</f>
        <v/>
      </c>
      <c r="I455" s="33" t="str">
        <f>IF(A455="","",IFERROR(VLOOKUP(B455,COLLECTIONS!$A:$I,7,FALSE),"Unpaid"))</f>
        <v/>
      </c>
    </row>
    <row r="456" ht="15.75" customHeight="1">
      <c r="A456" s="33" t="str">
        <f>IF(PROFITABILITY!A456="","",PROFITABILITY!A456)</f>
        <v/>
      </c>
      <c r="B456" s="33" t="str">
        <f t="shared" si="1"/>
        <v/>
      </c>
      <c r="C456" s="39" t="str">
        <f>IF(A456="","",IFERROR(VLOOKUP(A456,BOOKINGS!$A:$Q,8,FALSE),BOOKINGS!B456))</f>
        <v/>
      </c>
      <c r="D456" s="38" t="str">
        <f>IF(A456="","",PROFITABILITY!B456)</f>
        <v/>
      </c>
      <c r="E456" s="38" t="str">
        <f>IF(A456="","",SETUP_RATES!$K$4)</f>
        <v/>
      </c>
      <c r="F456" s="38" t="str">
        <f t="shared" si="2"/>
        <v/>
      </c>
      <c r="G456" s="33" t="str">
        <f t="shared" si="3"/>
        <v/>
      </c>
      <c r="H456" s="39" t="str">
        <f>IF(C456="","",C456+IFERROR(VLOOKUP(VLOOKUP(A456,BOOKINGS!$A:$Q,3,FALSE),CLIENTS!$A:$H,6,FALSE),30))</f>
        <v/>
      </c>
      <c r="I456" s="33" t="str">
        <f>IF(A456="","",IFERROR(VLOOKUP(B456,COLLECTIONS!$A:$I,7,FALSE),"Unpaid"))</f>
        <v/>
      </c>
    </row>
    <row r="457" ht="15.75" customHeight="1">
      <c r="A457" s="33" t="str">
        <f>IF(PROFITABILITY!A457="","",PROFITABILITY!A457)</f>
        <v/>
      </c>
      <c r="B457" s="33" t="str">
        <f t="shared" si="1"/>
        <v/>
      </c>
      <c r="C457" s="39" t="str">
        <f>IF(A457="","",IFERROR(VLOOKUP(A457,BOOKINGS!$A:$Q,8,FALSE),BOOKINGS!B457))</f>
        <v/>
      </c>
      <c r="D457" s="38" t="str">
        <f>IF(A457="","",PROFITABILITY!B457)</f>
        <v/>
      </c>
      <c r="E457" s="38" t="str">
        <f>IF(A457="","",SETUP_RATES!$K$4)</f>
        <v/>
      </c>
      <c r="F457" s="38" t="str">
        <f t="shared" si="2"/>
        <v/>
      </c>
      <c r="G457" s="33" t="str">
        <f t="shared" si="3"/>
        <v/>
      </c>
      <c r="H457" s="39" t="str">
        <f>IF(C457="","",C457+IFERROR(VLOOKUP(VLOOKUP(A457,BOOKINGS!$A:$Q,3,FALSE),CLIENTS!$A:$H,6,FALSE),30))</f>
        <v/>
      </c>
      <c r="I457" s="33" t="str">
        <f>IF(A457="","",IFERROR(VLOOKUP(B457,COLLECTIONS!$A:$I,7,FALSE),"Unpaid"))</f>
        <v/>
      </c>
    </row>
    <row r="458" ht="15.75" customHeight="1">
      <c r="A458" s="33" t="str">
        <f>IF(PROFITABILITY!A458="","",PROFITABILITY!A458)</f>
        <v/>
      </c>
      <c r="B458" s="33" t="str">
        <f t="shared" si="1"/>
        <v/>
      </c>
      <c r="C458" s="39" t="str">
        <f>IF(A458="","",IFERROR(VLOOKUP(A458,BOOKINGS!$A:$Q,8,FALSE),BOOKINGS!B458))</f>
        <v/>
      </c>
      <c r="D458" s="38" t="str">
        <f>IF(A458="","",PROFITABILITY!B458)</f>
        <v/>
      </c>
      <c r="E458" s="38" t="str">
        <f>IF(A458="","",SETUP_RATES!$K$4)</f>
        <v/>
      </c>
      <c r="F458" s="38" t="str">
        <f t="shared" si="2"/>
        <v/>
      </c>
      <c r="G458" s="33" t="str">
        <f t="shared" si="3"/>
        <v/>
      </c>
      <c r="H458" s="39" t="str">
        <f>IF(C458="","",C458+IFERROR(VLOOKUP(VLOOKUP(A458,BOOKINGS!$A:$Q,3,FALSE),CLIENTS!$A:$H,6,FALSE),30))</f>
        <v/>
      </c>
      <c r="I458" s="33" t="str">
        <f>IF(A458="","",IFERROR(VLOOKUP(B458,COLLECTIONS!$A:$I,7,FALSE),"Unpaid"))</f>
        <v/>
      </c>
    </row>
    <row r="459" ht="15.75" customHeight="1">
      <c r="A459" s="33" t="str">
        <f>IF(PROFITABILITY!A459="","",PROFITABILITY!A459)</f>
        <v/>
      </c>
      <c r="B459" s="33" t="str">
        <f t="shared" si="1"/>
        <v/>
      </c>
      <c r="C459" s="39" t="str">
        <f>IF(A459="","",IFERROR(VLOOKUP(A459,BOOKINGS!$A:$Q,8,FALSE),BOOKINGS!B459))</f>
        <v/>
      </c>
      <c r="D459" s="38" t="str">
        <f>IF(A459="","",PROFITABILITY!B459)</f>
        <v/>
      </c>
      <c r="E459" s="38" t="str">
        <f>IF(A459="","",SETUP_RATES!$K$4)</f>
        <v/>
      </c>
      <c r="F459" s="38" t="str">
        <f t="shared" si="2"/>
        <v/>
      </c>
      <c r="G459" s="33" t="str">
        <f t="shared" si="3"/>
        <v/>
      </c>
      <c r="H459" s="39" t="str">
        <f>IF(C459="","",C459+IFERROR(VLOOKUP(VLOOKUP(A459,BOOKINGS!$A:$Q,3,FALSE),CLIENTS!$A:$H,6,FALSE),30))</f>
        <v/>
      </c>
      <c r="I459" s="33" t="str">
        <f>IF(A459="","",IFERROR(VLOOKUP(B459,COLLECTIONS!$A:$I,7,FALSE),"Unpaid"))</f>
        <v/>
      </c>
    </row>
    <row r="460" ht="15.75" customHeight="1">
      <c r="A460" s="33" t="str">
        <f>IF(PROFITABILITY!A460="","",PROFITABILITY!A460)</f>
        <v/>
      </c>
      <c r="B460" s="33" t="str">
        <f t="shared" si="1"/>
        <v/>
      </c>
      <c r="C460" s="39" t="str">
        <f>IF(A460="","",IFERROR(VLOOKUP(A460,BOOKINGS!$A:$Q,8,FALSE),BOOKINGS!B460))</f>
        <v/>
      </c>
      <c r="D460" s="38" t="str">
        <f>IF(A460="","",PROFITABILITY!B460)</f>
        <v/>
      </c>
      <c r="E460" s="38" t="str">
        <f>IF(A460="","",SETUP_RATES!$K$4)</f>
        <v/>
      </c>
      <c r="F460" s="38" t="str">
        <f t="shared" si="2"/>
        <v/>
      </c>
      <c r="G460" s="33" t="str">
        <f t="shared" si="3"/>
        <v/>
      </c>
      <c r="H460" s="39" t="str">
        <f>IF(C460="","",C460+IFERROR(VLOOKUP(VLOOKUP(A460,BOOKINGS!$A:$Q,3,FALSE),CLIENTS!$A:$H,6,FALSE),30))</f>
        <v/>
      </c>
      <c r="I460" s="33" t="str">
        <f>IF(A460="","",IFERROR(VLOOKUP(B460,COLLECTIONS!$A:$I,7,FALSE),"Unpaid"))</f>
        <v/>
      </c>
    </row>
    <row r="461" ht="15.75" customHeight="1">
      <c r="A461" s="33" t="str">
        <f>IF(PROFITABILITY!A461="","",PROFITABILITY!A461)</f>
        <v/>
      </c>
      <c r="B461" s="33" t="str">
        <f t="shared" si="1"/>
        <v/>
      </c>
      <c r="C461" s="39" t="str">
        <f>IF(A461="","",IFERROR(VLOOKUP(A461,BOOKINGS!$A:$Q,8,FALSE),BOOKINGS!B461))</f>
        <v/>
      </c>
      <c r="D461" s="38" t="str">
        <f>IF(A461="","",PROFITABILITY!B461)</f>
        <v/>
      </c>
      <c r="E461" s="38" t="str">
        <f>IF(A461="","",SETUP_RATES!$K$4)</f>
        <v/>
      </c>
      <c r="F461" s="38" t="str">
        <f t="shared" si="2"/>
        <v/>
      </c>
      <c r="G461" s="33" t="str">
        <f t="shared" si="3"/>
        <v/>
      </c>
      <c r="H461" s="39" t="str">
        <f>IF(C461="","",C461+IFERROR(VLOOKUP(VLOOKUP(A461,BOOKINGS!$A:$Q,3,FALSE),CLIENTS!$A:$H,6,FALSE),30))</f>
        <v/>
      </c>
      <c r="I461" s="33" t="str">
        <f>IF(A461="","",IFERROR(VLOOKUP(B461,COLLECTIONS!$A:$I,7,FALSE),"Unpaid"))</f>
        <v/>
      </c>
    </row>
    <row r="462" ht="15.75" customHeight="1">
      <c r="A462" s="33" t="str">
        <f>IF(PROFITABILITY!A462="","",PROFITABILITY!A462)</f>
        <v/>
      </c>
      <c r="B462" s="33" t="str">
        <f t="shared" si="1"/>
        <v/>
      </c>
      <c r="C462" s="39" t="str">
        <f>IF(A462="","",IFERROR(VLOOKUP(A462,BOOKINGS!$A:$Q,8,FALSE),BOOKINGS!B462))</f>
        <v/>
      </c>
      <c r="D462" s="38" t="str">
        <f>IF(A462="","",PROFITABILITY!B462)</f>
        <v/>
      </c>
      <c r="E462" s="38" t="str">
        <f>IF(A462="","",SETUP_RATES!$K$4)</f>
        <v/>
      </c>
      <c r="F462" s="38" t="str">
        <f t="shared" si="2"/>
        <v/>
      </c>
      <c r="G462" s="33" t="str">
        <f t="shared" si="3"/>
        <v/>
      </c>
      <c r="H462" s="39" t="str">
        <f>IF(C462="","",C462+IFERROR(VLOOKUP(VLOOKUP(A462,BOOKINGS!$A:$Q,3,FALSE),CLIENTS!$A:$H,6,FALSE),30))</f>
        <v/>
      </c>
      <c r="I462" s="33" t="str">
        <f>IF(A462="","",IFERROR(VLOOKUP(B462,COLLECTIONS!$A:$I,7,FALSE),"Unpaid"))</f>
        <v/>
      </c>
    </row>
    <row r="463" ht="15.75" customHeight="1">
      <c r="A463" s="33" t="str">
        <f>IF(PROFITABILITY!A463="","",PROFITABILITY!A463)</f>
        <v/>
      </c>
      <c r="B463" s="33" t="str">
        <f t="shared" si="1"/>
        <v/>
      </c>
      <c r="C463" s="39" t="str">
        <f>IF(A463="","",IFERROR(VLOOKUP(A463,BOOKINGS!$A:$Q,8,FALSE),BOOKINGS!B463))</f>
        <v/>
      </c>
      <c r="D463" s="38" t="str">
        <f>IF(A463="","",PROFITABILITY!B463)</f>
        <v/>
      </c>
      <c r="E463" s="38" t="str">
        <f>IF(A463="","",SETUP_RATES!$K$4)</f>
        <v/>
      </c>
      <c r="F463" s="38" t="str">
        <f t="shared" si="2"/>
        <v/>
      </c>
      <c r="G463" s="33" t="str">
        <f t="shared" si="3"/>
        <v/>
      </c>
      <c r="H463" s="39" t="str">
        <f>IF(C463="","",C463+IFERROR(VLOOKUP(VLOOKUP(A463,BOOKINGS!$A:$Q,3,FALSE),CLIENTS!$A:$H,6,FALSE),30))</f>
        <v/>
      </c>
      <c r="I463" s="33" t="str">
        <f>IF(A463="","",IFERROR(VLOOKUP(B463,COLLECTIONS!$A:$I,7,FALSE),"Unpaid"))</f>
        <v/>
      </c>
    </row>
    <row r="464" ht="15.75" customHeight="1">
      <c r="A464" s="33" t="str">
        <f>IF(PROFITABILITY!A464="","",PROFITABILITY!A464)</f>
        <v/>
      </c>
      <c r="B464" s="33" t="str">
        <f t="shared" si="1"/>
        <v/>
      </c>
      <c r="C464" s="39" t="str">
        <f>IF(A464="","",IFERROR(VLOOKUP(A464,BOOKINGS!$A:$Q,8,FALSE),BOOKINGS!B464))</f>
        <v/>
      </c>
      <c r="D464" s="38" t="str">
        <f>IF(A464="","",PROFITABILITY!B464)</f>
        <v/>
      </c>
      <c r="E464" s="38" t="str">
        <f>IF(A464="","",SETUP_RATES!$K$4)</f>
        <v/>
      </c>
      <c r="F464" s="38" t="str">
        <f t="shared" si="2"/>
        <v/>
      </c>
      <c r="G464" s="33" t="str">
        <f t="shared" si="3"/>
        <v/>
      </c>
      <c r="H464" s="39" t="str">
        <f>IF(C464="","",C464+IFERROR(VLOOKUP(VLOOKUP(A464,BOOKINGS!$A:$Q,3,FALSE),CLIENTS!$A:$H,6,FALSE),30))</f>
        <v/>
      </c>
      <c r="I464" s="33" t="str">
        <f>IF(A464="","",IFERROR(VLOOKUP(B464,COLLECTIONS!$A:$I,7,FALSE),"Unpaid"))</f>
        <v/>
      </c>
    </row>
    <row r="465" ht="15.75" customHeight="1">
      <c r="A465" s="33" t="str">
        <f>IF(PROFITABILITY!A465="","",PROFITABILITY!A465)</f>
        <v/>
      </c>
      <c r="B465" s="33" t="str">
        <f t="shared" si="1"/>
        <v/>
      </c>
      <c r="C465" s="39" t="str">
        <f>IF(A465="","",IFERROR(VLOOKUP(A465,BOOKINGS!$A:$Q,8,FALSE),BOOKINGS!B465))</f>
        <v/>
      </c>
      <c r="D465" s="38" t="str">
        <f>IF(A465="","",PROFITABILITY!B465)</f>
        <v/>
      </c>
      <c r="E465" s="38" t="str">
        <f>IF(A465="","",SETUP_RATES!$K$4)</f>
        <v/>
      </c>
      <c r="F465" s="38" t="str">
        <f t="shared" si="2"/>
        <v/>
      </c>
      <c r="G465" s="33" t="str">
        <f t="shared" si="3"/>
        <v/>
      </c>
      <c r="H465" s="39" t="str">
        <f>IF(C465="","",C465+IFERROR(VLOOKUP(VLOOKUP(A465,BOOKINGS!$A:$Q,3,FALSE),CLIENTS!$A:$H,6,FALSE),30))</f>
        <v/>
      </c>
      <c r="I465" s="33" t="str">
        <f>IF(A465="","",IFERROR(VLOOKUP(B465,COLLECTIONS!$A:$I,7,FALSE),"Unpaid"))</f>
        <v/>
      </c>
    </row>
    <row r="466" ht="15.75" customHeight="1">
      <c r="A466" s="33" t="str">
        <f>IF(PROFITABILITY!A466="","",PROFITABILITY!A466)</f>
        <v/>
      </c>
      <c r="B466" s="33" t="str">
        <f t="shared" si="1"/>
        <v/>
      </c>
      <c r="C466" s="39" t="str">
        <f>IF(A466="","",IFERROR(VLOOKUP(A466,BOOKINGS!$A:$Q,8,FALSE),BOOKINGS!B466))</f>
        <v/>
      </c>
      <c r="D466" s="38" t="str">
        <f>IF(A466="","",PROFITABILITY!B466)</f>
        <v/>
      </c>
      <c r="E466" s="38" t="str">
        <f>IF(A466="","",SETUP_RATES!$K$4)</f>
        <v/>
      </c>
      <c r="F466" s="38" t="str">
        <f t="shared" si="2"/>
        <v/>
      </c>
      <c r="G466" s="33" t="str">
        <f t="shared" si="3"/>
        <v/>
      </c>
      <c r="H466" s="39" t="str">
        <f>IF(C466="","",C466+IFERROR(VLOOKUP(VLOOKUP(A466,BOOKINGS!$A:$Q,3,FALSE),CLIENTS!$A:$H,6,FALSE),30))</f>
        <v/>
      </c>
      <c r="I466" s="33" t="str">
        <f>IF(A466="","",IFERROR(VLOOKUP(B466,COLLECTIONS!$A:$I,7,FALSE),"Unpaid"))</f>
        <v/>
      </c>
    </row>
    <row r="467" ht="15.75" customHeight="1">
      <c r="A467" s="33" t="str">
        <f>IF(PROFITABILITY!A467="","",PROFITABILITY!A467)</f>
        <v/>
      </c>
      <c r="B467" s="33" t="str">
        <f t="shared" si="1"/>
        <v/>
      </c>
      <c r="C467" s="39" t="str">
        <f>IF(A467="","",IFERROR(VLOOKUP(A467,BOOKINGS!$A:$Q,8,FALSE),BOOKINGS!B467))</f>
        <v/>
      </c>
      <c r="D467" s="38" t="str">
        <f>IF(A467="","",PROFITABILITY!B467)</f>
        <v/>
      </c>
      <c r="E467" s="38" t="str">
        <f>IF(A467="","",SETUP_RATES!$K$4)</f>
        <v/>
      </c>
      <c r="F467" s="38" t="str">
        <f t="shared" si="2"/>
        <v/>
      </c>
      <c r="G467" s="33" t="str">
        <f t="shared" si="3"/>
        <v/>
      </c>
      <c r="H467" s="39" t="str">
        <f>IF(C467="","",C467+IFERROR(VLOOKUP(VLOOKUP(A467,BOOKINGS!$A:$Q,3,FALSE),CLIENTS!$A:$H,6,FALSE),30))</f>
        <v/>
      </c>
      <c r="I467" s="33" t="str">
        <f>IF(A467="","",IFERROR(VLOOKUP(B467,COLLECTIONS!$A:$I,7,FALSE),"Unpaid"))</f>
        <v/>
      </c>
    </row>
    <row r="468" ht="15.75" customHeight="1">
      <c r="A468" s="33" t="str">
        <f>IF(PROFITABILITY!A468="","",PROFITABILITY!A468)</f>
        <v/>
      </c>
      <c r="B468" s="33" t="str">
        <f t="shared" si="1"/>
        <v/>
      </c>
      <c r="C468" s="39" t="str">
        <f>IF(A468="","",IFERROR(VLOOKUP(A468,BOOKINGS!$A:$Q,8,FALSE),BOOKINGS!B468))</f>
        <v/>
      </c>
      <c r="D468" s="38" t="str">
        <f>IF(A468="","",PROFITABILITY!B468)</f>
        <v/>
      </c>
      <c r="E468" s="38" t="str">
        <f>IF(A468="","",SETUP_RATES!$K$4)</f>
        <v/>
      </c>
      <c r="F468" s="38" t="str">
        <f t="shared" si="2"/>
        <v/>
      </c>
      <c r="G468" s="33" t="str">
        <f t="shared" si="3"/>
        <v/>
      </c>
      <c r="H468" s="39" t="str">
        <f>IF(C468="","",C468+IFERROR(VLOOKUP(VLOOKUP(A468,BOOKINGS!$A:$Q,3,FALSE),CLIENTS!$A:$H,6,FALSE),30))</f>
        <v/>
      </c>
      <c r="I468" s="33" t="str">
        <f>IF(A468="","",IFERROR(VLOOKUP(B468,COLLECTIONS!$A:$I,7,FALSE),"Unpaid"))</f>
        <v/>
      </c>
    </row>
    <row r="469" ht="15.75" customHeight="1">
      <c r="A469" s="33" t="str">
        <f>IF(PROFITABILITY!A469="","",PROFITABILITY!A469)</f>
        <v/>
      </c>
      <c r="B469" s="33" t="str">
        <f t="shared" si="1"/>
        <v/>
      </c>
      <c r="C469" s="39" t="str">
        <f>IF(A469="","",IFERROR(VLOOKUP(A469,BOOKINGS!$A:$Q,8,FALSE),BOOKINGS!B469))</f>
        <v/>
      </c>
      <c r="D469" s="38" t="str">
        <f>IF(A469="","",PROFITABILITY!B469)</f>
        <v/>
      </c>
      <c r="E469" s="38" t="str">
        <f>IF(A469="","",SETUP_RATES!$K$4)</f>
        <v/>
      </c>
      <c r="F469" s="38" t="str">
        <f t="shared" si="2"/>
        <v/>
      </c>
      <c r="G469" s="33" t="str">
        <f t="shared" si="3"/>
        <v/>
      </c>
      <c r="H469" s="39" t="str">
        <f>IF(C469="","",C469+IFERROR(VLOOKUP(VLOOKUP(A469,BOOKINGS!$A:$Q,3,FALSE),CLIENTS!$A:$H,6,FALSE),30))</f>
        <v/>
      </c>
      <c r="I469" s="33" t="str">
        <f>IF(A469="","",IFERROR(VLOOKUP(B469,COLLECTIONS!$A:$I,7,FALSE),"Unpaid"))</f>
        <v/>
      </c>
    </row>
    <row r="470" ht="15.75" customHeight="1">
      <c r="A470" s="33" t="str">
        <f>IF(PROFITABILITY!A470="","",PROFITABILITY!A470)</f>
        <v/>
      </c>
      <c r="B470" s="33" t="str">
        <f t="shared" si="1"/>
        <v/>
      </c>
      <c r="C470" s="39" t="str">
        <f>IF(A470="","",IFERROR(VLOOKUP(A470,BOOKINGS!$A:$Q,8,FALSE),BOOKINGS!B470))</f>
        <v/>
      </c>
      <c r="D470" s="38" t="str">
        <f>IF(A470="","",PROFITABILITY!B470)</f>
        <v/>
      </c>
      <c r="E470" s="38" t="str">
        <f>IF(A470="","",SETUP_RATES!$K$4)</f>
        <v/>
      </c>
      <c r="F470" s="38" t="str">
        <f t="shared" si="2"/>
        <v/>
      </c>
      <c r="G470" s="33" t="str">
        <f t="shared" si="3"/>
        <v/>
      </c>
      <c r="H470" s="39" t="str">
        <f>IF(C470="","",C470+IFERROR(VLOOKUP(VLOOKUP(A470,BOOKINGS!$A:$Q,3,FALSE),CLIENTS!$A:$H,6,FALSE),30))</f>
        <v/>
      </c>
      <c r="I470" s="33" t="str">
        <f>IF(A470="","",IFERROR(VLOOKUP(B470,COLLECTIONS!$A:$I,7,FALSE),"Unpaid"))</f>
        <v/>
      </c>
    </row>
    <row r="471" ht="15.75" customHeight="1">
      <c r="A471" s="33" t="str">
        <f>IF(PROFITABILITY!A471="","",PROFITABILITY!A471)</f>
        <v/>
      </c>
      <c r="B471" s="33" t="str">
        <f t="shared" si="1"/>
        <v/>
      </c>
      <c r="C471" s="39" t="str">
        <f>IF(A471="","",IFERROR(VLOOKUP(A471,BOOKINGS!$A:$Q,8,FALSE),BOOKINGS!B471))</f>
        <v/>
      </c>
      <c r="D471" s="38" t="str">
        <f>IF(A471="","",PROFITABILITY!B471)</f>
        <v/>
      </c>
      <c r="E471" s="38" t="str">
        <f>IF(A471="","",SETUP_RATES!$K$4)</f>
        <v/>
      </c>
      <c r="F471" s="38" t="str">
        <f t="shared" si="2"/>
        <v/>
      </c>
      <c r="G471" s="33" t="str">
        <f t="shared" si="3"/>
        <v/>
      </c>
      <c r="H471" s="39" t="str">
        <f>IF(C471="","",C471+IFERROR(VLOOKUP(VLOOKUP(A471,BOOKINGS!$A:$Q,3,FALSE),CLIENTS!$A:$H,6,FALSE),30))</f>
        <v/>
      </c>
      <c r="I471" s="33" t="str">
        <f>IF(A471="","",IFERROR(VLOOKUP(B471,COLLECTIONS!$A:$I,7,FALSE),"Unpaid"))</f>
        <v/>
      </c>
    </row>
    <row r="472" ht="15.75" customHeight="1">
      <c r="A472" s="33" t="str">
        <f>IF(PROFITABILITY!A472="","",PROFITABILITY!A472)</f>
        <v/>
      </c>
      <c r="B472" s="33" t="str">
        <f t="shared" si="1"/>
        <v/>
      </c>
      <c r="C472" s="39" t="str">
        <f>IF(A472="","",IFERROR(VLOOKUP(A472,BOOKINGS!$A:$Q,8,FALSE),BOOKINGS!B472))</f>
        <v/>
      </c>
      <c r="D472" s="38" t="str">
        <f>IF(A472="","",PROFITABILITY!B472)</f>
        <v/>
      </c>
      <c r="E472" s="38" t="str">
        <f>IF(A472="","",SETUP_RATES!$K$4)</f>
        <v/>
      </c>
      <c r="F472" s="38" t="str">
        <f t="shared" si="2"/>
        <v/>
      </c>
      <c r="G472" s="33" t="str">
        <f t="shared" si="3"/>
        <v/>
      </c>
      <c r="H472" s="39" t="str">
        <f>IF(C472="","",C472+IFERROR(VLOOKUP(VLOOKUP(A472,BOOKINGS!$A:$Q,3,FALSE),CLIENTS!$A:$H,6,FALSE),30))</f>
        <v/>
      </c>
      <c r="I472" s="33" t="str">
        <f>IF(A472="","",IFERROR(VLOOKUP(B472,COLLECTIONS!$A:$I,7,FALSE),"Unpaid"))</f>
        <v/>
      </c>
    </row>
    <row r="473" ht="15.75" customHeight="1">
      <c r="A473" s="33" t="str">
        <f>IF(PROFITABILITY!A473="","",PROFITABILITY!A473)</f>
        <v/>
      </c>
      <c r="B473" s="33" t="str">
        <f t="shared" si="1"/>
        <v/>
      </c>
      <c r="C473" s="39" t="str">
        <f>IF(A473="","",IFERROR(VLOOKUP(A473,BOOKINGS!$A:$Q,8,FALSE),BOOKINGS!B473))</f>
        <v/>
      </c>
      <c r="D473" s="38" t="str">
        <f>IF(A473="","",PROFITABILITY!B473)</f>
        <v/>
      </c>
      <c r="E473" s="38" t="str">
        <f>IF(A473="","",SETUP_RATES!$K$4)</f>
        <v/>
      </c>
      <c r="F473" s="38" t="str">
        <f t="shared" si="2"/>
        <v/>
      </c>
      <c r="G473" s="33" t="str">
        <f t="shared" si="3"/>
        <v/>
      </c>
      <c r="H473" s="39" t="str">
        <f>IF(C473="","",C473+IFERROR(VLOOKUP(VLOOKUP(A473,BOOKINGS!$A:$Q,3,FALSE),CLIENTS!$A:$H,6,FALSE),30))</f>
        <v/>
      </c>
      <c r="I473" s="33" t="str">
        <f>IF(A473="","",IFERROR(VLOOKUP(B473,COLLECTIONS!$A:$I,7,FALSE),"Unpaid"))</f>
        <v/>
      </c>
    </row>
    <row r="474" ht="15.75" customHeight="1">
      <c r="A474" s="33" t="str">
        <f>IF(PROFITABILITY!A474="","",PROFITABILITY!A474)</f>
        <v/>
      </c>
      <c r="B474" s="33" t="str">
        <f t="shared" si="1"/>
        <v/>
      </c>
      <c r="C474" s="39" t="str">
        <f>IF(A474="","",IFERROR(VLOOKUP(A474,BOOKINGS!$A:$Q,8,FALSE),BOOKINGS!B474))</f>
        <v/>
      </c>
      <c r="D474" s="38" t="str">
        <f>IF(A474="","",PROFITABILITY!B474)</f>
        <v/>
      </c>
      <c r="E474" s="38" t="str">
        <f>IF(A474="","",SETUP_RATES!$K$4)</f>
        <v/>
      </c>
      <c r="F474" s="38" t="str">
        <f t="shared" si="2"/>
        <v/>
      </c>
      <c r="G474" s="33" t="str">
        <f t="shared" si="3"/>
        <v/>
      </c>
      <c r="H474" s="39" t="str">
        <f>IF(C474="","",C474+IFERROR(VLOOKUP(VLOOKUP(A474,BOOKINGS!$A:$Q,3,FALSE),CLIENTS!$A:$H,6,FALSE),30))</f>
        <v/>
      </c>
      <c r="I474" s="33" t="str">
        <f>IF(A474="","",IFERROR(VLOOKUP(B474,COLLECTIONS!$A:$I,7,FALSE),"Unpaid"))</f>
        <v/>
      </c>
    </row>
    <row r="475" ht="15.75" customHeight="1">
      <c r="A475" s="33" t="str">
        <f>IF(PROFITABILITY!A475="","",PROFITABILITY!A475)</f>
        <v/>
      </c>
      <c r="B475" s="33" t="str">
        <f t="shared" si="1"/>
        <v/>
      </c>
      <c r="C475" s="39" t="str">
        <f>IF(A475="","",IFERROR(VLOOKUP(A475,BOOKINGS!$A:$Q,8,FALSE),BOOKINGS!B475))</f>
        <v/>
      </c>
      <c r="D475" s="38" t="str">
        <f>IF(A475="","",PROFITABILITY!B475)</f>
        <v/>
      </c>
      <c r="E475" s="38" t="str">
        <f>IF(A475="","",SETUP_RATES!$K$4)</f>
        <v/>
      </c>
      <c r="F475" s="38" t="str">
        <f t="shared" si="2"/>
        <v/>
      </c>
      <c r="G475" s="33" t="str">
        <f t="shared" si="3"/>
        <v/>
      </c>
      <c r="H475" s="39" t="str">
        <f>IF(C475="","",C475+IFERROR(VLOOKUP(VLOOKUP(A475,BOOKINGS!$A:$Q,3,FALSE),CLIENTS!$A:$H,6,FALSE),30))</f>
        <v/>
      </c>
      <c r="I475" s="33" t="str">
        <f>IF(A475="","",IFERROR(VLOOKUP(B475,COLLECTIONS!$A:$I,7,FALSE),"Unpaid"))</f>
        <v/>
      </c>
    </row>
    <row r="476" ht="15.75" customHeight="1">
      <c r="A476" s="33" t="str">
        <f>IF(PROFITABILITY!A476="","",PROFITABILITY!A476)</f>
        <v/>
      </c>
      <c r="B476" s="33" t="str">
        <f t="shared" si="1"/>
        <v/>
      </c>
      <c r="C476" s="39" t="str">
        <f>IF(A476="","",IFERROR(VLOOKUP(A476,BOOKINGS!$A:$Q,8,FALSE),BOOKINGS!B476))</f>
        <v/>
      </c>
      <c r="D476" s="38" t="str">
        <f>IF(A476="","",PROFITABILITY!B476)</f>
        <v/>
      </c>
      <c r="E476" s="38" t="str">
        <f>IF(A476="","",SETUP_RATES!$K$4)</f>
        <v/>
      </c>
      <c r="F476" s="38" t="str">
        <f t="shared" si="2"/>
        <v/>
      </c>
      <c r="G476" s="33" t="str">
        <f t="shared" si="3"/>
        <v/>
      </c>
      <c r="H476" s="39" t="str">
        <f>IF(C476="","",C476+IFERROR(VLOOKUP(VLOOKUP(A476,BOOKINGS!$A:$Q,3,FALSE),CLIENTS!$A:$H,6,FALSE),30))</f>
        <v/>
      </c>
      <c r="I476" s="33" t="str">
        <f>IF(A476="","",IFERROR(VLOOKUP(B476,COLLECTIONS!$A:$I,7,FALSE),"Unpaid"))</f>
        <v/>
      </c>
    </row>
    <row r="477" ht="15.75" customHeight="1">
      <c r="A477" s="33" t="str">
        <f>IF(PROFITABILITY!A477="","",PROFITABILITY!A477)</f>
        <v/>
      </c>
      <c r="B477" s="33" t="str">
        <f t="shared" si="1"/>
        <v/>
      </c>
      <c r="C477" s="39" t="str">
        <f>IF(A477="","",IFERROR(VLOOKUP(A477,BOOKINGS!$A:$Q,8,FALSE),BOOKINGS!B477))</f>
        <v/>
      </c>
      <c r="D477" s="38" t="str">
        <f>IF(A477="","",PROFITABILITY!B477)</f>
        <v/>
      </c>
      <c r="E477" s="38" t="str">
        <f>IF(A477="","",SETUP_RATES!$K$4)</f>
        <v/>
      </c>
      <c r="F477" s="38" t="str">
        <f t="shared" si="2"/>
        <v/>
      </c>
      <c r="G477" s="33" t="str">
        <f t="shared" si="3"/>
        <v/>
      </c>
      <c r="H477" s="39" t="str">
        <f>IF(C477="","",C477+IFERROR(VLOOKUP(VLOOKUP(A477,BOOKINGS!$A:$Q,3,FALSE),CLIENTS!$A:$H,6,FALSE),30))</f>
        <v/>
      </c>
      <c r="I477" s="33" t="str">
        <f>IF(A477="","",IFERROR(VLOOKUP(B477,COLLECTIONS!$A:$I,7,FALSE),"Unpaid"))</f>
        <v/>
      </c>
    </row>
    <row r="478" ht="15.75" customHeight="1">
      <c r="A478" s="33" t="str">
        <f>IF(PROFITABILITY!A478="","",PROFITABILITY!A478)</f>
        <v/>
      </c>
      <c r="B478" s="33" t="str">
        <f t="shared" si="1"/>
        <v/>
      </c>
      <c r="C478" s="39" t="str">
        <f>IF(A478="","",IFERROR(VLOOKUP(A478,BOOKINGS!$A:$Q,8,FALSE),BOOKINGS!B478))</f>
        <v/>
      </c>
      <c r="D478" s="38" t="str">
        <f>IF(A478="","",PROFITABILITY!B478)</f>
        <v/>
      </c>
      <c r="E478" s="38" t="str">
        <f>IF(A478="","",SETUP_RATES!$K$4)</f>
        <v/>
      </c>
      <c r="F478" s="38" t="str">
        <f t="shared" si="2"/>
        <v/>
      </c>
      <c r="G478" s="33" t="str">
        <f t="shared" si="3"/>
        <v/>
      </c>
      <c r="H478" s="39" t="str">
        <f>IF(C478="","",C478+IFERROR(VLOOKUP(VLOOKUP(A478,BOOKINGS!$A:$Q,3,FALSE),CLIENTS!$A:$H,6,FALSE),30))</f>
        <v/>
      </c>
      <c r="I478" s="33" t="str">
        <f>IF(A478="","",IFERROR(VLOOKUP(B478,COLLECTIONS!$A:$I,7,FALSE),"Unpaid"))</f>
        <v/>
      </c>
    </row>
    <row r="479" ht="15.75" customHeight="1">
      <c r="A479" s="33" t="str">
        <f>IF(PROFITABILITY!A479="","",PROFITABILITY!A479)</f>
        <v/>
      </c>
      <c r="B479" s="33" t="str">
        <f t="shared" si="1"/>
        <v/>
      </c>
      <c r="C479" s="39" t="str">
        <f>IF(A479="","",IFERROR(VLOOKUP(A479,BOOKINGS!$A:$Q,8,FALSE),BOOKINGS!B479))</f>
        <v/>
      </c>
      <c r="D479" s="38" t="str">
        <f>IF(A479="","",PROFITABILITY!B479)</f>
        <v/>
      </c>
      <c r="E479" s="38" t="str">
        <f>IF(A479="","",SETUP_RATES!$K$4)</f>
        <v/>
      </c>
      <c r="F479" s="38" t="str">
        <f t="shared" si="2"/>
        <v/>
      </c>
      <c r="G479" s="33" t="str">
        <f t="shared" si="3"/>
        <v/>
      </c>
      <c r="H479" s="39" t="str">
        <f>IF(C479="","",C479+IFERROR(VLOOKUP(VLOOKUP(A479,BOOKINGS!$A:$Q,3,FALSE),CLIENTS!$A:$H,6,FALSE),30))</f>
        <v/>
      </c>
      <c r="I479" s="33" t="str">
        <f>IF(A479="","",IFERROR(VLOOKUP(B479,COLLECTIONS!$A:$I,7,FALSE),"Unpaid"))</f>
        <v/>
      </c>
    </row>
    <row r="480" ht="15.75" customHeight="1">
      <c r="A480" s="33" t="str">
        <f>IF(PROFITABILITY!A480="","",PROFITABILITY!A480)</f>
        <v/>
      </c>
      <c r="B480" s="33" t="str">
        <f t="shared" si="1"/>
        <v/>
      </c>
      <c r="C480" s="39" t="str">
        <f>IF(A480="","",IFERROR(VLOOKUP(A480,BOOKINGS!$A:$Q,8,FALSE),BOOKINGS!B480))</f>
        <v/>
      </c>
      <c r="D480" s="38" t="str">
        <f>IF(A480="","",PROFITABILITY!B480)</f>
        <v/>
      </c>
      <c r="E480" s="38" t="str">
        <f>IF(A480="","",SETUP_RATES!$K$4)</f>
        <v/>
      </c>
      <c r="F480" s="38" t="str">
        <f t="shared" si="2"/>
        <v/>
      </c>
      <c r="G480" s="33" t="str">
        <f t="shared" si="3"/>
        <v/>
      </c>
      <c r="H480" s="39" t="str">
        <f>IF(C480="","",C480+IFERROR(VLOOKUP(VLOOKUP(A480,BOOKINGS!$A:$Q,3,FALSE),CLIENTS!$A:$H,6,FALSE),30))</f>
        <v/>
      </c>
      <c r="I480" s="33" t="str">
        <f>IF(A480="","",IFERROR(VLOOKUP(B480,COLLECTIONS!$A:$I,7,FALSE),"Unpaid"))</f>
        <v/>
      </c>
    </row>
    <row r="481" ht="15.75" customHeight="1">
      <c r="A481" s="33" t="str">
        <f>IF(PROFITABILITY!A481="","",PROFITABILITY!A481)</f>
        <v/>
      </c>
      <c r="B481" s="33" t="str">
        <f t="shared" si="1"/>
        <v/>
      </c>
      <c r="C481" s="39" t="str">
        <f>IF(A481="","",IFERROR(VLOOKUP(A481,BOOKINGS!$A:$Q,8,FALSE),BOOKINGS!B481))</f>
        <v/>
      </c>
      <c r="D481" s="38" t="str">
        <f>IF(A481="","",PROFITABILITY!B481)</f>
        <v/>
      </c>
      <c r="E481" s="38" t="str">
        <f>IF(A481="","",SETUP_RATES!$K$4)</f>
        <v/>
      </c>
      <c r="F481" s="38" t="str">
        <f t="shared" si="2"/>
        <v/>
      </c>
      <c r="G481" s="33" t="str">
        <f t="shared" si="3"/>
        <v/>
      </c>
      <c r="H481" s="39" t="str">
        <f>IF(C481="","",C481+IFERROR(VLOOKUP(VLOOKUP(A481,BOOKINGS!$A:$Q,3,FALSE),CLIENTS!$A:$H,6,FALSE),30))</f>
        <v/>
      </c>
      <c r="I481" s="33" t="str">
        <f>IF(A481="","",IFERROR(VLOOKUP(B481,COLLECTIONS!$A:$I,7,FALSE),"Unpaid"))</f>
        <v/>
      </c>
    </row>
    <row r="482" ht="15.75" customHeight="1">
      <c r="A482" s="33" t="str">
        <f>IF(PROFITABILITY!A482="","",PROFITABILITY!A482)</f>
        <v/>
      </c>
      <c r="B482" s="33" t="str">
        <f t="shared" si="1"/>
        <v/>
      </c>
      <c r="C482" s="39" t="str">
        <f>IF(A482="","",IFERROR(VLOOKUP(A482,BOOKINGS!$A:$Q,8,FALSE),BOOKINGS!B482))</f>
        <v/>
      </c>
      <c r="D482" s="38" t="str">
        <f>IF(A482="","",PROFITABILITY!B482)</f>
        <v/>
      </c>
      <c r="E482" s="38" t="str">
        <f>IF(A482="","",SETUP_RATES!$K$4)</f>
        <v/>
      </c>
      <c r="F482" s="38" t="str">
        <f t="shared" si="2"/>
        <v/>
      </c>
      <c r="G482" s="33" t="str">
        <f t="shared" si="3"/>
        <v/>
      </c>
      <c r="H482" s="39" t="str">
        <f>IF(C482="","",C482+IFERROR(VLOOKUP(VLOOKUP(A482,BOOKINGS!$A:$Q,3,FALSE),CLIENTS!$A:$H,6,FALSE),30))</f>
        <v/>
      </c>
      <c r="I482" s="33" t="str">
        <f>IF(A482="","",IFERROR(VLOOKUP(B482,COLLECTIONS!$A:$I,7,FALSE),"Unpaid"))</f>
        <v/>
      </c>
    </row>
    <row r="483" ht="15.75" customHeight="1">
      <c r="A483" s="33" t="str">
        <f>IF(PROFITABILITY!A483="","",PROFITABILITY!A483)</f>
        <v/>
      </c>
      <c r="B483" s="33" t="str">
        <f t="shared" si="1"/>
        <v/>
      </c>
      <c r="C483" s="39" t="str">
        <f>IF(A483="","",IFERROR(VLOOKUP(A483,BOOKINGS!$A:$Q,8,FALSE),BOOKINGS!B483))</f>
        <v/>
      </c>
      <c r="D483" s="38" t="str">
        <f>IF(A483="","",PROFITABILITY!B483)</f>
        <v/>
      </c>
      <c r="E483" s="38" t="str">
        <f>IF(A483="","",SETUP_RATES!$K$4)</f>
        <v/>
      </c>
      <c r="F483" s="38" t="str">
        <f t="shared" si="2"/>
        <v/>
      </c>
      <c r="G483" s="33" t="str">
        <f t="shared" si="3"/>
        <v/>
      </c>
      <c r="H483" s="39" t="str">
        <f>IF(C483="","",C483+IFERROR(VLOOKUP(VLOOKUP(A483,BOOKINGS!$A:$Q,3,FALSE),CLIENTS!$A:$H,6,FALSE),30))</f>
        <v/>
      </c>
      <c r="I483" s="33" t="str">
        <f>IF(A483="","",IFERROR(VLOOKUP(B483,COLLECTIONS!$A:$I,7,FALSE),"Unpaid"))</f>
        <v/>
      </c>
    </row>
    <row r="484" ht="15.75" customHeight="1">
      <c r="A484" s="33" t="str">
        <f>IF(PROFITABILITY!A484="","",PROFITABILITY!A484)</f>
        <v/>
      </c>
      <c r="B484" s="33" t="str">
        <f t="shared" si="1"/>
        <v/>
      </c>
      <c r="C484" s="39" t="str">
        <f>IF(A484="","",IFERROR(VLOOKUP(A484,BOOKINGS!$A:$Q,8,FALSE),BOOKINGS!B484))</f>
        <v/>
      </c>
      <c r="D484" s="38" t="str">
        <f>IF(A484="","",PROFITABILITY!B484)</f>
        <v/>
      </c>
      <c r="E484" s="38" t="str">
        <f>IF(A484="","",SETUP_RATES!$K$4)</f>
        <v/>
      </c>
      <c r="F484" s="38" t="str">
        <f t="shared" si="2"/>
        <v/>
      </c>
      <c r="G484" s="33" t="str">
        <f t="shared" si="3"/>
        <v/>
      </c>
      <c r="H484" s="39" t="str">
        <f>IF(C484="","",C484+IFERROR(VLOOKUP(VLOOKUP(A484,BOOKINGS!$A:$Q,3,FALSE),CLIENTS!$A:$H,6,FALSE),30))</f>
        <v/>
      </c>
      <c r="I484" s="33" t="str">
        <f>IF(A484="","",IFERROR(VLOOKUP(B484,COLLECTIONS!$A:$I,7,FALSE),"Unpaid"))</f>
        <v/>
      </c>
    </row>
    <row r="485" ht="15.75" customHeight="1">
      <c r="A485" s="33" t="str">
        <f>IF(PROFITABILITY!A485="","",PROFITABILITY!A485)</f>
        <v/>
      </c>
      <c r="B485" s="33" t="str">
        <f t="shared" si="1"/>
        <v/>
      </c>
      <c r="C485" s="39" t="str">
        <f>IF(A485="","",IFERROR(VLOOKUP(A485,BOOKINGS!$A:$Q,8,FALSE),BOOKINGS!B485))</f>
        <v/>
      </c>
      <c r="D485" s="38" t="str">
        <f>IF(A485="","",PROFITABILITY!B485)</f>
        <v/>
      </c>
      <c r="E485" s="38" t="str">
        <f>IF(A485="","",SETUP_RATES!$K$4)</f>
        <v/>
      </c>
      <c r="F485" s="38" t="str">
        <f t="shared" si="2"/>
        <v/>
      </c>
      <c r="G485" s="33" t="str">
        <f t="shared" si="3"/>
        <v/>
      </c>
      <c r="H485" s="39" t="str">
        <f>IF(C485="","",C485+IFERROR(VLOOKUP(VLOOKUP(A485,BOOKINGS!$A:$Q,3,FALSE),CLIENTS!$A:$H,6,FALSE),30))</f>
        <v/>
      </c>
      <c r="I485" s="33" t="str">
        <f>IF(A485="","",IFERROR(VLOOKUP(B485,COLLECTIONS!$A:$I,7,FALSE),"Unpaid"))</f>
        <v/>
      </c>
    </row>
    <row r="486" ht="15.75" customHeight="1">
      <c r="A486" s="33" t="str">
        <f>IF(PROFITABILITY!A486="","",PROFITABILITY!A486)</f>
        <v/>
      </c>
      <c r="B486" s="33" t="str">
        <f t="shared" si="1"/>
        <v/>
      </c>
      <c r="C486" s="39" t="str">
        <f>IF(A486="","",IFERROR(VLOOKUP(A486,BOOKINGS!$A:$Q,8,FALSE),BOOKINGS!B486))</f>
        <v/>
      </c>
      <c r="D486" s="38" t="str">
        <f>IF(A486="","",PROFITABILITY!B486)</f>
        <v/>
      </c>
      <c r="E486" s="38" t="str">
        <f>IF(A486="","",SETUP_RATES!$K$4)</f>
        <v/>
      </c>
      <c r="F486" s="38" t="str">
        <f t="shared" si="2"/>
        <v/>
      </c>
      <c r="G486" s="33" t="str">
        <f t="shared" si="3"/>
        <v/>
      </c>
      <c r="H486" s="39" t="str">
        <f>IF(C486="","",C486+IFERROR(VLOOKUP(VLOOKUP(A486,BOOKINGS!$A:$Q,3,FALSE),CLIENTS!$A:$H,6,FALSE),30))</f>
        <v/>
      </c>
      <c r="I486" s="33" t="str">
        <f>IF(A486="","",IFERROR(VLOOKUP(B486,COLLECTIONS!$A:$I,7,FALSE),"Unpaid"))</f>
        <v/>
      </c>
    </row>
    <row r="487" ht="15.75" customHeight="1">
      <c r="A487" s="33" t="str">
        <f>IF(PROFITABILITY!A487="","",PROFITABILITY!A487)</f>
        <v/>
      </c>
      <c r="B487" s="33" t="str">
        <f t="shared" si="1"/>
        <v/>
      </c>
      <c r="C487" s="39" t="str">
        <f>IF(A487="","",IFERROR(VLOOKUP(A487,BOOKINGS!$A:$Q,8,FALSE),BOOKINGS!B487))</f>
        <v/>
      </c>
      <c r="D487" s="38" t="str">
        <f>IF(A487="","",PROFITABILITY!B487)</f>
        <v/>
      </c>
      <c r="E487" s="38" t="str">
        <f>IF(A487="","",SETUP_RATES!$K$4)</f>
        <v/>
      </c>
      <c r="F487" s="38" t="str">
        <f t="shared" si="2"/>
        <v/>
      </c>
      <c r="G487" s="33" t="str">
        <f t="shared" si="3"/>
        <v/>
      </c>
      <c r="H487" s="39" t="str">
        <f>IF(C487="","",C487+IFERROR(VLOOKUP(VLOOKUP(A487,BOOKINGS!$A:$Q,3,FALSE),CLIENTS!$A:$H,6,FALSE),30))</f>
        <v/>
      </c>
      <c r="I487" s="33" t="str">
        <f>IF(A487="","",IFERROR(VLOOKUP(B487,COLLECTIONS!$A:$I,7,FALSE),"Unpaid"))</f>
        <v/>
      </c>
    </row>
    <row r="488" ht="15.75" customHeight="1">
      <c r="A488" s="33" t="str">
        <f>IF(PROFITABILITY!A488="","",PROFITABILITY!A488)</f>
        <v/>
      </c>
      <c r="B488" s="33" t="str">
        <f t="shared" si="1"/>
        <v/>
      </c>
      <c r="C488" s="39" t="str">
        <f>IF(A488="","",IFERROR(VLOOKUP(A488,BOOKINGS!$A:$Q,8,FALSE),BOOKINGS!B488))</f>
        <v/>
      </c>
      <c r="D488" s="38" t="str">
        <f>IF(A488="","",PROFITABILITY!B488)</f>
        <v/>
      </c>
      <c r="E488" s="38" t="str">
        <f>IF(A488="","",SETUP_RATES!$K$4)</f>
        <v/>
      </c>
      <c r="F488" s="38" t="str">
        <f t="shared" si="2"/>
        <v/>
      </c>
      <c r="G488" s="33" t="str">
        <f t="shared" si="3"/>
        <v/>
      </c>
      <c r="H488" s="39" t="str">
        <f>IF(C488="","",C488+IFERROR(VLOOKUP(VLOOKUP(A488,BOOKINGS!$A:$Q,3,FALSE),CLIENTS!$A:$H,6,FALSE),30))</f>
        <v/>
      </c>
      <c r="I488" s="33" t="str">
        <f>IF(A488="","",IFERROR(VLOOKUP(B488,COLLECTIONS!$A:$I,7,FALSE),"Unpaid"))</f>
        <v/>
      </c>
    </row>
    <row r="489" ht="15.75" customHeight="1">
      <c r="A489" s="33" t="str">
        <f>IF(PROFITABILITY!A489="","",PROFITABILITY!A489)</f>
        <v/>
      </c>
      <c r="B489" s="33" t="str">
        <f t="shared" si="1"/>
        <v/>
      </c>
      <c r="C489" s="39" t="str">
        <f>IF(A489="","",IFERROR(VLOOKUP(A489,BOOKINGS!$A:$Q,8,FALSE),BOOKINGS!B489))</f>
        <v/>
      </c>
      <c r="D489" s="38" t="str">
        <f>IF(A489="","",PROFITABILITY!B489)</f>
        <v/>
      </c>
      <c r="E489" s="38" t="str">
        <f>IF(A489="","",SETUP_RATES!$K$4)</f>
        <v/>
      </c>
      <c r="F489" s="38" t="str">
        <f t="shared" si="2"/>
        <v/>
      </c>
      <c r="G489" s="33" t="str">
        <f t="shared" si="3"/>
        <v/>
      </c>
      <c r="H489" s="39" t="str">
        <f>IF(C489="","",C489+IFERROR(VLOOKUP(VLOOKUP(A489,BOOKINGS!$A:$Q,3,FALSE),CLIENTS!$A:$H,6,FALSE),30))</f>
        <v/>
      </c>
      <c r="I489" s="33" t="str">
        <f>IF(A489="","",IFERROR(VLOOKUP(B489,COLLECTIONS!$A:$I,7,FALSE),"Unpaid"))</f>
        <v/>
      </c>
    </row>
    <row r="490" ht="15.75" customHeight="1">
      <c r="A490" s="33" t="str">
        <f>IF(PROFITABILITY!A490="","",PROFITABILITY!A490)</f>
        <v/>
      </c>
      <c r="B490" s="33" t="str">
        <f t="shared" si="1"/>
        <v/>
      </c>
      <c r="C490" s="39" t="str">
        <f>IF(A490="","",IFERROR(VLOOKUP(A490,BOOKINGS!$A:$Q,8,FALSE),BOOKINGS!B490))</f>
        <v/>
      </c>
      <c r="D490" s="38" t="str">
        <f>IF(A490="","",PROFITABILITY!B490)</f>
        <v/>
      </c>
      <c r="E490" s="38" t="str">
        <f>IF(A490="","",SETUP_RATES!$K$4)</f>
        <v/>
      </c>
      <c r="F490" s="38" t="str">
        <f t="shared" si="2"/>
        <v/>
      </c>
      <c r="G490" s="33" t="str">
        <f t="shared" si="3"/>
        <v/>
      </c>
      <c r="H490" s="39" t="str">
        <f>IF(C490="","",C490+IFERROR(VLOOKUP(VLOOKUP(A490,BOOKINGS!$A:$Q,3,FALSE),CLIENTS!$A:$H,6,FALSE),30))</f>
        <v/>
      </c>
      <c r="I490" s="33" t="str">
        <f>IF(A490="","",IFERROR(VLOOKUP(B490,COLLECTIONS!$A:$I,7,FALSE),"Unpaid"))</f>
        <v/>
      </c>
    </row>
    <row r="491" ht="15.75" customHeight="1">
      <c r="A491" s="33" t="str">
        <f>IF(PROFITABILITY!A491="","",PROFITABILITY!A491)</f>
        <v/>
      </c>
      <c r="B491" s="33" t="str">
        <f t="shared" si="1"/>
        <v/>
      </c>
      <c r="C491" s="39" t="str">
        <f>IF(A491="","",IFERROR(VLOOKUP(A491,BOOKINGS!$A:$Q,8,FALSE),BOOKINGS!B491))</f>
        <v/>
      </c>
      <c r="D491" s="38" t="str">
        <f>IF(A491="","",PROFITABILITY!B491)</f>
        <v/>
      </c>
      <c r="E491" s="38" t="str">
        <f>IF(A491="","",SETUP_RATES!$K$4)</f>
        <v/>
      </c>
      <c r="F491" s="38" t="str">
        <f t="shared" si="2"/>
        <v/>
      </c>
      <c r="G491" s="33" t="str">
        <f t="shared" si="3"/>
        <v/>
      </c>
      <c r="H491" s="39" t="str">
        <f>IF(C491="","",C491+IFERROR(VLOOKUP(VLOOKUP(A491,BOOKINGS!$A:$Q,3,FALSE),CLIENTS!$A:$H,6,FALSE),30))</f>
        <v/>
      </c>
      <c r="I491" s="33" t="str">
        <f>IF(A491="","",IFERROR(VLOOKUP(B491,COLLECTIONS!$A:$I,7,FALSE),"Unpaid"))</f>
        <v/>
      </c>
    </row>
    <row r="492" ht="15.75" customHeight="1">
      <c r="A492" s="33" t="str">
        <f>IF(PROFITABILITY!A492="","",PROFITABILITY!A492)</f>
        <v/>
      </c>
      <c r="B492" s="33" t="str">
        <f t="shared" si="1"/>
        <v/>
      </c>
      <c r="C492" s="39" t="str">
        <f>IF(A492="","",IFERROR(VLOOKUP(A492,BOOKINGS!$A:$Q,8,FALSE),BOOKINGS!B492))</f>
        <v/>
      </c>
      <c r="D492" s="38" t="str">
        <f>IF(A492="","",PROFITABILITY!B492)</f>
        <v/>
      </c>
      <c r="E492" s="38" t="str">
        <f>IF(A492="","",SETUP_RATES!$K$4)</f>
        <v/>
      </c>
      <c r="F492" s="38" t="str">
        <f t="shared" si="2"/>
        <v/>
      </c>
      <c r="G492" s="33" t="str">
        <f t="shared" si="3"/>
        <v/>
      </c>
      <c r="H492" s="39" t="str">
        <f>IF(C492="","",C492+IFERROR(VLOOKUP(VLOOKUP(A492,BOOKINGS!$A:$Q,3,FALSE),CLIENTS!$A:$H,6,FALSE),30))</f>
        <v/>
      </c>
      <c r="I492" s="33" t="str">
        <f>IF(A492="","",IFERROR(VLOOKUP(B492,COLLECTIONS!$A:$I,7,FALSE),"Unpaid"))</f>
        <v/>
      </c>
    </row>
    <row r="493" ht="15.75" customHeight="1">
      <c r="A493" s="33" t="str">
        <f>IF(PROFITABILITY!A493="","",PROFITABILITY!A493)</f>
        <v/>
      </c>
      <c r="B493" s="33" t="str">
        <f t="shared" si="1"/>
        <v/>
      </c>
      <c r="C493" s="39" t="str">
        <f>IF(A493="","",IFERROR(VLOOKUP(A493,BOOKINGS!$A:$Q,8,FALSE),BOOKINGS!B493))</f>
        <v/>
      </c>
      <c r="D493" s="38" t="str">
        <f>IF(A493="","",PROFITABILITY!B493)</f>
        <v/>
      </c>
      <c r="E493" s="38" t="str">
        <f>IF(A493="","",SETUP_RATES!$K$4)</f>
        <v/>
      </c>
      <c r="F493" s="38" t="str">
        <f t="shared" si="2"/>
        <v/>
      </c>
      <c r="G493" s="33" t="str">
        <f t="shared" si="3"/>
        <v/>
      </c>
      <c r="H493" s="39" t="str">
        <f>IF(C493="","",C493+IFERROR(VLOOKUP(VLOOKUP(A493,BOOKINGS!$A:$Q,3,FALSE),CLIENTS!$A:$H,6,FALSE),30))</f>
        <v/>
      </c>
      <c r="I493" s="33" t="str">
        <f>IF(A493="","",IFERROR(VLOOKUP(B493,COLLECTIONS!$A:$I,7,FALSE),"Unpaid"))</f>
        <v/>
      </c>
    </row>
    <row r="494" ht="15.75" customHeight="1">
      <c r="A494" s="33" t="str">
        <f>IF(PROFITABILITY!A494="","",PROFITABILITY!A494)</f>
        <v/>
      </c>
      <c r="B494" s="33" t="str">
        <f t="shared" si="1"/>
        <v/>
      </c>
      <c r="C494" s="39" t="str">
        <f>IF(A494="","",IFERROR(VLOOKUP(A494,BOOKINGS!$A:$Q,8,FALSE),BOOKINGS!B494))</f>
        <v/>
      </c>
      <c r="D494" s="38" t="str">
        <f>IF(A494="","",PROFITABILITY!B494)</f>
        <v/>
      </c>
      <c r="E494" s="38" t="str">
        <f>IF(A494="","",SETUP_RATES!$K$4)</f>
        <v/>
      </c>
      <c r="F494" s="38" t="str">
        <f t="shared" si="2"/>
        <v/>
      </c>
      <c r="G494" s="33" t="str">
        <f t="shared" si="3"/>
        <v/>
      </c>
      <c r="H494" s="39" t="str">
        <f>IF(C494="","",C494+IFERROR(VLOOKUP(VLOOKUP(A494,BOOKINGS!$A:$Q,3,FALSE),CLIENTS!$A:$H,6,FALSE),30))</f>
        <v/>
      </c>
      <c r="I494" s="33" t="str">
        <f>IF(A494="","",IFERROR(VLOOKUP(B494,COLLECTIONS!$A:$I,7,FALSE),"Unpaid"))</f>
        <v/>
      </c>
    </row>
    <row r="495" ht="15.75" customHeight="1">
      <c r="A495" s="33" t="str">
        <f>IF(PROFITABILITY!A495="","",PROFITABILITY!A495)</f>
        <v/>
      </c>
      <c r="B495" s="33" t="str">
        <f t="shared" si="1"/>
        <v/>
      </c>
      <c r="C495" s="39" t="str">
        <f>IF(A495="","",IFERROR(VLOOKUP(A495,BOOKINGS!$A:$Q,8,FALSE),BOOKINGS!B495))</f>
        <v/>
      </c>
      <c r="D495" s="38" t="str">
        <f>IF(A495="","",PROFITABILITY!B495)</f>
        <v/>
      </c>
      <c r="E495" s="38" t="str">
        <f>IF(A495="","",SETUP_RATES!$K$4)</f>
        <v/>
      </c>
      <c r="F495" s="38" t="str">
        <f t="shared" si="2"/>
        <v/>
      </c>
      <c r="G495" s="33" t="str">
        <f t="shared" si="3"/>
        <v/>
      </c>
      <c r="H495" s="39" t="str">
        <f>IF(C495="","",C495+IFERROR(VLOOKUP(VLOOKUP(A495,BOOKINGS!$A:$Q,3,FALSE),CLIENTS!$A:$H,6,FALSE),30))</f>
        <v/>
      </c>
      <c r="I495" s="33" t="str">
        <f>IF(A495="","",IFERROR(VLOOKUP(B495,COLLECTIONS!$A:$I,7,FALSE),"Unpaid"))</f>
        <v/>
      </c>
    </row>
    <row r="496" ht="15.75" customHeight="1">
      <c r="A496" s="33" t="str">
        <f>IF(PROFITABILITY!A496="","",PROFITABILITY!A496)</f>
        <v/>
      </c>
      <c r="B496" s="33" t="str">
        <f t="shared" si="1"/>
        <v/>
      </c>
      <c r="C496" s="39" t="str">
        <f>IF(A496="","",IFERROR(VLOOKUP(A496,BOOKINGS!$A:$Q,8,FALSE),BOOKINGS!B496))</f>
        <v/>
      </c>
      <c r="D496" s="38" t="str">
        <f>IF(A496="","",PROFITABILITY!B496)</f>
        <v/>
      </c>
      <c r="E496" s="38" t="str">
        <f>IF(A496="","",SETUP_RATES!$K$4)</f>
        <v/>
      </c>
      <c r="F496" s="38" t="str">
        <f t="shared" si="2"/>
        <v/>
      </c>
      <c r="G496" s="33" t="str">
        <f t="shared" si="3"/>
        <v/>
      </c>
      <c r="H496" s="39" t="str">
        <f>IF(C496="","",C496+IFERROR(VLOOKUP(VLOOKUP(A496,BOOKINGS!$A:$Q,3,FALSE),CLIENTS!$A:$H,6,FALSE),30))</f>
        <v/>
      </c>
      <c r="I496" s="33" t="str">
        <f>IF(A496="","",IFERROR(VLOOKUP(B496,COLLECTIONS!$A:$I,7,FALSE),"Unpaid"))</f>
        <v/>
      </c>
    </row>
    <row r="497" ht="15.75" customHeight="1">
      <c r="A497" s="33" t="str">
        <f>IF(PROFITABILITY!A497="","",PROFITABILITY!A497)</f>
        <v/>
      </c>
      <c r="B497" s="33" t="str">
        <f t="shared" si="1"/>
        <v/>
      </c>
      <c r="C497" s="39" t="str">
        <f>IF(A497="","",IFERROR(VLOOKUP(A497,BOOKINGS!$A:$Q,8,FALSE),BOOKINGS!B497))</f>
        <v/>
      </c>
      <c r="D497" s="38" t="str">
        <f>IF(A497="","",PROFITABILITY!B497)</f>
        <v/>
      </c>
      <c r="E497" s="38" t="str">
        <f>IF(A497="","",SETUP_RATES!$K$4)</f>
        <v/>
      </c>
      <c r="F497" s="38" t="str">
        <f t="shared" si="2"/>
        <v/>
      </c>
      <c r="G497" s="33" t="str">
        <f t="shared" si="3"/>
        <v/>
      </c>
      <c r="H497" s="39" t="str">
        <f>IF(C497="","",C497+IFERROR(VLOOKUP(VLOOKUP(A497,BOOKINGS!$A:$Q,3,FALSE),CLIENTS!$A:$H,6,FALSE),30))</f>
        <v/>
      </c>
      <c r="I497" s="33" t="str">
        <f>IF(A497="","",IFERROR(VLOOKUP(B497,COLLECTIONS!$A:$I,7,FALSE),"Unpaid"))</f>
        <v/>
      </c>
    </row>
    <row r="498" ht="15.75" customHeight="1">
      <c r="A498" s="33" t="str">
        <f>IF(PROFITABILITY!A498="","",PROFITABILITY!A498)</f>
        <v/>
      </c>
      <c r="B498" s="33" t="str">
        <f t="shared" si="1"/>
        <v/>
      </c>
      <c r="C498" s="39" t="str">
        <f>IF(A498="","",IFERROR(VLOOKUP(A498,BOOKINGS!$A:$Q,8,FALSE),BOOKINGS!B498))</f>
        <v/>
      </c>
      <c r="D498" s="38" t="str">
        <f>IF(A498="","",PROFITABILITY!B498)</f>
        <v/>
      </c>
      <c r="E498" s="38" t="str">
        <f>IF(A498="","",SETUP_RATES!$K$4)</f>
        <v/>
      </c>
      <c r="F498" s="38" t="str">
        <f t="shared" si="2"/>
        <v/>
      </c>
      <c r="G498" s="33" t="str">
        <f t="shared" si="3"/>
        <v/>
      </c>
      <c r="H498" s="39" t="str">
        <f>IF(C498="","",C498+IFERROR(VLOOKUP(VLOOKUP(A498,BOOKINGS!$A:$Q,3,FALSE),CLIENTS!$A:$H,6,FALSE),30))</f>
        <v/>
      </c>
      <c r="I498" s="33" t="str">
        <f>IF(A498="","",IFERROR(VLOOKUP(B498,COLLECTIONS!$A:$I,7,FALSE),"Unpaid"))</f>
        <v/>
      </c>
    </row>
    <row r="499" ht="15.75" customHeight="1">
      <c r="A499" s="33" t="str">
        <f>IF(PROFITABILITY!A499="","",PROFITABILITY!A499)</f>
        <v/>
      </c>
      <c r="B499" s="33" t="str">
        <f t="shared" si="1"/>
        <v/>
      </c>
      <c r="C499" s="39" t="str">
        <f>IF(A499="","",IFERROR(VLOOKUP(A499,BOOKINGS!$A:$Q,8,FALSE),BOOKINGS!B499))</f>
        <v/>
      </c>
      <c r="D499" s="38" t="str">
        <f>IF(A499="","",PROFITABILITY!B499)</f>
        <v/>
      </c>
      <c r="E499" s="38" t="str">
        <f>IF(A499="","",SETUP_RATES!$K$4)</f>
        <v/>
      </c>
      <c r="F499" s="38" t="str">
        <f t="shared" si="2"/>
        <v/>
      </c>
      <c r="G499" s="33" t="str">
        <f t="shared" si="3"/>
        <v/>
      </c>
      <c r="H499" s="39" t="str">
        <f>IF(C499="","",C499+IFERROR(VLOOKUP(VLOOKUP(A499,BOOKINGS!$A:$Q,3,FALSE),CLIENTS!$A:$H,6,FALSE),30))</f>
        <v/>
      </c>
      <c r="I499" s="33" t="str">
        <f>IF(A499="","",IFERROR(VLOOKUP(B499,COLLECTIONS!$A:$I,7,FALSE),"Unpaid"))</f>
        <v/>
      </c>
    </row>
    <row r="500" ht="15.75" customHeight="1">
      <c r="A500" s="33" t="str">
        <f>IF(PROFITABILITY!A500="","",PROFITABILITY!A500)</f>
        <v/>
      </c>
      <c r="B500" s="33" t="str">
        <f t="shared" si="1"/>
        <v/>
      </c>
      <c r="C500" s="39" t="str">
        <f>IF(A500="","",IFERROR(VLOOKUP(A500,BOOKINGS!$A:$Q,8,FALSE),BOOKINGS!B500))</f>
        <v/>
      </c>
      <c r="D500" s="38" t="str">
        <f>IF(A500="","",PROFITABILITY!B500)</f>
        <v/>
      </c>
      <c r="E500" s="38" t="str">
        <f>IF(A500="","",SETUP_RATES!$K$4)</f>
        <v/>
      </c>
      <c r="F500" s="38" t="str">
        <f t="shared" si="2"/>
        <v/>
      </c>
      <c r="G500" s="33" t="str">
        <f t="shared" si="3"/>
        <v/>
      </c>
      <c r="H500" s="39" t="str">
        <f>IF(C500="","",C500+IFERROR(VLOOKUP(VLOOKUP(A500,BOOKINGS!$A:$Q,3,FALSE),CLIENTS!$A:$H,6,FALSE),30))</f>
        <v/>
      </c>
      <c r="I500" s="33" t="str">
        <f>IF(A500="","",IFERROR(VLOOKUP(B500,COLLECTIONS!$A:$I,7,FALSE),"Unpaid"))</f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00">
    <cfRule type="expression" dxfId="4" priority="1">
      <formula>G2="Overdue"</formula>
    </cfRule>
  </conditionalFormatting>
  <dataValidations>
    <dataValidation type="list" allowBlank="1" sqref="G2:G500">
      <formula1>"Draft,Billed,Overdue,Paid"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6.14"/>
    <col customWidth="1" min="3" max="3" width="13.71"/>
    <col customWidth="1" min="4" max="4" width="13.86"/>
    <col customWidth="1" min="5" max="5" width="8.43"/>
    <col customWidth="1" min="6" max="6" width="10.29"/>
    <col customWidth="1" min="7" max="7" width="6.57"/>
    <col customWidth="1" min="8" max="8" width="11.71"/>
    <col customWidth="1" min="9" max="9" width="13.86"/>
    <col customWidth="1" hidden="1" min="10" max="17" width="8.71"/>
    <col customWidth="1" min="18" max="26" width="8.71"/>
  </cols>
  <sheetData>
    <row r="1" ht="16.5" customHeight="1">
      <c r="A1" s="29" t="s">
        <v>171</v>
      </c>
      <c r="B1" s="29" t="s">
        <v>178</v>
      </c>
      <c r="C1" s="29" t="s">
        <v>179</v>
      </c>
      <c r="D1" s="29" t="s">
        <v>180</v>
      </c>
      <c r="E1" s="29" t="s">
        <v>181</v>
      </c>
      <c r="F1" s="29" t="s">
        <v>182</v>
      </c>
      <c r="G1" s="29" t="s">
        <v>23</v>
      </c>
      <c r="H1" s="3" t="s">
        <v>183</v>
      </c>
      <c r="I1" s="3" t="s">
        <v>184</v>
      </c>
      <c r="J1" s="3"/>
      <c r="K1" s="3"/>
      <c r="L1" s="3"/>
      <c r="M1" s="3"/>
      <c r="N1" s="3"/>
      <c r="O1" s="3"/>
      <c r="P1" s="3"/>
      <c r="Q1" s="3"/>
    </row>
    <row r="2" ht="16.5" customHeight="1">
      <c r="A2" s="31" t="str">
        <f>IF(BILLING!B2="","",BILLING!B2)</f>
        <v/>
      </c>
      <c r="B2" s="31" t="str">
        <f>IF(A2="","",IFERROR(VLOOKUP(VLOOKUP(VLOOKUP(A2,BILLING!$B:$I,7,FALSE),BOOKINGS!$A:$Q,3,FALSE),CLIENTS!$A:$H,2,FALSE),""))</f>
        <v/>
      </c>
      <c r="C2" s="37" t="str">
        <f>IF(A2="","",IFERROR(VLOOKUP(A2,BILLING!$B:$I,5,FALSE),0))</f>
        <v/>
      </c>
      <c r="D2" s="37"/>
      <c r="E2" s="37" t="str">
        <f t="shared" ref="E2:E500" si="1">IF(A2="","",C2-IFERROR(D2,0))</f>
        <v/>
      </c>
      <c r="F2" s="35"/>
      <c r="G2" s="31" t="str">
        <f t="shared" ref="G2:G500" si="2">IF(A2="","",IF(E2&lt;=0,"Paid",IF(D2&gt;0,"Partial","Unpaid")))</f>
        <v/>
      </c>
      <c r="H2" s="33" t="str">
        <f>IF(OR(A2="",F2=""),"",F2-VLOOKUP(A2,BILLING!$B:$I,7,FALSE))</f>
        <v/>
      </c>
      <c r="I2" s="33" t="str">
        <f>IF(A2="","",IF(E2&lt;=0,"Current",IF(TODAY()-VLOOKUP(A2,BILLING!$B:$I,7,FALSE)&lt;=30,"0-30 Days",IF(TODAY()-VLOOKUP(A2,BILLING!$B:$I,7,FALSE)&lt;=60,"31-60 Days","61+ Days"))))</f>
        <v/>
      </c>
    </row>
    <row r="3" ht="16.5" customHeight="1">
      <c r="A3" s="33" t="str">
        <f>IF(BILLING!B3="","",BILLING!B3)</f>
        <v/>
      </c>
      <c r="B3" s="33" t="str">
        <f>IF(A3="","",IFERROR(VLOOKUP(VLOOKUP(VLOOKUP(A3,BILLING!$B:$I,7,FALSE),BOOKINGS!$A:$Q,3,FALSE),CLIENTS!$A:$H,2,FALSE),""))</f>
        <v/>
      </c>
      <c r="C3" s="38" t="str">
        <f>IF(A3="","",IFERROR(VLOOKUP(A3,BILLING!$B:$I,5,FALSE),0))</f>
        <v/>
      </c>
      <c r="D3" s="38"/>
      <c r="E3" s="38" t="str">
        <f t="shared" si="1"/>
        <v/>
      </c>
      <c r="F3" s="39"/>
      <c r="G3" s="33" t="str">
        <f t="shared" si="2"/>
        <v/>
      </c>
      <c r="H3" s="33" t="str">
        <f>IF(OR(A3="",F3=""),"",F3-VLOOKUP(A3,BILLING!$B:$I,7,FALSE))</f>
        <v/>
      </c>
      <c r="I3" s="33" t="str">
        <f>IF(A3="","",IF(E3&lt;=0,"Current",IF(TODAY()-VLOOKUP(A3,BILLING!$B:$I,7,FALSE)&lt;=30,"0-30 Days",IF(TODAY()-VLOOKUP(A3,BILLING!$B:$I,7,FALSE)&lt;=60,"31-60 Days","61+ Days"))))</f>
        <v/>
      </c>
    </row>
    <row r="4" ht="16.5" customHeight="1">
      <c r="A4" s="33" t="str">
        <f>IF(BILLING!B4="","",BILLING!B4)</f>
        <v/>
      </c>
      <c r="B4" s="33" t="str">
        <f>IF(A4="","",IFERROR(VLOOKUP(VLOOKUP(VLOOKUP(A4,BILLING!$B:$I,7,FALSE),BOOKINGS!$A:$Q,3,FALSE),CLIENTS!$A:$H,2,FALSE),""))</f>
        <v/>
      </c>
      <c r="C4" s="38" t="str">
        <f>IF(A4="","",IFERROR(VLOOKUP(A4,BILLING!$B:$I,5,FALSE),0))</f>
        <v/>
      </c>
      <c r="D4" s="38"/>
      <c r="E4" s="38" t="str">
        <f t="shared" si="1"/>
        <v/>
      </c>
      <c r="F4" s="39"/>
      <c r="G4" s="33" t="str">
        <f t="shared" si="2"/>
        <v/>
      </c>
      <c r="H4" s="33" t="str">
        <f>IF(OR(A4="",F4=""),"",F4-VLOOKUP(A4,BILLING!$B:$I,7,FALSE))</f>
        <v/>
      </c>
      <c r="I4" s="33" t="str">
        <f>IF(A4="","",IF(E4&lt;=0,"Current",IF(TODAY()-VLOOKUP(A4,BILLING!$B:$I,7,FALSE)&lt;=30,"0-30 Days",IF(TODAY()-VLOOKUP(A4,BILLING!$B:$I,7,FALSE)&lt;=60,"31-60 Days","61+ Days"))))</f>
        <v/>
      </c>
    </row>
    <row r="5" ht="16.5" customHeight="1">
      <c r="A5" s="33" t="str">
        <f>IF(BILLING!B5="","",BILLING!B5)</f>
        <v/>
      </c>
      <c r="B5" s="33" t="str">
        <f>IF(A5="","",IFERROR(VLOOKUP(VLOOKUP(VLOOKUP(A5,BILLING!$B:$I,7,FALSE),BOOKINGS!$A:$Q,3,FALSE),CLIENTS!$A:$H,2,FALSE),""))</f>
        <v/>
      </c>
      <c r="C5" s="38" t="str">
        <f>IF(A5="","",IFERROR(VLOOKUP(A5,BILLING!$B:$I,5,FALSE),0))</f>
        <v/>
      </c>
      <c r="D5" s="38"/>
      <c r="E5" s="38" t="str">
        <f t="shared" si="1"/>
        <v/>
      </c>
      <c r="F5" s="39"/>
      <c r="G5" s="33" t="str">
        <f t="shared" si="2"/>
        <v/>
      </c>
      <c r="H5" s="33" t="str">
        <f>IF(OR(A5="",F5=""),"",F5-VLOOKUP(A5,BILLING!$B:$I,7,FALSE))</f>
        <v/>
      </c>
      <c r="I5" s="33" t="str">
        <f>IF(A5="","",IF(E5&lt;=0,"Current",IF(TODAY()-VLOOKUP(A5,BILLING!$B:$I,7,FALSE)&lt;=30,"0-30 Days",IF(TODAY()-VLOOKUP(A5,BILLING!$B:$I,7,FALSE)&lt;=60,"31-60 Days","61+ Days"))))</f>
        <v/>
      </c>
    </row>
    <row r="6" ht="16.5" customHeight="1">
      <c r="A6" s="33" t="str">
        <f>IF(BILLING!B6="","",BILLING!B6)</f>
        <v/>
      </c>
      <c r="B6" s="33" t="str">
        <f>IF(A6="","",IFERROR(VLOOKUP(VLOOKUP(VLOOKUP(A6,BILLING!$B:$I,7,FALSE),BOOKINGS!$A:$Q,3,FALSE),CLIENTS!$A:$H,2,FALSE),""))</f>
        <v/>
      </c>
      <c r="C6" s="38" t="str">
        <f>IF(A6="","",IFERROR(VLOOKUP(A6,BILLING!$B:$I,5,FALSE),0))</f>
        <v/>
      </c>
      <c r="D6" s="38"/>
      <c r="E6" s="38" t="str">
        <f t="shared" si="1"/>
        <v/>
      </c>
      <c r="F6" s="39"/>
      <c r="G6" s="33" t="str">
        <f t="shared" si="2"/>
        <v/>
      </c>
      <c r="H6" s="33" t="str">
        <f>IF(OR(A6="",F6=""),"",F6-VLOOKUP(A6,BILLING!$B:$I,7,FALSE))</f>
        <v/>
      </c>
      <c r="I6" s="33" t="str">
        <f>IF(A6="","",IF(E6&lt;=0,"Current",IF(TODAY()-VLOOKUP(A6,BILLING!$B:$I,7,FALSE)&lt;=30,"0-30 Days",IF(TODAY()-VLOOKUP(A6,BILLING!$B:$I,7,FALSE)&lt;=60,"31-60 Days","61+ Days"))))</f>
        <v/>
      </c>
    </row>
    <row r="7" ht="16.5" customHeight="1">
      <c r="A7" s="33" t="str">
        <f>IF(BILLING!B7="","",BILLING!B7)</f>
        <v/>
      </c>
      <c r="B7" s="33" t="str">
        <f>IF(A7="","",IFERROR(VLOOKUP(VLOOKUP(VLOOKUP(A7,BILLING!$B:$I,7,FALSE),BOOKINGS!$A:$Q,3,FALSE),CLIENTS!$A:$H,2,FALSE),""))</f>
        <v/>
      </c>
      <c r="C7" s="38" t="str">
        <f>IF(A7="","",IFERROR(VLOOKUP(A7,BILLING!$B:$I,5,FALSE),0))</f>
        <v/>
      </c>
      <c r="D7" s="38"/>
      <c r="E7" s="38" t="str">
        <f t="shared" si="1"/>
        <v/>
      </c>
      <c r="F7" s="39"/>
      <c r="G7" s="33" t="str">
        <f t="shared" si="2"/>
        <v/>
      </c>
      <c r="H7" s="33" t="str">
        <f>IF(OR(A7="",F7=""),"",F7-VLOOKUP(A7,BILLING!$B:$I,7,FALSE))</f>
        <v/>
      </c>
      <c r="I7" s="33" t="str">
        <f>IF(A7="","",IF(E7&lt;=0,"Current",IF(TODAY()-VLOOKUP(A7,BILLING!$B:$I,7,FALSE)&lt;=30,"0-30 Days",IF(TODAY()-VLOOKUP(A7,BILLING!$B:$I,7,FALSE)&lt;=60,"31-60 Days","61+ Days"))))</f>
        <v/>
      </c>
    </row>
    <row r="8" ht="16.5" customHeight="1">
      <c r="A8" s="33" t="str">
        <f>IF(BILLING!B8="","",BILLING!B8)</f>
        <v/>
      </c>
      <c r="B8" s="33" t="str">
        <f>IF(A8="","",IFERROR(VLOOKUP(VLOOKUP(VLOOKUP(A8,BILLING!$B:$I,7,FALSE),BOOKINGS!$A:$Q,3,FALSE),CLIENTS!$A:$H,2,FALSE),""))</f>
        <v/>
      </c>
      <c r="C8" s="38" t="str">
        <f>IF(A8="","",IFERROR(VLOOKUP(A8,BILLING!$B:$I,5,FALSE),0))</f>
        <v/>
      </c>
      <c r="D8" s="38"/>
      <c r="E8" s="38" t="str">
        <f t="shared" si="1"/>
        <v/>
      </c>
      <c r="F8" s="39"/>
      <c r="G8" s="33" t="str">
        <f t="shared" si="2"/>
        <v/>
      </c>
      <c r="H8" s="33" t="str">
        <f>IF(OR(A8="",F8=""),"",F8-VLOOKUP(A8,BILLING!$B:$I,7,FALSE))</f>
        <v/>
      </c>
      <c r="I8" s="33" t="str">
        <f>IF(A8="","",IF(E8&lt;=0,"Current",IF(TODAY()-VLOOKUP(A8,BILLING!$B:$I,7,FALSE)&lt;=30,"0-30 Days",IF(TODAY()-VLOOKUP(A8,BILLING!$B:$I,7,FALSE)&lt;=60,"31-60 Days","61+ Days"))))</f>
        <v/>
      </c>
    </row>
    <row r="9" ht="16.5" customHeight="1">
      <c r="A9" s="33" t="str">
        <f>IF(BILLING!B9="","",BILLING!B9)</f>
        <v/>
      </c>
      <c r="B9" s="33" t="str">
        <f>IF(A9="","",IFERROR(VLOOKUP(VLOOKUP(VLOOKUP(A9,BILLING!$B:$I,7,FALSE),BOOKINGS!$A:$Q,3,FALSE),CLIENTS!$A:$H,2,FALSE),""))</f>
        <v/>
      </c>
      <c r="C9" s="38" t="str">
        <f>IF(A9="","",IFERROR(VLOOKUP(A9,BILLING!$B:$I,5,FALSE),0))</f>
        <v/>
      </c>
      <c r="D9" s="38"/>
      <c r="E9" s="38" t="str">
        <f t="shared" si="1"/>
        <v/>
      </c>
      <c r="F9" s="39"/>
      <c r="G9" s="33" t="str">
        <f t="shared" si="2"/>
        <v/>
      </c>
      <c r="H9" s="33" t="str">
        <f>IF(OR(A9="",F9=""),"",F9-VLOOKUP(A9,BILLING!$B:$I,7,FALSE))</f>
        <v/>
      </c>
      <c r="I9" s="33" t="str">
        <f>IF(A9="","",IF(E9&lt;=0,"Current",IF(TODAY()-VLOOKUP(A9,BILLING!$B:$I,7,FALSE)&lt;=30,"0-30 Days",IF(TODAY()-VLOOKUP(A9,BILLING!$B:$I,7,FALSE)&lt;=60,"31-60 Days","61+ Days"))))</f>
        <v/>
      </c>
    </row>
    <row r="10" ht="16.5" customHeight="1">
      <c r="A10" s="33" t="str">
        <f>IF(BILLING!B10="","",BILLING!B10)</f>
        <v/>
      </c>
      <c r="B10" s="33" t="str">
        <f>IF(A10="","",IFERROR(VLOOKUP(VLOOKUP(VLOOKUP(A10,BILLING!$B:$I,7,FALSE),BOOKINGS!$A:$Q,3,FALSE),CLIENTS!$A:$H,2,FALSE),""))</f>
        <v/>
      </c>
      <c r="C10" s="38" t="str">
        <f>IF(A10="","",IFERROR(VLOOKUP(A10,BILLING!$B:$I,5,FALSE),0))</f>
        <v/>
      </c>
      <c r="D10" s="38"/>
      <c r="E10" s="38" t="str">
        <f t="shared" si="1"/>
        <v/>
      </c>
      <c r="F10" s="39"/>
      <c r="G10" s="33" t="str">
        <f t="shared" si="2"/>
        <v/>
      </c>
      <c r="H10" s="33" t="str">
        <f>IF(OR(A10="",F10=""),"",F10-VLOOKUP(A10,BILLING!$B:$I,7,FALSE))</f>
        <v/>
      </c>
      <c r="I10" s="33" t="str">
        <f>IF(A10="","",IF(E10&lt;=0,"Current",IF(TODAY()-VLOOKUP(A10,BILLING!$B:$I,7,FALSE)&lt;=30,"0-30 Days",IF(TODAY()-VLOOKUP(A10,BILLING!$B:$I,7,FALSE)&lt;=60,"31-60 Days","61+ Days"))))</f>
        <v/>
      </c>
    </row>
    <row r="11">
      <c r="A11" s="33" t="str">
        <f>IF(BILLING!B11="","",BILLING!B11)</f>
        <v/>
      </c>
      <c r="B11" s="33" t="str">
        <f>IF(A11="","",IFERROR(VLOOKUP(VLOOKUP(VLOOKUP(A11,BILLING!$B:$I,7,FALSE),BOOKINGS!$A:$Q,3,FALSE),CLIENTS!$A:$H,2,FALSE),""))</f>
        <v/>
      </c>
      <c r="C11" s="38" t="str">
        <f>IF(A11="","",IFERROR(VLOOKUP(A11,BILLING!$B:$I,5,FALSE),0))</f>
        <v/>
      </c>
      <c r="D11" s="38"/>
      <c r="E11" s="38" t="str">
        <f t="shared" si="1"/>
        <v/>
      </c>
      <c r="F11" s="39"/>
      <c r="G11" s="33" t="str">
        <f t="shared" si="2"/>
        <v/>
      </c>
      <c r="H11" s="33" t="str">
        <f>IF(OR(A11="",F11=""),"",F11-VLOOKUP(A11,BILLING!$B:$I,7,FALSE))</f>
        <v/>
      </c>
      <c r="I11" s="33" t="str">
        <f>IF(A11="","",IF(E11&lt;=0,"Current",IF(TODAY()-VLOOKUP(A11,BILLING!$B:$I,7,FALSE)&lt;=30,"0-30 Days",IF(TODAY()-VLOOKUP(A11,BILLING!$B:$I,7,FALSE)&lt;=60,"31-60 Days","61+ Days"))))</f>
        <v/>
      </c>
    </row>
    <row r="12">
      <c r="A12" s="33" t="str">
        <f>IF(BILLING!B12="","",BILLING!B12)</f>
        <v/>
      </c>
      <c r="B12" s="33" t="str">
        <f>IF(A12="","",IFERROR(VLOOKUP(VLOOKUP(VLOOKUP(A12,BILLING!$B:$I,7,FALSE),BOOKINGS!$A:$Q,3,FALSE),CLIENTS!$A:$H,2,FALSE),""))</f>
        <v/>
      </c>
      <c r="C12" s="38" t="str">
        <f>IF(A12="","",IFERROR(VLOOKUP(A12,BILLING!$B:$I,5,FALSE),0))</f>
        <v/>
      </c>
      <c r="D12" s="38"/>
      <c r="E12" s="38" t="str">
        <f t="shared" si="1"/>
        <v/>
      </c>
      <c r="F12" s="39"/>
      <c r="G12" s="33" t="str">
        <f t="shared" si="2"/>
        <v/>
      </c>
      <c r="H12" s="33" t="str">
        <f>IF(OR(A12="",F12=""),"",F12-VLOOKUP(A12,BILLING!$B:$I,7,FALSE))</f>
        <v/>
      </c>
      <c r="I12" s="33" t="str">
        <f>IF(A12="","",IF(E12&lt;=0,"Current",IF(TODAY()-VLOOKUP(A12,BILLING!$B:$I,7,FALSE)&lt;=30,"0-30 Days",IF(TODAY()-VLOOKUP(A12,BILLING!$B:$I,7,FALSE)&lt;=60,"31-60 Days","61+ Days"))))</f>
        <v/>
      </c>
    </row>
    <row r="13">
      <c r="A13" s="33" t="str">
        <f>IF(BILLING!B13="","",BILLING!B13)</f>
        <v/>
      </c>
      <c r="B13" s="33" t="str">
        <f>IF(A13="","",IFERROR(VLOOKUP(VLOOKUP(VLOOKUP(A13,BILLING!$B:$I,7,FALSE),BOOKINGS!$A:$Q,3,FALSE),CLIENTS!$A:$H,2,FALSE),""))</f>
        <v/>
      </c>
      <c r="C13" s="38" t="str">
        <f>IF(A13="","",IFERROR(VLOOKUP(A13,BILLING!$B:$I,5,FALSE),0))</f>
        <v/>
      </c>
      <c r="D13" s="38"/>
      <c r="E13" s="38" t="str">
        <f t="shared" si="1"/>
        <v/>
      </c>
      <c r="F13" s="39"/>
      <c r="G13" s="33" t="str">
        <f t="shared" si="2"/>
        <v/>
      </c>
      <c r="H13" s="33" t="str">
        <f>IF(OR(A13="",F13=""),"",F13-VLOOKUP(A13,BILLING!$B:$I,7,FALSE))</f>
        <v/>
      </c>
      <c r="I13" s="33" t="str">
        <f>IF(A13="","",IF(E13&lt;=0,"Current",IF(TODAY()-VLOOKUP(A13,BILLING!$B:$I,7,FALSE)&lt;=30,"0-30 Days",IF(TODAY()-VLOOKUP(A13,BILLING!$B:$I,7,FALSE)&lt;=60,"31-60 Days","61+ Days"))))</f>
        <v/>
      </c>
    </row>
    <row r="14">
      <c r="A14" s="33" t="str">
        <f>IF(BILLING!B14="","",BILLING!B14)</f>
        <v/>
      </c>
      <c r="B14" s="33" t="str">
        <f>IF(A14="","",IFERROR(VLOOKUP(VLOOKUP(VLOOKUP(A14,BILLING!$B:$I,7,FALSE),BOOKINGS!$A:$Q,3,FALSE),CLIENTS!$A:$H,2,FALSE),""))</f>
        <v/>
      </c>
      <c r="C14" s="38" t="str">
        <f>IF(A14="","",IFERROR(VLOOKUP(A14,BILLING!$B:$I,5,FALSE),0))</f>
        <v/>
      </c>
      <c r="D14" s="38"/>
      <c r="E14" s="38" t="str">
        <f t="shared" si="1"/>
        <v/>
      </c>
      <c r="F14" s="39"/>
      <c r="G14" s="33" t="str">
        <f t="shared" si="2"/>
        <v/>
      </c>
      <c r="H14" s="33" t="str">
        <f>IF(OR(A14="",F14=""),"",F14-VLOOKUP(A14,BILLING!$B:$I,7,FALSE))</f>
        <v/>
      </c>
      <c r="I14" s="33" t="str">
        <f>IF(A14="","",IF(E14&lt;=0,"Current",IF(TODAY()-VLOOKUP(A14,BILLING!$B:$I,7,FALSE)&lt;=30,"0-30 Days",IF(TODAY()-VLOOKUP(A14,BILLING!$B:$I,7,FALSE)&lt;=60,"31-60 Days","61+ Days"))))</f>
        <v/>
      </c>
    </row>
    <row r="15">
      <c r="A15" s="33" t="str">
        <f>IF(BILLING!B15="","",BILLING!B15)</f>
        <v/>
      </c>
      <c r="B15" s="33" t="str">
        <f>IF(A15="","",IFERROR(VLOOKUP(VLOOKUP(VLOOKUP(A15,BILLING!$B:$I,7,FALSE),BOOKINGS!$A:$Q,3,FALSE),CLIENTS!$A:$H,2,FALSE),""))</f>
        <v/>
      </c>
      <c r="C15" s="38" t="str">
        <f>IF(A15="","",IFERROR(VLOOKUP(A15,BILLING!$B:$I,5,FALSE),0))</f>
        <v/>
      </c>
      <c r="D15" s="38"/>
      <c r="E15" s="38" t="str">
        <f t="shared" si="1"/>
        <v/>
      </c>
      <c r="F15" s="39"/>
      <c r="G15" s="33" t="str">
        <f t="shared" si="2"/>
        <v/>
      </c>
      <c r="H15" s="33" t="str">
        <f>IF(OR(A15="",F15=""),"",F15-VLOOKUP(A15,BILLING!$B:$I,7,FALSE))</f>
        <v/>
      </c>
      <c r="I15" s="33" t="str">
        <f>IF(A15="","",IF(E15&lt;=0,"Current",IF(TODAY()-VLOOKUP(A15,BILLING!$B:$I,7,FALSE)&lt;=30,"0-30 Days",IF(TODAY()-VLOOKUP(A15,BILLING!$B:$I,7,FALSE)&lt;=60,"31-60 Days","61+ Days"))))</f>
        <v/>
      </c>
    </row>
    <row r="16">
      <c r="A16" s="33" t="str">
        <f>IF(BILLING!B16="","",BILLING!B16)</f>
        <v/>
      </c>
      <c r="B16" s="33" t="str">
        <f>IF(A16="","",IFERROR(VLOOKUP(VLOOKUP(VLOOKUP(A16,BILLING!$B:$I,7,FALSE),BOOKINGS!$A:$Q,3,FALSE),CLIENTS!$A:$H,2,FALSE),""))</f>
        <v/>
      </c>
      <c r="C16" s="38" t="str">
        <f>IF(A16="","",IFERROR(VLOOKUP(A16,BILLING!$B:$I,5,FALSE),0))</f>
        <v/>
      </c>
      <c r="D16" s="38"/>
      <c r="E16" s="38" t="str">
        <f t="shared" si="1"/>
        <v/>
      </c>
      <c r="F16" s="39"/>
      <c r="G16" s="33" t="str">
        <f t="shared" si="2"/>
        <v/>
      </c>
      <c r="H16" s="33" t="str">
        <f>IF(OR(A16="",F16=""),"",F16-VLOOKUP(A16,BILLING!$B:$I,7,FALSE))</f>
        <v/>
      </c>
      <c r="I16" s="33" t="str">
        <f>IF(A16="","",IF(E16&lt;=0,"Current",IF(TODAY()-VLOOKUP(A16,BILLING!$B:$I,7,FALSE)&lt;=30,"0-30 Days",IF(TODAY()-VLOOKUP(A16,BILLING!$B:$I,7,FALSE)&lt;=60,"31-60 Days","61+ Days"))))</f>
        <v/>
      </c>
    </row>
    <row r="17">
      <c r="A17" s="33" t="str">
        <f>IF(BILLING!B17="","",BILLING!B17)</f>
        <v/>
      </c>
      <c r="B17" s="33" t="str">
        <f>IF(A17="","",IFERROR(VLOOKUP(VLOOKUP(VLOOKUP(A17,BILLING!$B:$I,7,FALSE),BOOKINGS!$A:$Q,3,FALSE),CLIENTS!$A:$H,2,FALSE),""))</f>
        <v/>
      </c>
      <c r="C17" s="38" t="str">
        <f>IF(A17="","",IFERROR(VLOOKUP(A17,BILLING!$B:$I,5,FALSE),0))</f>
        <v/>
      </c>
      <c r="D17" s="38"/>
      <c r="E17" s="38" t="str">
        <f t="shared" si="1"/>
        <v/>
      </c>
      <c r="F17" s="39"/>
      <c r="G17" s="33" t="str">
        <f t="shared" si="2"/>
        <v/>
      </c>
      <c r="H17" s="33" t="str">
        <f>IF(OR(A17="",F17=""),"",F17-VLOOKUP(A17,BILLING!$B:$I,7,FALSE))</f>
        <v/>
      </c>
      <c r="I17" s="33" t="str">
        <f>IF(A17="","",IF(E17&lt;=0,"Current",IF(TODAY()-VLOOKUP(A17,BILLING!$B:$I,7,FALSE)&lt;=30,"0-30 Days",IF(TODAY()-VLOOKUP(A17,BILLING!$B:$I,7,FALSE)&lt;=60,"31-60 Days","61+ Days"))))</f>
        <v/>
      </c>
    </row>
    <row r="18">
      <c r="A18" s="33" t="str">
        <f>IF(BILLING!B18="","",BILLING!B18)</f>
        <v/>
      </c>
      <c r="B18" s="33" t="str">
        <f>IF(A18="","",IFERROR(VLOOKUP(VLOOKUP(VLOOKUP(A18,BILLING!$B:$I,7,FALSE),BOOKINGS!$A:$Q,3,FALSE),CLIENTS!$A:$H,2,FALSE),""))</f>
        <v/>
      </c>
      <c r="C18" s="38" t="str">
        <f>IF(A18="","",IFERROR(VLOOKUP(A18,BILLING!$B:$I,5,FALSE),0))</f>
        <v/>
      </c>
      <c r="D18" s="38"/>
      <c r="E18" s="38" t="str">
        <f t="shared" si="1"/>
        <v/>
      </c>
      <c r="F18" s="39"/>
      <c r="G18" s="33" t="str">
        <f t="shared" si="2"/>
        <v/>
      </c>
      <c r="H18" s="33" t="str">
        <f>IF(OR(A18="",F18=""),"",F18-VLOOKUP(A18,BILLING!$B:$I,7,FALSE))</f>
        <v/>
      </c>
      <c r="I18" s="33" t="str">
        <f>IF(A18="","",IF(E18&lt;=0,"Current",IF(TODAY()-VLOOKUP(A18,BILLING!$B:$I,7,FALSE)&lt;=30,"0-30 Days",IF(TODAY()-VLOOKUP(A18,BILLING!$B:$I,7,FALSE)&lt;=60,"31-60 Days","61+ Days"))))</f>
        <v/>
      </c>
    </row>
    <row r="19">
      <c r="A19" s="33" t="str">
        <f>IF(BILLING!B19="","",BILLING!B19)</f>
        <v/>
      </c>
      <c r="B19" s="33" t="str">
        <f>IF(A19="","",IFERROR(VLOOKUP(VLOOKUP(VLOOKUP(A19,BILLING!$B:$I,7,FALSE),BOOKINGS!$A:$Q,3,FALSE),CLIENTS!$A:$H,2,FALSE),""))</f>
        <v/>
      </c>
      <c r="C19" s="38" t="str">
        <f>IF(A19="","",IFERROR(VLOOKUP(A19,BILLING!$B:$I,5,FALSE),0))</f>
        <v/>
      </c>
      <c r="D19" s="38"/>
      <c r="E19" s="38" t="str">
        <f t="shared" si="1"/>
        <v/>
      </c>
      <c r="F19" s="39"/>
      <c r="G19" s="33" t="str">
        <f t="shared" si="2"/>
        <v/>
      </c>
      <c r="H19" s="33" t="str">
        <f>IF(OR(A19="",F19=""),"",F19-VLOOKUP(A19,BILLING!$B:$I,7,FALSE))</f>
        <v/>
      </c>
      <c r="I19" s="33" t="str">
        <f>IF(A19="","",IF(E19&lt;=0,"Current",IF(TODAY()-VLOOKUP(A19,BILLING!$B:$I,7,FALSE)&lt;=30,"0-30 Days",IF(TODAY()-VLOOKUP(A19,BILLING!$B:$I,7,FALSE)&lt;=60,"31-60 Days","61+ Days"))))</f>
        <v/>
      </c>
    </row>
    <row r="20">
      <c r="A20" s="33" t="str">
        <f>IF(BILLING!B20="","",BILLING!B20)</f>
        <v/>
      </c>
      <c r="B20" s="33" t="str">
        <f>IF(A20="","",IFERROR(VLOOKUP(VLOOKUP(VLOOKUP(A20,BILLING!$B:$I,7,FALSE),BOOKINGS!$A:$Q,3,FALSE),CLIENTS!$A:$H,2,FALSE),""))</f>
        <v/>
      </c>
      <c r="C20" s="38" t="str">
        <f>IF(A20="","",IFERROR(VLOOKUP(A20,BILLING!$B:$I,5,FALSE),0))</f>
        <v/>
      </c>
      <c r="D20" s="38"/>
      <c r="E20" s="38" t="str">
        <f t="shared" si="1"/>
        <v/>
      </c>
      <c r="F20" s="39"/>
      <c r="G20" s="33" t="str">
        <f t="shared" si="2"/>
        <v/>
      </c>
      <c r="H20" s="33" t="str">
        <f>IF(OR(A20="",F20=""),"",F20-VLOOKUP(A20,BILLING!$B:$I,7,FALSE))</f>
        <v/>
      </c>
      <c r="I20" s="33" t="str">
        <f>IF(A20="","",IF(E20&lt;=0,"Current",IF(TODAY()-VLOOKUP(A20,BILLING!$B:$I,7,FALSE)&lt;=30,"0-30 Days",IF(TODAY()-VLOOKUP(A20,BILLING!$B:$I,7,FALSE)&lt;=60,"31-60 Days","61+ Days"))))</f>
        <v/>
      </c>
    </row>
    <row r="21" ht="15.75" customHeight="1">
      <c r="A21" s="33" t="str">
        <f>IF(BILLING!B21="","",BILLING!B21)</f>
        <v/>
      </c>
      <c r="B21" s="33" t="str">
        <f>IF(A21="","",IFERROR(VLOOKUP(VLOOKUP(VLOOKUP(A21,BILLING!$B:$I,7,FALSE),BOOKINGS!$A:$Q,3,FALSE),CLIENTS!$A:$H,2,FALSE),""))</f>
        <v/>
      </c>
      <c r="C21" s="38" t="str">
        <f>IF(A21="","",IFERROR(VLOOKUP(A21,BILLING!$B:$I,5,FALSE),0))</f>
        <v/>
      </c>
      <c r="D21" s="38"/>
      <c r="E21" s="38" t="str">
        <f t="shared" si="1"/>
        <v/>
      </c>
      <c r="F21" s="39"/>
      <c r="G21" s="33" t="str">
        <f t="shared" si="2"/>
        <v/>
      </c>
      <c r="H21" s="33" t="str">
        <f>IF(OR(A21="",F21=""),"",F21-VLOOKUP(A21,BILLING!$B:$I,7,FALSE))</f>
        <v/>
      </c>
      <c r="I21" s="33" t="str">
        <f>IF(A21="","",IF(E21&lt;=0,"Current",IF(TODAY()-VLOOKUP(A21,BILLING!$B:$I,7,FALSE)&lt;=30,"0-30 Days",IF(TODAY()-VLOOKUP(A21,BILLING!$B:$I,7,FALSE)&lt;=60,"31-60 Days","61+ Days"))))</f>
        <v/>
      </c>
    </row>
    <row r="22" ht="15.75" customHeight="1">
      <c r="A22" s="33" t="str">
        <f>IF(BILLING!B22="","",BILLING!B22)</f>
        <v/>
      </c>
      <c r="B22" s="33" t="str">
        <f>IF(A22="","",IFERROR(VLOOKUP(VLOOKUP(VLOOKUP(A22,BILLING!$B:$I,7,FALSE),BOOKINGS!$A:$Q,3,FALSE),CLIENTS!$A:$H,2,FALSE),""))</f>
        <v/>
      </c>
      <c r="C22" s="38" t="str">
        <f>IF(A22="","",IFERROR(VLOOKUP(A22,BILLING!$B:$I,5,FALSE),0))</f>
        <v/>
      </c>
      <c r="D22" s="38"/>
      <c r="E22" s="38" t="str">
        <f t="shared" si="1"/>
        <v/>
      </c>
      <c r="F22" s="39"/>
      <c r="G22" s="33" t="str">
        <f t="shared" si="2"/>
        <v/>
      </c>
      <c r="H22" s="33" t="str">
        <f>IF(OR(A22="",F22=""),"",F22-VLOOKUP(A22,BILLING!$B:$I,7,FALSE))</f>
        <v/>
      </c>
      <c r="I22" s="33" t="str">
        <f>IF(A22="","",IF(E22&lt;=0,"Current",IF(TODAY()-VLOOKUP(A22,BILLING!$B:$I,7,FALSE)&lt;=30,"0-30 Days",IF(TODAY()-VLOOKUP(A22,BILLING!$B:$I,7,FALSE)&lt;=60,"31-60 Days","61+ Days"))))</f>
        <v/>
      </c>
    </row>
    <row r="23" ht="15.75" customHeight="1">
      <c r="A23" s="33" t="str">
        <f>IF(BILLING!B23="","",BILLING!B23)</f>
        <v/>
      </c>
      <c r="B23" s="33" t="str">
        <f>IF(A23="","",IFERROR(VLOOKUP(VLOOKUP(VLOOKUP(A23,BILLING!$B:$I,7,FALSE),BOOKINGS!$A:$Q,3,FALSE),CLIENTS!$A:$H,2,FALSE),""))</f>
        <v/>
      </c>
      <c r="C23" s="38" t="str">
        <f>IF(A23="","",IFERROR(VLOOKUP(A23,BILLING!$B:$I,5,FALSE),0))</f>
        <v/>
      </c>
      <c r="D23" s="38"/>
      <c r="E23" s="38" t="str">
        <f t="shared" si="1"/>
        <v/>
      </c>
      <c r="F23" s="39"/>
      <c r="G23" s="33" t="str">
        <f t="shared" si="2"/>
        <v/>
      </c>
      <c r="H23" s="33" t="str">
        <f>IF(OR(A23="",F23=""),"",F23-VLOOKUP(A23,BILLING!$B:$I,7,FALSE))</f>
        <v/>
      </c>
      <c r="I23" s="33" t="str">
        <f>IF(A23="","",IF(E23&lt;=0,"Current",IF(TODAY()-VLOOKUP(A23,BILLING!$B:$I,7,FALSE)&lt;=30,"0-30 Days",IF(TODAY()-VLOOKUP(A23,BILLING!$B:$I,7,FALSE)&lt;=60,"31-60 Days","61+ Days"))))</f>
        <v/>
      </c>
    </row>
    <row r="24" ht="15.75" customHeight="1">
      <c r="A24" s="33" t="str">
        <f>IF(BILLING!B24="","",BILLING!B24)</f>
        <v/>
      </c>
      <c r="B24" s="33" t="str">
        <f>IF(A24="","",IFERROR(VLOOKUP(VLOOKUP(VLOOKUP(A24,BILLING!$B:$I,7,FALSE),BOOKINGS!$A:$Q,3,FALSE),CLIENTS!$A:$H,2,FALSE),""))</f>
        <v/>
      </c>
      <c r="C24" s="38" t="str">
        <f>IF(A24="","",IFERROR(VLOOKUP(A24,BILLING!$B:$I,5,FALSE),0))</f>
        <v/>
      </c>
      <c r="D24" s="38"/>
      <c r="E24" s="38" t="str">
        <f t="shared" si="1"/>
        <v/>
      </c>
      <c r="F24" s="39"/>
      <c r="G24" s="33" t="str">
        <f t="shared" si="2"/>
        <v/>
      </c>
      <c r="H24" s="33" t="str">
        <f>IF(OR(A24="",F24=""),"",F24-VLOOKUP(A24,BILLING!$B:$I,7,FALSE))</f>
        <v/>
      </c>
      <c r="I24" s="33" t="str">
        <f>IF(A24="","",IF(E24&lt;=0,"Current",IF(TODAY()-VLOOKUP(A24,BILLING!$B:$I,7,FALSE)&lt;=30,"0-30 Days",IF(TODAY()-VLOOKUP(A24,BILLING!$B:$I,7,FALSE)&lt;=60,"31-60 Days","61+ Days"))))</f>
        <v/>
      </c>
    </row>
    <row r="25" ht="15.75" customHeight="1">
      <c r="A25" s="33" t="str">
        <f>IF(BILLING!B25="","",BILLING!B25)</f>
        <v/>
      </c>
      <c r="B25" s="33" t="str">
        <f>IF(A25="","",IFERROR(VLOOKUP(VLOOKUP(VLOOKUP(A25,BILLING!$B:$I,7,FALSE),BOOKINGS!$A:$Q,3,FALSE),CLIENTS!$A:$H,2,FALSE),""))</f>
        <v/>
      </c>
      <c r="C25" s="38" t="str">
        <f>IF(A25="","",IFERROR(VLOOKUP(A25,BILLING!$B:$I,5,FALSE),0))</f>
        <v/>
      </c>
      <c r="D25" s="38"/>
      <c r="E25" s="38" t="str">
        <f t="shared" si="1"/>
        <v/>
      </c>
      <c r="F25" s="39"/>
      <c r="G25" s="33" t="str">
        <f t="shared" si="2"/>
        <v/>
      </c>
      <c r="H25" s="33" t="str">
        <f>IF(OR(A25="",F25=""),"",F25-VLOOKUP(A25,BILLING!$B:$I,7,FALSE))</f>
        <v/>
      </c>
      <c r="I25" s="33" t="str">
        <f>IF(A25="","",IF(E25&lt;=0,"Current",IF(TODAY()-VLOOKUP(A25,BILLING!$B:$I,7,FALSE)&lt;=30,"0-30 Days",IF(TODAY()-VLOOKUP(A25,BILLING!$B:$I,7,FALSE)&lt;=60,"31-60 Days","61+ Days"))))</f>
        <v/>
      </c>
    </row>
    <row r="26" ht="15.75" customHeight="1">
      <c r="A26" s="33" t="str">
        <f>IF(BILLING!B26="","",BILLING!B26)</f>
        <v/>
      </c>
      <c r="B26" s="33" t="str">
        <f>IF(A26="","",IFERROR(VLOOKUP(VLOOKUP(VLOOKUP(A26,BILLING!$B:$I,7,FALSE),BOOKINGS!$A:$Q,3,FALSE),CLIENTS!$A:$H,2,FALSE),""))</f>
        <v/>
      </c>
      <c r="C26" s="38" t="str">
        <f>IF(A26="","",IFERROR(VLOOKUP(A26,BILLING!$B:$I,5,FALSE),0))</f>
        <v/>
      </c>
      <c r="D26" s="38"/>
      <c r="E26" s="38" t="str">
        <f t="shared" si="1"/>
        <v/>
      </c>
      <c r="F26" s="39"/>
      <c r="G26" s="33" t="str">
        <f t="shared" si="2"/>
        <v/>
      </c>
      <c r="H26" s="33" t="str">
        <f>IF(OR(A26="",F26=""),"",F26-VLOOKUP(A26,BILLING!$B:$I,7,FALSE))</f>
        <v/>
      </c>
      <c r="I26" s="33" t="str">
        <f>IF(A26="","",IF(E26&lt;=0,"Current",IF(TODAY()-VLOOKUP(A26,BILLING!$B:$I,7,FALSE)&lt;=30,"0-30 Days",IF(TODAY()-VLOOKUP(A26,BILLING!$B:$I,7,FALSE)&lt;=60,"31-60 Days","61+ Days"))))</f>
        <v/>
      </c>
    </row>
    <row r="27" ht="15.75" customHeight="1">
      <c r="A27" s="33" t="str">
        <f>IF(BILLING!B27="","",BILLING!B27)</f>
        <v/>
      </c>
      <c r="B27" s="33" t="str">
        <f>IF(A27="","",IFERROR(VLOOKUP(VLOOKUP(VLOOKUP(A27,BILLING!$B:$I,7,FALSE),BOOKINGS!$A:$Q,3,FALSE),CLIENTS!$A:$H,2,FALSE),""))</f>
        <v/>
      </c>
      <c r="C27" s="38" t="str">
        <f>IF(A27="","",IFERROR(VLOOKUP(A27,BILLING!$B:$I,5,FALSE),0))</f>
        <v/>
      </c>
      <c r="D27" s="38"/>
      <c r="E27" s="38" t="str">
        <f t="shared" si="1"/>
        <v/>
      </c>
      <c r="F27" s="39"/>
      <c r="G27" s="33" t="str">
        <f t="shared" si="2"/>
        <v/>
      </c>
      <c r="H27" s="33" t="str">
        <f>IF(OR(A27="",F27=""),"",F27-VLOOKUP(A27,BILLING!$B:$I,7,FALSE))</f>
        <v/>
      </c>
      <c r="I27" s="33" t="str">
        <f>IF(A27="","",IF(E27&lt;=0,"Current",IF(TODAY()-VLOOKUP(A27,BILLING!$B:$I,7,FALSE)&lt;=30,"0-30 Days",IF(TODAY()-VLOOKUP(A27,BILLING!$B:$I,7,FALSE)&lt;=60,"31-60 Days","61+ Days"))))</f>
        <v/>
      </c>
    </row>
    <row r="28" ht="15.75" customHeight="1">
      <c r="A28" s="33" t="str">
        <f>IF(BILLING!B28="","",BILLING!B28)</f>
        <v/>
      </c>
      <c r="B28" s="33" t="str">
        <f>IF(A28="","",IFERROR(VLOOKUP(VLOOKUP(VLOOKUP(A28,BILLING!$B:$I,7,FALSE),BOOKINGS!$A:$Q,3,FALSE),CLIENTS!$A:$H,2,FALSE),""))</f>
        <v/>
      </c>
      <c r="C28" s="38" t="str">
        <f>IF(A28="","",IFERROR(VLOOKUP(A28,BILLING!$B:$I,5,FALSE),0))</f>
        <v/>
      </c>
      <c r="D28" s="38"/>
      <c r="E28" s="38" t="str">
        <f t="shared" si="1"/>
        <v/>
      </c>
      <c r="F28" s="39"/>
      <c r="G28" s="33" t="str">
        <f t="shared" si="2"/>
        <v/>
      </c>
      <c r="H28" s="33" t="str">
        <f>IF(OR(A28="",F28=""),"",F28-VLOOKUP(A28,BILLING!$B:$I,7,FALSE))</f>
        <v/>
      </c>
      <c r="I28" s="33" t="str">
        <f>IF(A28="","",IF(E28&lt;=0,"Current",IF(TODAY()-VLOOKUP(A28,BILLING!$B:$I,7,FALSE)&lt;=30,"0-30 Days",IF(TODAY()-VLOOKUP(A28,BILLING!$B:$I,7,FALSE)&lt;=60,"31-60 Days","61+ Days"))))</f>
        <v/>
      </c>
    </row>
    <row r="29" ht="15.75" customHeight="1">
      <c r="A29" s="33" t="str">
        <f>IF(BILLING!B29="","",BILLING!B29)</f>
        <v/>
      </c>
      <c r="B29" s="33" t="str">
        <f>IF(A29="","",IFERROR(VLOOKUP(VLOOKUP(VLOOKUP(A29,BILLING!$B:$I,7,FALSE),BOOKINGS!$A:$Q,3,FALSE),CLIENTS!$A:$H,2,FALSE),""))</f>
        <v/>
      </c>
      <c r="C29" s="38" t="str">
        <f>IF(A29="","",IFERROR(VLOOKUP(A29,BILLING!$B:$I,5,FALSE),0))</f>
        <v/>
      </c>
      <c r="D29" s="38"/>
      <c r="E29" s="38" t="str">
        <f t="shared" si="1"/>
        <v/>
      </c>
      <c r="F29" s="39"/>
      <c r="G29" s="33" t="str">
        <f t="shared" si="2"/>
        <v/>
      </c>
      <c r="H29" s="33" t="str">
        <f>IF(OR(A29="",F29=""),"",F29-VLOOKUP(A29,BILLING!$B:$I,7,FALSE))</f>
        <v/>
      </c>
      <c r="I29" s="33" t="str">
        <f>IF(A29="","",IF(E29&lt;=0,"Current",IF(TODAY()-VLOOKUP(A29,BILLING!$B:$I,7,FALSE)&lt;=30,"0-30 Days",IF(TODAY()-VLOOKUP(A29,BILLING!$B:$I,7,FALSE)&lt;=60,"31-60 Days","61+ Days"))))</f>
        <v/>
      </c>
    </row>
    <row r="30" ht="15.75" customHeight="1">
      <c r="A30" s="33" t="str">
        <f>IF(BILLING!B30="","",BILLING!B30)</f>
        <v/>
      </c>
      <c r="B30" s="33" t="str">
        <f>IF(A30="","",IFERROR(VLOOKUP(VLOOKUP(VLOOKUP(A30,BILLING!$B:$I,7,FALSE),BOOKINGS!$A:$Q,3,FALSE),CLIENTS!$A:$H,2,FALSE),""))</f>
        <v/>
      </c>
      <c r="C30" s="38" t="str">
        <f>IF(A30="","",IFERROR(VLOOKUP(A30,BILLING!$B:$I,5,FALSE),0))</f>
        <v/>
      </c>
      <c r="D30" s="38"/>
      <c r="E30" s="38" t="str">
        <f t="shared" si="1"/>
        <v/>
      </c>
      <c r="F30" s="39"/>
      <c r="G30" s="33" t="str">
        <f t="shared" si="2"/>
        <v/>
      </c>
      <c r="H30" s="33" t="str">
        <f>IF(OR(A30="",F30=""),"",F30-VLOOKUP(A30,BILLING!$B:$I,7,FALSE))</f>
        <v/>
      </c>
      <c r="I30" s="33" t="str">
        <f>IF(A30="","",IF(E30&lt;=0,"Current",IF(TODAY()-VLOOKUP(A30,BILLING!$B:$I,7,FALSE)&lt;=30,"0-30 Days",IF(TODAY()-VLOOKUP(A30,BILLING!$B:$I,7,FALSE)&lt;=60,"31-60 Days","61+ Days"))))</f>
        <v/>
      </c>
    </row>
    <row r="31" ht="15.75" customHeight="1">
      <c r="A31" s="33" t="str">
        <f>IF(BILLING!B31="","",BILLING!B31)</f>
        <v/>
      </c>
      <c r="B31" s="33" t="str">
        <f>IF(A31="","",IFERROR(VLOOKUP(VLOOKUP(VLOOKUP(A31,BILLING!$B:$I,7,FALSE),BOOKINGS!$A:$Q,3,FALSE),CLIENTS!$A:$H,2,FALSE),""))</f>
        <v/>
      </c>
      <c r="C31" s="38" t="str">
        <f>IF(A31="","",IFERROR(VLOOKUP(A31,BILLING!$B:$I,5,FALSE),0))</f>
        <v/>
      </c>
      <c r="D31" s="38"/>
      <c r="E31" s="38" t="str">
        <f t="shared" si="1"/>
        <v/>
      </c>
      <c r="F31" s="39"/>
      <c r="G31" s="33" t="str">
        <f t="shared" si="2"/>
        <v/>
      </c>
      <c r="H31" s="33" t="str">
        <f>IF(OR(A31="",F31=""),"",F31-VLOOKUP(A31,BILLING!$B:$I,7,FALSE))</f>
        <v/>
      </c>
      <c r="I31" s="33" t="str">
        <f>IF(A31="","",IF(E31&lt;=0,"Current",IF(TODAY()-VLOOKUP(A31,BILLING!$B:$I,7,FALSE)&lt;=30,"0-30 Days",IF(TODAY()-VLOOKUP(A31,BILLING!$B:$I,7,FALSE)&lt;=60,"31-60 Days","61+ Days"))))</f>
        <v/>
      </c>
    </row>
    <row r="32" ht="15.75" customHeight="1">
      <c r="A32" s="33" t="str">
        <f>IF(BILLING!B32="","",BILLING!B32)</f>
        <v/>
      </c>
      <c r="B32" s="33" t="str">
        <f>IF(A32="","",IFERROR(VLOOKUP(VLOOKUP(VLOOKUP(A32,BILLING!$B:$I,7,FALSE),BOOKINGS!$A:$Q,3,FALSE),CLIENTS!$A:$H,2,FALSE),""))</f>
        <v/>
      </c>
      <c r="C32" s="38" t="str">
        <f>IF(A32="","",IFERROR(VLOOKUP(A32,BILLING!$B:$I,5,FALSE),0))</f>
        <v/>
      </c>
      <c r="D32" s="38"/>
      <c r="E32" s="38" t="str">
        <f t="shared" si="1"/>
        <v/>
      </c>
      <c r="F32" s="39"/>
      <c r="G32" s="33" t="str">
        <f t="shared" si="2"/>
        <v/>
      </c>
      <c r="H32" s="33" t="str">
        <f>IF(OR(A32="",F32=""),"",F32-VLOOKUP(A32,BILLING!$B:$I,7,FALSE))</f>
        <v/>
      </c>
      <c r="I32" s="33" t="str">
        <f>IF(A32="","",IF(E32&lt;=0,"Current",IF(TODAY()-VLOOKUP(A32,BILLING!$B:$I,7,FALSE)&lt;=30,"0-30 Days",IF(TODAY()-VLOOKUP(A32,BILLING!$B:$I,7,FALSE)&lt;=60,"31-60 Days","61+ Days"))))</f>
        <v/>
      </c>
    </row>
    <row r="33" ht="15.75" customHeight="1">
      <c r="A33" s="33" t="str">
        <f>IF(BILLING!B33="","",BILLING!B33)</f>
        <v/>
      </c>
      <c r="B33" s="33" t="str">
        <f>IF(A33="","",IFERROR(VLOOKUP(VLOOKUP(VLOOKUP(A33,BILLING!$B:$I,7,FALSE),BOOKINGS!$A:$Q,3,FALSE),CLIENTS!$A:$H,2,FALSE),""))</f>
        <v/>
      </c>
      <c r="C33" s="38" t="str">
        <f>IF(A33="","",IFERROR(VLOOKUP(A33,BILLING!$B:$I,5,FALSE),0))</f>
        <v/>
      </c>
      <c r="D33" s="38"/>
      <c r="E33" s="38" t="str">
        <f t="shared" si="1"/>
        <v/>
      </c>
      <c r="F33" s="39"/>
      <c r="G33" s="33" t="str">
        <f t="shared" si="2"/>
        <v/>
      </c>
      <c r="H33" s="33" t="str">
        <f>IF(OR(A33="",F33=""),"",F33-VLOOKUP(A33,BILLING!$B:$I,7,FALSE))</f>
        <v/>
      </c>
      <c r="I33" s="33" t="str">
        <f>IF(A33="","",IF(E33&lt;=0,"Current",IF(TODAY()-VLOOKUP(A33,BILLING!$B:$I,7,FALSE)&lt;=30,"0-30 Days",IF(TODAY()-VLOOKUP(A33,BILLING!$B:$I,7,FALSE)&lt;=60,"31-60 Days","61+ Days"))))</f>
        <v/>
      </c>
    </row>
    <row r="34" ht="15.75" customHeight="1">
      <c r="A34" s="33" t="str">
        <f>IF(BILLING!B34="","",BILLING!B34)</f>
        <v/>
      </c>
      <c r="B34" s="33" t="str">
        <f>IF(A34="","",IFERROR(VLOOKUP(VLOOKUP(VLOOKUP(A34,BILLING!$B:$I,7,FALSE),BOOKINGS!$A:$Q,3,FALSE),CLIENTS!$A:$H,2,FALSE),""))</f>
        <v/>
      </c>
      <c r="C34" s="38" t="str">
        <f>IF(A34="","",IFERROR(VLOOKUP(A34,BILLING!$B:$I,5,FALSE),0))</f>
        <v/>
      </c>
      <c r="D34" s="38"/>
      <c r="E34" s="38" t="str">
        <f t="shared" si="1"/>
        <v/>
      </c>
      <c r="F34" s="39"/>
      <c r="G34" s="33" t="str">
        <f t="shared" si="2"/>
        <v/>
      </c>
      <c r="H34" s="33" t="str">
        <f>IF(OR(A34="",F34=""),"",F34-VLOOKUP(A34,BILLING!$B:$I,7,FALSE))</f>
        <v/>
      </c>
      <c r="I34" s="33" t="str">
        <f>IF(A34="","",IF(E34&lt;=0,"Current",IF(TODAY()-VLOOKUP(A34,BILLING!$B:$I,7,FALSE)&lt;=30,"0-30 Days",IF(TODAY()-VLOOKUP(A34,BILLING!$B:$I,7,FALSE)&lt;=60,"31-60 Days","61+ Days"))))</f>
        <v/>
      </c>
    </row>
    <row r="35" ht="15.75" customHeight="1">
      <c r="A35" s="33" t="str">
        <f>IF(BILLING!B35="","",BILLING!B35)</f>
        <v/>
      </c>
      <c r="B35" s="33" t="str">
        <f>IF(A35="","",IFERROR(VLOOKUP(VLOOKUP(VLOOKUP(A35,BILLING!$B:$I,7,FALSE),BOOKINGS!$A:$Q,3,FALSE),CLIENTS!$A:$H,2,FALSE),""))</f>
        <v/>
      </c>
      <c r="C35" s="38" t="str">
        <f>IF(A35="","",IFERROR(VLOOKUP(A35,BILLING!$B:$I,5,FALSE),0))</f>
        <v/>
      </c>
      <c r="D35" s="38"/>
      <c r="E35" s="38" t="str">
        <f t="shared" si="1"/>
        <v/>
      </c>
      <c r="F35" s="39"/>
      <c r="G35" s="33" t="str">
        <f t="shared" si="2"/>
        <v/>
      </c>
      <c r="H35" s="33" t="str">
        <f>IF(OR(A35="",F35=""),"",F35-VLOOKUP(A35,BILLING!$B:$I,7,FALSE))</f>
        <v/>
      </c>
      <c r="I35" s="33" t="str">
        <f>IF(A35="","",IF(E35&lt;=0,"Current",IF(TODAY()-VLOOKUP(A35,BILLING!$B:$I,7,FALSE)&lt;=30,"0-30 Days",IF(TODAY()-VLOOKUP(A35,BILLING!$B:$I,7,FALSE)&lt;=60,"31-60 Days","61+ Days"))))</f>
        <v/>
      </c>
    </row>
    <row r="36" ht="15.75" customHeight="1">
      <c r="A36" s="33" t="str">
        <f>IF(BILLING!B36="","",BILLING!B36)</f>
        <v/>
      </c>
      <c r="B36" s="33" t="str">
        <f>IF(A36="","",IFERROR(VLOOKUP(VLOOKUP(VLOOKUP(A36,BILLING!$B:$I,7,FALSE),BOOKINGS!$A:$Q,3,FALSE),CLIENTS!$A:$H,2,FALSE),""))</f>
        <v/>
      </c>
      <c r="C36" s="38" t="str">
        <f>IF(A36="","",IFERROR(VLOOKUP(A36,BILLING!$B:$I,5,FALSE),0))</f>
        <v/>
      </c>
      <c r="D36" s="38"/>
      <c r="E36" s="38" t="str">
        <f t="shared" si="1"/>
        <v/>
      </c>
      <c r="F36" s="39"/>
      <c r="G36" s="33" t="str">
        <f t="shared" si="2"/>
        <v/>
      </c>
      <c r="H36" s="33" t="str">
        <f>IF(OR(A36="",F36=""),"",F36-VLOOKUP(A36,BILLING!$B:$I,7,FALSE))</f>
        <v/>
      </c>
      <c r="I36" s="33" t="str">
        <f>IF(A36="","",IF(E36&lt;=0,"Current",IF(TODAY()-VLOOKUP(A36,BILLING!$B:$I,7,FALSE)&lt;=30,"0-30 Days",IF(TODAY()-VLOOKUP(A36,BILLING!$B:$I,7,FALSE)&lt;=60,"31-60 Days","61+ Days"))))</f>
        <v/>
      </c>
    </row>
    <row r="37" ht="15.75" customHeight="1">
      <c r="A37" s="33" t="str">
        <f>IF(BILLING!B37="","",BILLING!B37)</f>
        <v/>
      </c>
      <c r="B37" s="33" t="str">
        <f>IF(A37="","",IFERROR(VLOOKUP(VLOOKUP(VLOOKUP(A37,BILLING!$B:$I,7,FALSE),BOOKINGS!$A:$Q,3,FALSE),CLIENTS!$A:$H,2,FALSE),""))</f>
        <v/>
      </c>
      <c r="C37" s="38" t="str">
        <f>IF(A37="","",IFERROR(VLOOKUP(A37,BILLING!$B:$I,5,FALSE),0))</f>
        <v/>
      </c>
      <c r="D37" s="38"/>
      <c r="E37" s="38" t="str">
        <f t="shared" si="1"/>
        <v/>
      </c>
      <c r="F37" s="39"/>
      <c r="G37" s="33" t="str">
        <f t="shared" si="2"/>
        <v/>
      </c>
      <c r="H37" s="33" t="str">
        <f>IF(OR(A37="",F37=""),"",F37-VLOOKUP(A37,BILLING!$B:$I,7,FALSE))</f>
        <v/>
      </c>
      <c r="I37" s="33" t="str">
        <f>IF(A37="","",IF(E37&lt;=0,"Current",IF(TODAY()-VLOOKUP(A37,BILLING!$B:$I,7,FALSE)&lt;=30,"0-30 Days",IF(TODAY()-VLOOKUP(A37,BILLING!$B:$I,7,FALSE)&lt;=60,"31-60 Days","61+ Days"))))</f>
        <v/>
      </c>
    </row>
    <row r="38" ht="15.75" customHeight="1">
      <c r="A38" s="33" t="str">
        <f>IF(BILLING!B38="","",BILLING!B38)</f>
        <v/>
      </c>
      <c r="B38" s="33" t="str">
        <f>IF(A38="","",IFERROR(VLOOKUP(VLOOKUP(VLOOKUP(A38,BILLING!$B:$I,7,FALSE),BOOKINGS!$A:$Q,3,FALSE),CLIENTS!$A:$H,2,FALSE),""))</f>
        <v/>
      </c>
      <c r="C38" s="38" t="str">
        <f>IF(A38="","",IFERROR(VLOOKUP(A38,BILLING!$B:$I,5,FALSE),0))</f>
        <v/>
      </c>
      <c r="D38" s="38"/>
      <c r="E38" s="38" t="str">
        <f t="shared" si="1"/>
        <v/>
      </c>
      <c r="F38" s="39"/>
      <c r="G38" s="33" t="str">
        <f t="shared" si="2"/>
        <v/>
      </c>
      <c r="H38" s="33" t="str">
        <f>IF(OR(A38="",F38=""),"",F38-VLOOKUP(A38,BILLING!$B:$I,7,FALSE))</f>
        <v/>
      </c>
      <c r="I38" s="33" t="str">
        <f>IF(A38="","",IF(E38&lt;=0,"Current",IF(TODAY()-VLOOKUP(A38,BILLING!$B:$I,7,FALSE)&lt;=30,"0-30 Days",IF(TODAY()-VLOOKUP(A38,BILLING!$B:$I,7,FALSE)&lt;=60,"31-60 Days","61+ Days"))))</f>
        <v/>
      </c>
    </row>
    <row r="39" ht="15.75" customHeight="1">
      <c r="A39" s="33" t="str">
        <f>IF(BILLING!B39="","",BILLING!B39)</f>
        <v/>
      </c>
      <c r="B39" s="33" t="str">
        <f>IF(A39="","",IFERROR(VLOOKUP(VLOOKUP(VLOOKUP(A39,BILLING!$B:$I,7,FALSE),BOOKINGS!$A:$Q,3,FALSE),CLIENTS!$A:$H,2,FALSE),""))</f>
        <v/>
      </c>
      <c r="C39" s="38" t="str">
        <f>IF(A39="","",IFERROR(VLOOKUP(A39,BILLING!$B:$I,5,FALSE),0))</f>
        <v/>
      </c>
      <c r="D39" s="38"/>
      <c r="E39" s="38" t="str">
        <f t="shared" si="1"/>
        <v/>
      </c>
      <c r="F39" s="39"/>
      <c r="G39" s="33" t="str">
        <f t="shared" si="2"/>
        <v/>
      </c>
      <c r="H39" s="33" t="str">
        <f>IF(OR(A39="",F39=""),"",F39-VLOOKUP(A39,BILLING!$B:$I,7,FALSE))</f>
        <v/>
      </c>
      <c r="I39" s="33" t="str">
        <f>IF(A39="","",IF(E39&lt;=0,"Current",IF(TODAY()-VLOOKUP(A39,BILLING!$B:$I,7,FALSE)&lt;=30,"0-30 Days",IF(TODAY()-VLOOKUP(A39,BILLING!$B:$I,7,FALSE)&lt;=60,"31-60 Days","61+ Days"))))</f>
        <v/>
      </c>
    </row>
    <row r="40" ht="15.75" customHeight="1">
      <c r="A40" s="33" t="str">
        <f>IF(BILLING!B40="","",BILLING!B40)</f>
        <v/>
      </c>
      <c r="B40" s="33" t="str">
        <f>IF(A40="","",IFERROR(VLOOKUP(VLOOKUP(VLOOKUP(A40,BILLING!$B:$I,7,FALSE),BOOKINGS!$A:$Q,3,FALSE),CLIENTS!$A:$H,2,FALSE),""))</f>
        <v/>
      </c>
      <c r="C40" s="38" t="str">
        <f>IF(A40="","",IFERROR(VLOOKUP(A40,BILLING!$B:$I,5,FALSE),0))</f>
        <v/>
      </c>
      <c r="D40" s="38"/>
      <c r="E40" s="38" t="str">
        <f t="shared" si="1"/>
        <v/>
      </c>
      <c r="F40" s="39"/>
      <c r="G40" s="33" t="str">
        <f t="shared" si="2"/>
        <v/>
      </c>
      <c r="H40" s="33" t="str">
        <f>IF(OR(A40="",F40=""),"",F40-VLOOKUP(A40,BILLING!$B:$I,7,FALSE))</f>
        <v/>
      </c>
      <c r="I40" s="33" t="str">
        <f>IF(A40="","",IF(E40&lt;=0,"Current",IF(TODAY()-VLOOKUP(A40,BILLING!$B:$I,7,FALSE)&lt;=30,"0-30 Days",IF(TODAY()-VLOOKUP(A40,BILLING!$B:$I,7,FALSE)&lt;=60,"31-60 Days","61+ Days"))))</f>
        <v/>
      </c>
    </row>
    <row r="41" ht="15.75" customHeight="1">
      <c r="A41" s="33" t="str">
        <f>IF(BILLING!B41="","",BILLING!B41)</f>
        <v/>
      </c>
      <c r="B41" s="33" t="str">
        <f>IF(A41="","",IFERROR(VLOOKUP(VLOOKUP(VLOOKUP(A41,BILLING!$B:$I,7,FALSE),BOOKINGS!$A:$Q,3,FALSE),CLIENTS!$A:$H,2,FALSE),""))</f>
        <v/>
      </c>
      <c r="C41" s="38" t="str">
        <f>IF(A41="","",IFERROR(VLOOKUP(A41,BILLING!$B:$I,5,FALSE),0))</f>
        <v/>
      </c>
      <c r="D41" s="38"/>
      <c r="E41" s="38" t="str">
        <f t="shared" si="1"/>
        <v/>
      </c>
      <c r="F41" s="39"/>
      <c r="G41" s="33" t="str">
        <f t="shared" si="2"/>
        <v/>
      </c>
      <c r="H41" s="33" t="str">
        <f>IF(OR(A41="",F41=""),"",F41-VLOOKUP(A41,BILLING!$B:$I,7,FALSE))</f>
        <v/>
      </c>
      <c r="I41" s="33" t="str">
        <f>IF(A41="","",IF(E41&lt;=0,"Current",IF(TODAY()-VLOOKUP(A41,BILLING!$B:$I,7,FALSE)&lt;=30,"0-30 Days",IF(TODAY()-VLOOKUP(A41,BILLING!$B:$I,7,FALSE)&lt;=60,"31-60 Days","61+ Days"))))</f>
        <v/>
      </c>
    </row>
    <row r="42" ht="15.75" customHeight="1">
      <c r="A42" s="33" t="str">
        <f>IF(BILLING!B42="","",BILLING!B42)</f>
        <v/>
      </c>
      <c r="B42" s="33" t="str">
        <f>IF(A42="","",IFERROR(VLOOKUP(VLOOKUP(VLOOKUP(A42,BILLING!$B:$I,7,FALSE),BOOKINGS!$A:$Q,3,FALSE),CLIENTS!$A:$H,2,FALSE),""))</f>
        <v/>
      </c>
      <c r="C42" s="38" t="str">
        <f>IF(A42="","",IFERROR(VLOOKUP(A42,BILLING!$B:$I,5,FALSE),0))</f>
        <v/>
      </c>
      <c r="D42" s="38"/>
      <c r="E42" s="38" t="str">
        <f t="shared" si="1"/>
        <v/>
      </c>
      <c r="F42" s="39"/>
      <c r="G42" s="33" t="str">
        <f t="shared" si="2"/>
        <v/>
      </c>
      <c r="H42" s="33" t="str">
        <f>IF(OR(A42="",F42=""),"",F42-VLOOKUP(A42,BILLING!$B:$I,7,FALSE))</f>
        <v/>
      </c>
      <c r="I42" s="33" t="str">
        <f>IF(A42="","",IF(E42&lt;=0,"Current",IF(TODAY()-VLOOKUP(A42,BILLING!$B:$I,7,FALSE)&lt;=30,"0-30 Days",IF(TODAY()-VLOOKUP(A42,BILLING!$B:$I,7,FALSE)&lt;=60,"31-60 Days","61+ Days"))))</f>
        <v/>
      </c>
    </row>
    <row r="43" ht="15.75" customHeight="1">
      <c r="A43" s="33" t="str">
        <f>IF(BILLING!B43="","",BILLING!B43)</f>
        <v/>
      </c>
      <c r="B43" s="33" t="str">
        <f>IF(A43="","",IFERROR(VLOOKUP(VLOOKUP(VLOOKUP(A43,BILLING!$B:$I,7,FALSE),BOOKINGS!$A:$Q,3,FALSE),CLIENTS!$A:$H,2,FALSE),""))</f>
        <v/>
      </c>
      <c r="C43" s="38" t="str">
        <f>IF(A43="","",IFERROR(VLOOKUP(A43,BILLING!$B:$I,5,FALSE),0))</f>
        <v/>
      </c>
      <c r="D43" s="38"/>
      <c r="E43" s="38" t="str">
        <f t="shared" si="1"/>
        <v/>
      </c>
      <c r="F43" s="39"/>
      <c r="G43" s="33" t="str">
        <f t="shared" si="2"/>
        <v/>
      </c>
      <c r="H43" s="33" t="str">
        <f>IF(OR(A43="",F43=""),"",F43-VLOOKUP(A43,BILLING!$B:$I,7,FALSE))</f>
        <v/>
      </c>
      <c r="I43" s="33" t="str">
        <f>IF(A43="","",IF(E43&lt;=0,"Current",IF(TODAY()-VLOOKUP(A43,BILLING!$B:$I,7,FALSE)&lt;=30,"0-30 Days",IF(TODAY()-VLOOKUP(A43,BILLING!$B:$I,7,FALSE)&lt;=60,"31-60 Days","61+ Days"))))</f>
        <v/>
      </c>
    </row>
    <row r="44" ht="15.75" customHeight="1">
      <c r="A44" s="33" t="str">
        <f>IF(BILLING!B44="","",BILLING!B44)</f>
        <v/>
      </c>
      <c r="B44" s="33" t="str">
        <f>IF(A44="","",IFERROR(VLOOKUP(VLOOKUP(VLOOKUP(A44,BILLING!$B:$I,7,FALSE),BOOKINGS!$A:$Q,3,FALSE),CLIENTS!$A:$H,2,FALSE),""))</f>
        <v/>
      </c>
      <c r="C44" s="38" t="str">
        <f>IF(A44="","",IFERROR(VLOOKUP(A44,BILLING!$B:$I,5,FALSE),0))</f>
        <v/>
      </c>
      <c r="D44" s="38"/>
      <c r="E44" s="38" t="str">
        <f t="shared" si="1"/>
        <v/>
      </c>
      <c r="F44" s="39"/>
      <c r="G44" s="33" t="str">
        <f t="shared" si="2"/>
        <v/>
      </c>
      <c r="H44" s="33" t="str">
        <f>IF(OR(A44="",F44=""),"",F44-VLOOKUP(A44,BILLING!$B:$I,7,FALSE))</f>
        <v/>
      </c>
      <c r="I44" s="33" t="str">
        <f>IF(A44="","",IF(E44&lt;=0,"Current",IF(TODAY()-VLOOKUP(A44,BILLING!$B:$I,7,FALSE)&lt;=30,"0-30 Days",IF(TODAY()-VLOOKUP(A44,BILLING!$B:$I,7,FALSE)&lt;=60,"31-60 Days","61+ Days"))))</f>
        <v/>
      </c>
    </row>
    <row r="45" ht="15.75" customHeight="1">
      <c r="A45" s="33" t="str">
        <f>IF(BILLING!B45="","",BILLING!B45)</f>
        <v/>
      </c>
      <c r="B45" s="33" t="str">
        <f>IF(A45="","",IFERROR(VLOOKUP(VLOOKUP(VLOOKUP(A45,BILLING!$B:$I,7,FALSE),BOOKINGS!$A:$Q,3,FALSE),CLIENTS!$A:$H,2,FALSE),""))</f>
        <v/>
      </c>
      <c r="C45" s="38" t="str">
        <f>IF(A45="","",IFERROR(VLOOKUP(A45,BILLING!$B:$I,5,FALSE),0))</f>
        <v/>
      </c>
      <c r="D45" s="38"/>
      <c r="E45" s="38" t="str">
        <f t="shared" si="1"/>
        <v/>
      </c>
      <c r="F45" s="39"/>
      <c r="G45" s="33" t="str">
        <f t="shared" si="2"/>
        <v/>
      </c>
      <c r="H45" s="33" t="str">
        <f>IF(OR(A45="",F45=""),"",F45-VLOOKUP(A45,BILLING!$B:$I,7,FALSE))</f>
        <v/>
      </c>
      <c r="I45" s="33" t="str">
        <f>IF(A45="","",IF(E45&lt;=0,"Current",IF(TODAY()-VLOOKUP(A45,BILLING!$B:$I,7,FALSE)&lt;=30,"0-30 Days",IF(TODAY()-VLOOKUP(A45,BILLING!$B:$I,7,FALSE)&lt;=60,"31-60 Days","61+ Days"))))</f>
        <v/>
      </c>
    </row>
    <row r="46" ht="15.75" customHeight="1">
      <c r="A46" s="33" t="str">
        <f>IF(BILLING!B46="","",BILLING!B46)</f>
        <v/>
      </c>
      <c r="B46" s="33" t="str">
        <f>IF(A46="","",IFERROR(VLOOKUP(VLOOKUP(VLOOKUP(A46,BILLING!$B:$I,7,FALSE),BOOKINGS!$A:$Q,3,FALSE),CLIENTS!$A:$H,2,FALSE),""))</f>
        <v/>
      </c>
      <c r="C46" s="38" t="str">
        <f>IF(A46="","",IFERROR(VLOOKUP(A46,BILLING!$B:$I,5,FALSE),0))</f>
        <v/>
      </c>
      <c r="D46" s="38"/>
      <c r="E46" s="38" t="str">
        <f t="shared" si="1"/>
        <v/>
      </c>
      <c r="F46" s="39"/>
      <c r="G46" s="33" t="str">
        <f t="shared" si="2"/>
        <v/>
      </c>
      <c r="H46" s="33" t="str">
        <f>IF(OR(A46="",F46=""),"",F46-VLOOKUP(A46,BILLING!$B:$I,7,FALSE))</f>
        <v/>
      </c>
      <c r="I46" s="33" t="str">
        <f>IF(A46="","",IF(E46&lt;=0,"Current",IF(TODAY()-VLOOKUP(A46,BILLING!$B:$I,7,FALSE)&lt;=30,"0-30 Days",IF(TODAY()-VLOOKUP(A46,BILLING!$B:$I,7,FALSE)&lt;=60,"31-60 Days","61+ Days"))))</f>
        <v/>
      </c>
    </row>
    <row r="47" ht="15.75" customHeight="1">
      <c r="A47" s="33" t="str">
        <f>IF(BILLING!B47="","",BILLING!B47)</f>
        <v/>
      </c>
      <c r="B47" s="33" t="str">
        <f>IF(A47="","",IFERROR(VLOOKUP(VLOOKUP(VLOOKUP(A47,BILLING!$B:$I,7,FALSE),BOOKINGS!$A:$Q,3,FALSE),CLIENTS!$A:$H,2,FALSE),""))</f>
        <v/>
      </c>
      <c r="C47" s="38" t="str">
        <f>IF(A47="","",IFERROR(VLOOKUP(A47,BILLING!$B:$I,5,FALSE),0))</f>
        <v/>
      </c>
      <c r="D47" s="38"/>
      <c r="E47" s="38" t="str">
        <f t="shared" si="1"/>
        <v/>
      </c>
      <c r="F47" s="39"/>
      <c r="G47" s="33" t="str">
        <f t="shared" si="2"/>
        <v/>
      </c>
      <c r="H47" s="33" t="str">
        <f>IF(OR(A47="",F47=""),"",F47-VLOOKUP(A47,BILLING!$B:$I,7,FALSE))</f>
        <v/>
      </c>
      <c r="I47" s="33" t="str">
        <f>IF(A47="","",IF(E47&lt;=0,"Current",IF(TODAY()-VLOOKUP(A47,BILLING!$B:$I,7,FALSE)&lt;=30,"0-30 Days",IF(TODAY()-VLOOKUP(A47,BILLING!$B:$I,7,FALSE)&lt;=60,"31-60 Days","61+ Days"))))</f>
        <v/>
      </c>
    </row>
    <row r="48" ht="15.75" customHeight="1">
      <c r="A48" s="33" t="str">
        <f>IF(BILLING!B48="","",BILLING!B48)</f>
        <v/>
      </c>
      <c r="B48" s="33" t="str">
        <f>IF(A48="","",IFERROR(VLOOKUP(VLOOKUP(VLOOKUP(A48,BILLING!$B:$I,7,FALSE),BOOKINGS!$A:$Q,3,FALSE),CLIENTS!$A:$H,2,FALSE),""))</f>
        <v/>
      </c>
      <c r="C48" s="38" t="str">
        <f>IF(A48="","",IFERROR(VLOOKUP(A48,BILLING!$B:$I,5,FALSE),0))</f>
        <v/>
      </c>
      <c r="D48" s="38"/>
      <c r="E48" s="38" t="str">
        <f t="shared" si="1"/>
        <v/>
      </c>
      <c r="F48" s="39"/>
      <c r="G48" s="33" t="str">
        <f t="shared" si="2"/>
        <v/>
      </c>
      <c r="H48" s="33" t="str">
        <f>IF(OR(A48="",F48=""),"",F48-VLOOKUP(A48,BILLING!$B:$I,7,FALSE))</f>
        <v/>
      </c>
      <c r="I48" s="33" t="str">
        <f>IF(A48="","",IF(E48&lt;=0,"Current",IF(TODAY()-VLOOKUP(A48,BILLING!$B:$I,7,FALSE)&lt;=30,"0-30 Days",IF(TODAY()-VLOOKUP(A48,BILLING!$B:$I,7,FALSE)&lt;=60,"31-60 Days","61+ Days"))))</f>
        <v/>
      </c>
    </row>
    <row r="49" ht="15.75" customHeight="1">
      <c r="A49" s="33" t="str">
        <f>IF(BILLING!B49="","",BILLING!B49)</f>
        <v/>
      </c>
      <c r="B49" s="33" t="str">
        <f>IF(A49="","",IFERROR(VLOOKUP(VLOOKUP(VLOOKUP(A49,BILLING!$B:$I,7,FALSE),BOOKINGS!$A:$Q,3,FALSE),CLIENTS!$A:$H,2,FALSE),""))</f>
        <v/>
      </c>
      <c r="C49" s="38" t="str">
        <f>IF(A49="","",IFERROR(VLOOKUP(A49,BILLING!$B:$I,5,FALSE),0))</f>
        <v/>
      </c>
      <c r="D49" s="38"/>
      <c r="E49" s="38" t="str">
        <f t="shared" si="1"/>
        <v/>
      </c>
      <c r="F49" s="39"/>
      <c r="G49" s="33" t="str">
        <f t="shared" si="2"/>
        <v/>
      </c>
      <c r="H49" s="33" t="str">
        <f>IF(OR(A49="",F49=""),"",F49-VLOOKUP(A49,BILLING!$B:$I,7,FALSE))</f>
        <v/>
      </c>
      <c r="I49" s="33" t="str">
        <f>IF(A49="","",IF(E49&lt;=0,"Current",IF(TODAY()-VLOOKUP(A49,BILLING!$B:$I,7,FALSE)&lt;=30,"0-30 Days",IF(TODAY()-VLOOKUP(A49,BILLING!$B:$I,7,FALSE)&lt;=60,"31-60 Days","61+ Days"))))</f>
        <v/>
      </c>
    </row>
    <row r="50" ht="15.75" customHeight="1">
      <c r="A50" s="33" t="str">
        <f>IF(BILLING!B50="","",BILLING!B50)</f>
        <v/>
      </c>
      <c r="B50" s="33" t="str">
        <f>IF(A50="","",IFERROR(VLOOKUP(VLOOKUP(VLOOKUP(A50,BILLING!$B:$I,7,FALSE),BOOKINGS!$A:$Q,3,FALSE),CLIENTS!$A:$H,2,FALSE),""))</f>
        <v/>
      </c>
      <c r="C50" s="38" t="str">
        <f>IF(A50="","",IFERROR(VLOOKUP(A50,BILLING!$B:$I,5,FALSE),0))</f>
        <v/>
      </c>
      <c r="D50" s="38"/>
      <c r="E50" s="38" t="str">
        <f t="shared" si="1"/>
        <v/>
      </c>
      <c r="F50" s="39"/>
      <c r="G50" s="33" t="str">
        <f t="shared" si="2"/>
        <v/>
      </c>
      <c r="H50" s="33" t="str">
        <f>IF(OR(A50="",F50=""),"",F50-VLOOKUP(A50,BILLING!$B:$I,7,FALSE))</f>
        <v/>
      </c>
      <c r="I50" s="33" t="str">
        <f>IF(A50="","",IF(E50&lt;=0,"Current",IF(TODAY()-VLOOKUP(A50,BILLING!$B:$I,7,FALSE)&lt;=30,"0-30 Days",IF(TODAY()-VLOOKUP(A50,BILLING!$B:$I,7,FALSE)&lt;=60,"31-60 Days","61+ Days"))))</f>
        <v/>
      </c>
    </row>
    <row r="51" ht="15.75" customHeight="1">
      <c r="A51" s="33" t="str">
        <f>IF(BILLING!B51="","",BILLING!B51)</f>
        <v/>
      </c>
      <c r="B51" s="33" t="str">
        <f>IF(A51="","",IFERROR(VLOOKUP(VLOOKUP(VLOOKUP(A51,BILLING!$B:$I,7,FALSE),BOOKINGS!$A:$Q,3,FALSE),CLIENTS!$A:$H,2,FALSE),""))</f>
        <v/>
      </c>
      <c r="C51" s="38" t="str">
        <f>IF(A51="","",IFERROR(VLOOKUP(A51,BILLING!$B:$I,5,FALSE),0))</f>
        <v/>
      </c>
      <c r="D51" s="38"/>
      <c r="E51" s="38" t="str">
        <f t="shared" si="1"/>
        <v/>
      </c>
      <c r="F51" s="39"/>
      <c r="G51" s="33" t="str">
        <f t="shared" si="2"/>
        <v/>
      </c>
      <c r="H51" s="33" t="str">
        <f>IF(OR(A51="",F51=""),"",F51-VLOOKUP(A51,BILLING!$B:$I,7,FALSE))</f>
        <v/>
      </c>
      <c r="I51" s="33" t="str">
        <f>IF(A51="","",IF(E51&lt;=0,"Current",IF(TODAY()-VLOOKUP(A51,BILLING!$B:$I,7,FALSE)&lt;=30,"0-30 Days",IF(TODAY()-VLOOKUP(A51,BILLING!$B:$I,7,FALSE)&lt;=60,"31-60 Days","61+ Days"))))</f>
        <v/>
      </c>
    </row>
    <row r="52" ht="15.75" customHeight="1">
      <c r="A52" s="33" t="str">
        <f>IF(BILLING!B52="","",BILLING!B52)</f>
        <v/>
      </c>
      <c r="B52" s="33" t="str">
        <f>IF(A52="","",IFERROR(VLOOKUP(VLOOKUP(VLOOKUP(A52,BILLING!$B:$I,7,FALSE),BOOKINGS!$A:$Q,3,FALSE),CLIENTS!$A:$H,2,FALSE),""))</f>
        <v/>
      </c>
      <c r="C52" s="38" t="str">
        <f>IF(A52="","",IFERROR(VLOOKUP(A52,BILLING!$B:$I,5,FALSE),0))</f>
        <v/>
      </c>
      <c r="D52" s="38"/>
      <c r="E52" s="38" t="str">
        <f t="shared" si="1"/>
        <v/>
      </c>
      <c r="F52" s="39"/>
      <c r="G52" s="33" t="str">
        <f t="shared" si="2"/>
        <v/>
      </c>
      <c r="H52" s="33" t="str">
        <f>IF(OR(A52="",F52=""),"",F52-VLOOKUP(A52,BILLING!$B:$I,7,FALSE))</f>
        <v/>
      </c>
      <c r="I52" s="33" t="str">
        <f>IF(A52="","",IF(E52&lt;=0,"Current",IF(TODAY()-VLOOKUP(A52,BILLING!$B:$I,7,FALSE)&lt;=30,"0-30 Days",IF(TODAY()-VLOOKUP(A52,BILLING!$B:$I,7,FALSE)&lt;=60,"31-60 Days","61+ Days"))))</f>
        <v/>
      </c>
    </row>
    <row r="53" ht="15.75" customHeight="1">
      <c r="A53" s="33" t="str">
        <f>IF(BILLING!B53="","",BILLING!B53)</f>
        <v/>
      </c>
      <c r="B53" s="33" t="str">
        <f>IF(A53="","",IFERROR(VLOOKUP(VLOOKUP(VLOOKUP(A53,BILLING!$B:$I,7,FALSE),BOOKINGS!$A:$Q,3,FALSE),CLIENTS!$A:$H,2,FALSE),""))</f>
        <v/>
      </c>
      <c r="C53" s="38" t="str">
        <f>IF(A53="","",IFERROR(VLOOKUP(A53,BILLING!$B:$I,5,FALSE),0))</f>
        <v/>
      </c>
      <c r="D53" s="38"/>
      <c r="E53" s="38" t="str">
        <f t="shared" si="1"/>
        <v/>
      </c>
      <c r="F53" s="39"/>
      <c r="G53" s="33" t="str">
        <f t="shared" si="2"/>
        <v/>
      </c>
      <c r="H53" s="33" t="str">
        <f>IF(OR(A53="",F53=""),"",F53-VLOOKUP(A53,BILLING!$B:$I,7,FALSE))</f>
        <v/>
      </c>
      <c r="I53" s="33" t="str">
        <f>IF(A53="","",IF(E53&lt;=0,"Current",IF(TODAY()-VLOOKUP(A53,BILLING!$B:$I,7,FALSE)&lt;=30,"0-30 Days",IF(TODAY()-VLOOKUP(A53,BILLING!$B:$I,7,FALSE)&lt;=60,"31-60 Days","61+ Days"))))</f>
        <v/>
      </c>
    </row>
    <row r="54" ht="15.75" customHeight="1">
      <c r="A54" s="33" t="str">
        <f>IF(BILLING!B54="","",BILLING!B54)</f>
        <v/>
      </c>
      <c r="B54" s="33" t="str">
        <f>IF(A54="","",IFERROR(VLOOKUP(VLOOKUP(VLOOKUP(A54,BILLING!$B:$I,7,FALSE),BOOKINGS!$A:$Q,3,FALSE),CLIENTS!$A:$H,2,FALSE),""))</f>
        <v/>
      </c>
      <c r="C54" s="38" t="str">
        <f>IF(A54="","",IFERROR(VLOOKUP(A54,BILLING!$B:$I,5,FALSE),0))</f>
        <v/>
      </c>
      <c r="D54" s="38"/>
      <c r="E54" s="38" t="str">
        <f t="shared" si="1"/>
        <v/>
      </c>
      <c r="F54" s="39"/>
      <c r="G54" s="33" t="str">
        <f t="shared" si="2"/>
        <v/>
      </c>
      <c r="H54" s="33" t="str">
        <f>IF(OR(A54="",F54=""),"",F54-VLOOKUP(A54,BILLING!$B:$I,7,FALSE))</f>
        <v/>
      </c>
      <c r="I54" s="33" t="str">
        <f>IF(A54="","",IF(E54&lt;=0,"Current",IF(TODAY()-VLOOKUP(A54,BILLING!$B:$I,7,FALSE)&lt;=30,"0-30 Days",IF(TODAY()-VLOOKUP(A54,BILLING!$B:$I,7,FALSE)&lt;=60,"31-60 Days","61+ Days"))))</f>
        <v/>
      </c>
    </row>
    <row r="55" ht="15.75" customHeight="1">
      <c r="A55" s="33" t="str">
        <f>IF(BILLING!B55="","",BILLING!B55)</f>
        <v/>
      </c>
      <c r="B55" s="33" t="str">
        <f>IF(A55="","",IFERROR(VLOOKUP(VLOOKUP(VLOOKUP(A55,BILLING!$B:$I,7,FALSE),BOOKINGS!$A:$Q,3,FALSE),CLIENTS!$A:$H,2,FALSE),""))</f>
        <v/>
      </c>
      <c r="C55" s="38" t="str">
        <f>IF(A55="","",IFERROR(VLOOKUP(A55,BILLING!$B:$I,5,FALSE),0))</f>
        <v/>
      </c>
      <c r="D55" s="38"/>
      <c r="E55" s="38" t="str">
        <f t="shared" si="1"/>
        <v/>
      </c>
      <c r="F55" s="39"/>
      <c r="G55" s="33" t="str">
        <f t="shared" si="2"/>
        <v/>
      </c>
      <c r="H55" s="33" t="str">
        <f>IF(OR(A55="",F55=""),"",F55-VLOOKUP(A55,BILLING!$B:$I,7,FALSE))</f>
        <v/>
      </c>
      <c r="I55" s="33" t="str">
        <f>IF(A55="","",IF(E55&lt;=0,"Current",IF(TODAY()-VLOOKUP(A55,BILLING!$B:$I,7,FALSE)&lt;=30,"0-30 Days",IF(TODAY()-VLOOKUP(A55,BILLING!$B:$I,7,FALSE)&lt;=60,"31-60 Days","61+ Days"))))</f>
        <v/>
      </c>
    </row>
    <row r="56" ht="15.75" customHeight="1">
      <c r="A56" s="33" t="str">
        <f>IF(BILLING!B56="","",BILLING!B56)</f>
        <v/>
      </c>
      <c r="B56" s="33" t="str">
        <f>IF(A56="","",IFERROR(VLOOKUP(VLOOKUP(VLOOKUP(A56,BILLING!$B:$I,7,FALSE),BOOKINGS!$A:$Q,3,FALSE),CLIENTS!$A:$H,2,FALSE),""))</f>
        <v/>
      </c>
      <c r="C56" s="38" t="str">
        <f>IF(A56="","",IFERROR(VLOOKUP(A56,BILLING!$B:$I,5,FALSE),0))</f>
        <v/>
      </c>
      <c r="D56" s="38"/>
      <c r="E56" s="38" t="str">
        <f t="shared" si="1"/>
        <v/>
      </c>
      <c r="F56" s="39"/>
      <c r="G56" s="33" t="str">
        <f t="shared" si="2"/>
        <v/>
      </c>
      <c r="H56" s="33" t="str">
        <f>IF(OR(A56="",F56=""),"",F56-VLOOKUP(A56,BILLING!$B:$I,7,FALSE))</f>
        <v/>
      </c>
      <c r="I56" s="33" t="str">
        <f>IF(A56="","",IF(E56&lt;=0,"Current",IF(TODAY()-VLOOKUP(A56,BILLING!$B:$I,7,FALSE)&lt;=30,"0-30 Days",IF(TODAY()-VLOOKUP(A56,BILLING!$B:$I,7,FALSE)&lt;=60,"31-60 Days","61+ Days"))))</f>
        <v/>
      </c>
    </row>
    <row r="57" ht="15.75" customHeight="1">
      <c r="A57" s="33" t="str">
        <f>IF(BILLING!B57="","",BILLING!B57)</f>
        <v/>
      </c>
      <c r="B57" s="33" t="str">
        <f>IF(A57="","",IFERROR(VLOOKUP(VLOOKUP(VLOOKUP(A57,BILLING!$B:$I,7,FALSE),BOOKINGS!$A:$Q,3,FALSE),CLIENTS!$A:$H,2,FALSE),""))</f>
        <v/>
      </c>
      <c r="C57" s="38" t="str">
        <f>IF(A57="","",IFERROR(VLOOKUP(A57,BILLING!$B:$I,5,FALSE),0))</f>
        <v/>
      </c>
      <c r="D57" s="38"/>
      <c r="E57" s="38" t="str">
        <f t="shared" si="1"/>
        <v/>
      </c>
      <c r="F57" s="39"/>
      <c r="G57" s="33" t="str">
        <f t="shared" si="2"/>
        <v/>
      </c>
      <c r="H57" s="33" t="str">
        <f>IF(OR(A57="",F57=""),"",F57-VLOOKUP(A57,BILLING!$B:$I,7,FALSE))</f>
        <v/>
      </c>
      <c r="I57" s="33" t="str">
        <f>IF(A57="","",IF(E57&lt;=0,"Current",IF(TODAY()-VLOOKUP(A57,BILLING!$B:$I,7,FALSE)&lt;=30,"0-30 Days",IF(TODAY()-VLOOKUP(A57,BILLING!$B:$I,7,FALSE)&lt;=60,"31-60 Days","61+ Days"))))</f>
        <v/>
      </c>
    </row>
    <row r="58" ht="15.75" customHeight="1">
      <c r="A58" s="33" t="str">
        <f>IF(BILLING!B58="","",BILLING!B58)</f>
        <v/>
      </c>
      <c r="B58" s="33" t="str">
        <f>IF(A58="","",IFERROR(VLOOKUP(VLOOKUP(VLOOKUP(A58,BILLING!$B:$I,7,FALSE),BOOKINGS!$A:$Q,3,FALSE),CLIENTS!$A:$H,2,FALSE),""))</f>
        <v/>
      </c>
      <c r="C58" s="38" t="str">
        <f>IF(A58="","",IFERROR(VLOOKUP(A58,BILLING!$B:$I,5,FALSE),0))</f>
        <v/>
      </c>
      <c r="D58" s="38"/>
      <c r="E58" s="38" t="str">
        <f t="shared" si="1"/>
        <v/>
      </c>
      <c r="F58" s="39"/>
      <c r="G58" s="33" t="str">
        <f t="shared" si="2"/>
        <v/>
      </c>
      <c r="H58" s="33" t="str">
        <f>IF(OR(A58="",F58=""),"",F58-VLOOKUP(A58,BILLING!$B:$I,7,FALSE))</f>
        <v/>
      </c>
      <c r="I58" s="33" t="str">
        <f>IF(A58="","",IF(E58&lt;=0,"Current",IF(TODAY()-VLOOKUP(A58,BILLING!$B:$I,7,FALSE)&lt;=30,"0-30 Days",IF(TODAY()-VLOOKUP(A58,BILLING!$B:$I,7,FALSE)&lt;=60,"31-60 Days","61+ Days"))))</f>
        <v/>
      </c>
    </row>
    <row r="59" ht="15.75" customHeight="1">
      <c r="A59" s="33" t="str">
        <f>IF(BILLING!B59="","",BILLING!B59)</f>
        <v/>
      </c>
      <c r="B59" s="33" t="str">
        <f>IF(A59="","",IFERROR(VLOOKUP(VLOOKUP(VLOOKUP(A59,BILLING!$B:$I,7,FALSE),BOOKINGS!$A:$Q,3,FALSE),CLIENTS!$A:$H,2,FALSE),""))</f>
        <v/>
      </c>
      <c r="C59" s="38" t="str">
        <f>IF(A59="","",IFERROR(VLOOKUP(A59,BILLING!$B:$I,5,FALSE),0))</f>
        <v/>
      </c>
      <c r="D59" s="38"/>
      <c r="E59" s="38" t="str">
        <f t="shared" si="1"/>
        <v/>
      </c>
      <c r="F59" s="39"/>
      <c r="G59" s="33" t="str">
        <f t="shared" si="2"/>
        <v/>
      </c>
      <c r="H59" s="33" t="str">
        <f>IF(OR(A59="",F59=""),"",F59-VLOOKUP(A59,BILLING!$B:$I,7,FALSE))</f>
        <v/>
      </c>
      <c r="I59" s="33" t="str">
        <f>IF(A59="","",IF(E59&lt;=0,"Current",IF(TODAY()-VLOOKUP(A59,BILLING!$B:$I,7,FALSE)&lt;=30,"0-30 Days",IF(TODAY()-VLOOKUP(A59,BILLING!$B:$I,7,FALSE)&lt;=60,"31-60 Days","61+ Days"))))</f>
        <v/>
      </c>
    </row>
    <row r="60" ht="15.75" customHeight="1">
      <c r="A60" s="33" t="str">
        <f>IF(BILLING!B60="","",BILLING!B60)</f>
        <v/>
      </c>
      <c r="B60" s="33" t="str">
        <f>IF(A60="","",IFERROR(VLOOKUP(VLOOKUP(VLOOKUP(A60,BILLING!$B:$I,7,FALSE),BOOKINGS!$A:$Q,3,FALSE),CLIENTS!$A:$H,2,FALSE),""))</f>
        <v/>
      </c>
      <c r="C60" s="38" t="str">
        <f>IF(A60="","",IFERROR(VLOOKUP(A60,BILLING!$B:$I,5,FALSE),0))</f>
        <v/>
      </c>
      <c r="D60" s="38"/>
      <c r="E60" s="38" t="str">
        <f t="shared" si="1"/>
        <v/>
      </c>
      <c r="F60" s="39"/>
      <c r="G60" s="33" t="str">
        <f t="shared" si="2"/>
        <v/>
      </c>
      <c r="H60" s="33" t="str">
        <f>IF(OR(A60="",F60=""),"",F60-VLOOKUP(A60,BILLING!$B:$I,7,FALSE))</f>
        <v/>
      </c>
      <c r="I60" s="33" t="str">
        <f>IF(A60="","",IF(E60&lt;=0,"Current",IF(TODAY()-VLOOKUP(A60,BILLING!$B:$I,7,FALSE)&lt;=30,"0-30 Days",IF(TODAY()-VLOOKUP(A60,BILLING!$B:$I,7,FALSE)&lt;=60,"31-60 Days","61+ Days"))))</f>
        <v/>
      </c>
    </row>
    <row r="61" ht="15.75" customHeight="1">
      <c r="A61" s="33" t="str">
        <f>IF(BILLING!B61="","",BILLING!B61)</f>
        <v/>
      </c>
      <c r="B61" s="33" t="str">
        <f>IF(A61="","",IFERROR(VLOOKUP(VLOOKUP(VLOOKUP(A61,BILLING!$B:$I,7,FALSE),BOOKINGS!$A:$Q,3,FALSE),CLIENTS!$A:$H,2,FALSE),""))</f>
        <v/>
      </c>
      <c r="C61" s="38" t="str">
        <f>IF(A61="","",IFERROR(VLOOKUP(A61,BILLING!$B:$I,5,FALSE),0))</f>
        <v/>
      </c>
      <c r="D61" s="38"/>
      <c r="E61" s="38" t="str">
        <f t="shared" si="1"/>
        <v/>
      </c>
      <c r="F61" s="39"/>
      <c r="G61" s="33" t="str">
        <f t="shared" si="2"/>
        <v/>
      </c>
      <c r="H61" s="33" t="str">
        <f>IF(OR(A61="",F61=""),"",F61-VLOOKUP(A61,BILLING!$B:$I,7,FALSE))</f>
        <v/>
      </c>
      <c r="I61" s="33" t="str">
        <f>IF(A61="","",IF(E61&lt;=0,"Current",IF(TODAY()-VLOOKUP(A61,BILLING!$B:$I,7,FALSE)&lt;=30,"0-30 Days",IF(TODAY()-VLOOKUP(A61,BILLING!$B:$I,7,FALSE)&lt;=60,"31-60 Days","61+ Days"))))</f>
        <v/>
      </c>
    </row>
    <row r="62" ht="15.75" customHeight="1">
      <c r="A62" s="33" t="str">
        <f>IF(BILLING!B62="","",BILLING!B62)</f>
        <v/>
      </c>
      <c r="B62" s="33" t="str">
        <f>IF(A62="","",IFERROR(VLOOKUP(VLOOKUP(VLOOKUP(A62,BILLING!$B:$I,7,FALSE),BOOKINGS!$A:$Q,3,FALSE),CLIENTS!$A:$H,2,FALSE),""))</f>
        <v/>
      </c>
      <c r="C62" s="38" t="str">
        <f>IF(A62="","",IFERROR(VLOOKUP(A62,BILLING!$B:$I,5,FALSE),0))</f>
        <v/>
      </c>
      <c r="D62" s="38"/>
      <c r="E62" s="38" t="str">
        <f t="shared" si="1"/>
        <v/>
      </c>
      <c r="F62" s="39"/>
      <c r="G62" s="33" t="str">
        <f t="shared" si="2"/>
        <v/>
      </c>
      <c r="H62" s="33" t="str">
        <f>IF(OR(A62="",F62=""),"",F62-VLOOKUP(A62,BILLING!$B:$I,7,FALSE))</f>
        <v/>
      </c>
      <c r="I62" s="33" t="str">
        <f>IF(A62="","",IF(E62&lt;=0,"Current",IF(TODAY()-VLOOKUP(A62,BILLING!$B:$I,7,FALSE)&lt;=30,"0-30 Days",IF(TODAY()-VLOOKUP(A62,BILLING!$B:$I,7,FALSE)&lt;=60,"31-60 Days","61+ Days"))))</f>
        <v/>
      </c>
    </row>
    <row r="63" ht="15.75" customHeight="1">
      <c r="A63" s="33" t="str">
        <f>IF(BILLING!B63="","",BILLING!B63)</f>
        <v/>
      </c>
      <c r="B63" s="33" t="str">
        <f>IF(A63="","",IFERROR(VLOOKUP(VLOOKUP(VLOOKUP(A63,BILLING!$B:$I,7,FALSE),BOOKINGS!$A:$Q,3,FALSE),CLIENTS!$A:$H,2,FALSE),""))</f>
        <v/>
      </c>
      <c r="C63" s="38" t="str">
        <f>IF(A63="","",IFERROR(VLOOKUP(A63,BILLING!$B:$I,5,FALSE),0))</f>
        <v/>
      </c>
      <c r="D63" s="38"/>
      <c r="E63" s="38" t="str">
        <f t="shared" si="1"/>
        <v/>
      </c>
      <c r="F63" s="39"/>
      <c r="G63" s="33" t="str">
        <f t="shared" si="2"/>
        <v/>
      </c>
      <c r="H63" s="33" t="str">
        <f>IF(OR(A63="",F63=""),"",F63-VLOOKUP(A63,BILLING!$B:$I,7,FALSE))</f>
        <v/>
      </c>
      <c r="I63" s="33" t="str">
        <f>IF(A63="","",IF(E63&lt;=0,"Current",IF(TODAY()-VLOOKUP(A63,BILLING!$B:$I,7,FALSE)&lt;=30,"0-30 Days",IF(TODAY()-VLOOKUP(A63,BILLING!$B:$I,7,FALSE)&lt;=60,"31-60 Days","61+ Days"))))</f>
        <v/>
      </c>
    </row>
    <row r="64" ht="15.75" customHeight="1">
      <c r="A64" s="33" t="str">
        <f>IF(BILLING!B64="","",BILLING!B64)</f>
        <v/>
      </c>
      <c r="B64" s="33" t="str">
        <f>IF(A64="","",IFERROR(VLOOKUP(VLOOKUP(VLOOKUP(A64,BILLING!$B:$I,7,FALSE),BOOKINGS!$A:$Q,3,FALSE),CLIENTS!$A:$H,2,FALSE),""))</f>
        <v/>
      </c>
      <c r="C64" s="38" t="str">
        <f>IF(A64="","",IFERROR(VLOOKUP(A64,BILLING!$B:$I,5,FALSE),0))</f>
        <v/>
      </c>
      <c r="D64" s="38"/>
      <c r="E64" s="38" t="str">
        <f t="shared" si="1"/>
        <v/>
      </c>
      <c r="F64" s="39"/>
      <c r="G64" s="33" t="str">
        <f t="shared" si="2"/>
        <v/>
      </c>
      <c r="H64" s="33" t="str">
        <f>IF(OR(A64="",F64=""),"",F64-VLOOKUP(A64,BILLING!$B:$I,7,FALSE))</f>
        <v/>
      </c>
      <c r="I64" s="33" t="str">
        <f>IF(A64="","",IF(E64&lt;=0,"Current",IF(TODAY()-VLOOKUP(A64,BILLING!$B:$I,7,FALSE)&lt;=30,"0-30 Days",IF(TODAY()-VLOOKUP(A64,BILLING!$B:$I,7,FALSE)&lt;=60,"31-60 Days","61+ Days"))))</f>
        <v/>
      </c>
    </row>
    <row r="65" ht="15.75" customHeight="1">
      <c r="A65" s="33" t="str">
        <f>IF(BILLING!B65="","",BILLING!B65)</f>
        <v/>
      </c>
      <c r="B65" s="33" t="str">
        <f>IF(A65="","",IFERROR(VLOOKUP(VLOOKUP(VLOOKUP(A65,BILLING!$B:$I,7,FALSE),BOOKINGS!$A:$Q,3,FALSE),CLIENTS!$A:$H,2,FALSE),""))</f>
        <v/>
      </c>
      <c r="C65" s="38" t="str">
        <f>IF(A65="","",IFERROR(VLOOKUP(A65,BILLING!$B:$I,5,FALSE),0))</f>
        <v/>
      </c>
      <c r="D65" s="38"/>
      <c r="E65" s="38" t="str">
        <f t="shared" si="1"/>
        <v/>
      </c>
      <c r="F65" s="39"/>
      <c r="G65" s="33" t="str">
        <f t="shared" si="2"/>
        <v/>
      </c>
      <c r="H65" s="33" t="str">
        <f>IF(OR(A65="",F65=""),"",F65-VLOOKUP(A65,BILLING!$B:$I,7,FALSE))</f>
        <v/>
      </c>
      <c r="I65" s="33" t="str">
        <f>IF(A65="","",IF(E65&lt;=0,"Current",IF(TODAY()-VLOOKUP(A65,BILLING!$B:$I,7,FALSE)&lt;=30,"0-30 Days",IF(TODAY()-VLOOKUP(A65,BILLING!$B:$I,7,FALSE)&lt;=60,"31-60 Days","61+ Days"))))</f>
        <v/>
      </c>
    </row>
    <row r="66" ht="15.75" customHeight="1">
      <c r="A66" s="33" t="str">
        <f>IF(BILLING!B66="","",BILLING!B66)</f>
        <v/>
      </c>
      <c r="B66" s="33" t="str">
        <f>IF(A66="","",IFERROR(VLOOKUP(VLOOKUP(VLOOKUP(A66,BILLING!$B:$I,7,FALSE),BOOKINGS!$A:$Q,3,FALSE),CLIENTS!$A:$H,2,FALSE),""))</f>
        <v/>
      </c>
      <c r="C66" s="38" t="str">
        <f>IF(A66="","",IFERROR(VLOOKUP(A66,BILLING!$B:$I,5,FALSE),0))</f>
        <v/>
      </c>
      <c r="D66" s="38"/>
      <c r="E66" s="38" t="str">
        <f t="shared" si="1"/>
        <v/>
      </c>
      <c r="F66" s="39"/>
      <c r="G66" s="33" t="str">
        <f t="shared" si="2"/>
        <v/>
      </c>
      <c r="H66" s="33" t="str">
        <f>IF(OR(A66="",F66=""),"",F66-VLOOKUP(A66,BILLING!$B:$I,7,FALSE))</f>
        <v/>
      </c>
      <c r="I66" s="33" t="str">
        <f>IF(A66="","",IF(E66&lt;=0,"Current",IF(TODAY()-VLOOKUP(A66,BILLING!$B:$I,7,FALSE)&lt;=30,"0-30 Days",IF(TODAY()-VLOOKUP(A66,BILLING!$B:$I,7,FALSE)&lt;=60,"31-60 Days","61+ Days"))))</f>
        <v/>
      </c>
    </row>
    <row r="67" ht="15.75" customHeight="1">
      <c r="A67" s="33" t="str">
        <f>IF(BILLING!B67="","",BILLING!B67)</f>
        <v/>
      </c>
      <c r="B67" s="33" t="str">
        <f>IF(A67="","",IFERROR(VLOOKUP(VLOOKUP(VLOOKUP(A67,BILLING!$B:$I,7,FALSE),BOOKINGS!$A:$Q,3,FALSE),CLIENTS!$A:$H,2,FALSE),""))</f>
        <v/>
      </c>
      <c r="C67" s="38" t="str">
        <f>IF(A67="","",IFERROR(VLOOKUP(A67,BILLING!$B:$I,5,FALSE),0))</f>
        <v/>
      </c>
      <c r="D67" s="38"/>
      <c r="E67" s="38" t="str">
        <f t="shared" si="1"/>
        <v/>
      </c>
      <c r="F67" s="39"/>
      <c r="G67" s="33" t="str">
        <f t="shared" si="2"/>
        <v/>
      </c>
      <c r="H67" s="33" t="str">
        <f>IF(OR(A67="",F67=""),"",F67-VLOOKUP(A67,BILLING!$B:$I,7,FALSE))</f>
        <v/>
      </c>
      <c r="I67" s="33" t="str">
        <f>IF(A67="","",IF(E67&lt;=0,"Current",IF(TODAY()-VLOOKUP(A67,BILLING!$B:$I,7,FALSE)&lt;=30,"0-30 Days",IF(TODAY()-VLOOKUP(A67,BILLING!$B:$I,7,FALSE)&lt;=60,"31-60 Days","61+ Days"))))</f>
        <v/>
      </c>
    </row>
    <row r="68" ht="15.75" customHeight="1">
      <c r="A68" s="33" t="str">
        <f>IF(BILLING!B68="","",BILLING!B68)</f>
        <v/>
      </c>
      <c r="B68" s="33" t="str">
        <f>IF(A68="","",IFERROR(VLOOKUP(VLOOKUP(VLOOKUP(A68,BILLING!$B:$I,7,FALSE),BOOKINGS!$A:$Q,3,FALSE),CLIENTS!$A:$H,2,FALSE),""))</f>
        <v/>
      </c>
      <c r="C68" s="38" t="str">
        <f>IF(A68="","",IFERROR(VLOOKUP(A68,BILLING!$B:$I,5,FALSE),0))</f>
        <v/>
      </c>
      <c r="D68" s="38"/>
      <c r="E68" s="38" t="str">
        <f t="shared" si="1"/>
        <v/>
      </c>
      <c r="F68" s="39"/>
      <c r="G68" s="33" t="str">
        <f t="shared" si="2"/>
        <v/>
      </c>
      <c r="H68" s="33" t="str">
        <f>IF(OR(A68="",F68=""),"",F68-VLOOKUP(A68,BILLING!$B:$I,7,FALSE))</f>
        <v/>
      </c>
      <c r="I68" s="33" t="str">
        <f>IF(A68="","",IF(E68&lt;=0,"Current",IF(TODAY()-VLOOKUP(A68,BILLING!$B:$I,7,FALSE)&lt;=30,"0-30 Days",IF(TODAY()-VLOOKUP(A68,BILLING!$B:$I,7,FALSE)&lt;=60,"31-60 Days","61+ Days"))))</f>
        <v/>
      </c>
    </row>
    <row r="69" ht="15.75" customHeight="1">
      <c r="A69" s="33" t="str">
        <f>IF(BILLING!B69="","",BILLING!B69)</f>
        <v/>
      </c>
      <c r="B69" s="33" t="str">
        <f>IF(A69="","",IFERROR(VLOOKUP(VLOOKUP(VLOOKUP(A69,BILLING!$B:$I,7,FALSE),BOOKINGS!$A:$Q,3,FALSE),CLIENTS!$A:$H,2,FALSE),""))</f>
        <v/>
      </c>
      <c r="C69" s="38" t="str">
        <f>IF(A69="","",IFERROR(VLOOKUP(A69,BILLING!$B:$I,5,FALSE),0))</f>
        <v/>
      </c>
      <c r="D69" s="38"/>
      <c r="E69" s="38" t="str">
        <f t="shared" si="1"/>
        <v/>
      </c>
      <c r="F69" s="39"/>
      <c r="G69" s="33" t="str">
        <f t="shared" si="2"/>
        <v/>
      </c>
      <c r="H69" s="33" t="str">
        <f>IF(OR(A69="",F69=""),"",F69-VLOOKUP(A69,BILLING!$B:$I,7,FALSE))</f>
        <v/>
      </c>
      <c r="I69" s="33" t="str">
        <f>IF(A69="","",IF(E69&lt;=0,"Current",IF(TODAY()-VLOOKUP(A69,BILLING!$B:$I,7,FALSE)&lt;=30,"0-30 Days",IF(TODAY()-VLOOKUP(A69,BILLING!$B:$I,7,FALSE)&lt;=60,"31-60 Days","61+ Days"))))</f>
        <v/>
      </c>
    </row>
    <row r="70" ht="15.75" customHeight="1">
      <c r="A70" s="33" t="str">
        <f>IF(BILLING!B70="","",BILLING!B70)</f>
        <v/>
      </c>
      <c r="B70" s="33" t="str">
        <f>IF(A70="","",IFERROR(VLOOKUP(VLOOKUP(VLOOKUP(A70,BILLING!$B:$I,7,FALSE),BOOKINGS!$A:$Q,3,FALSE),CLIENTS!$A:$H,2,FALSE),""))</f>
        <v/>
      </c>
      <c r="C70" s="38" t="str">
        <f>IF(A70="","",IFERROR(VLOOKUP(A70,BILLING!$B:$I,5,FALSE),0))</f>
        <v/>
      </c>
      <c r="D70" s="38"/>
      <c r="E70" s="38" t="str">
        <f t="shared" si="1"/>
        <v/>
      </c>
      <c r="F70" s="39"/>
      <c r="G70" s="33" t="str">
        <f t="shared" si="2"/>
        <v/>
      </c>
      <c r="H70" s="33" t="str">
        <f>IF(OR(A70="",F70=""),"",F70-VLOOKUP(A70,BILLING!$B:$I,7,FALSE))</f>
        <v/>
      </c>
      <c r="I70" s="33" t="str">
        <f>IF(A70="","",IF(E70&lt;=0,"Current",IF(TODAY()-VLOOKUP(A70,BILLING!$B:$I,7,FALSE)&lt;=30,"0-30 Days",IF(TODAY()-VLOOKUP(A70,BILLING!$B:$I,7,FALSE)&lt;=60,"31-60 Days","61+ Days"))))</f>
        <v/>
      </c>
    </row>
    <row r="71" ht="15.75" customHeight="1">
      <c r="A71" s="33" t="str">
        <f>IF(BILLING!B71="","",BILLING!B71)</f>
        <v/>
      </c>
      <c r="B71" s="33" t="str">
        <f>IF(A71="","",IFERROR(VLOOKUP(VLOOKUP(VLOOKUP(A71,BILLING!$B:$I,7,FALSE),BOOKINGS!$A:$Q,3,FALSE),CLIENTS!$A:$H,2,FALSE),""))</f>
        <v/>
      </c>
      <c r="C71" s="38" t="str">
        <f>IF(A71="","",IFERROR(VLOOKUP(A71,BILLING!$B:$I,5,FALSE),0))</f>
        <v/>
      </c>
      <c r="D71" s="38"/>
      <c r="E71" s="38" t="str">
        <f t="shared" si="1"/>
        <v/>
      </c>
      <c r="F71" s="39"/>
      <c r="G71" s="33" t="str">
        <f t="shared" si="2"/>
        <v/>
      </c>
      <c r="H71" s="33" t="str">
        <f>IF(OR(A71="",F71=""),"",F71-VLOOKUP(A71,BILLING!$B:$I,7,FALSE))</f>
        <v/>
      </c>
      <c r="I71" s="33" t="str">
        <f>IF(A71="","",IF(E71&lt;=0,"Current",IF(TODAY()-VLOOKUP(A71,BILLING!$B:$I,7,FALSE)&lt;=30,"0-30 Days",IF(TODAY()-VLOOKUP(A71,BILLING!$B:$I,7,FALSE)&lt;=60,"31-60 Days","61+ Days"))))</f>
        <v/>
      </c>
    </row>
    <row r="72" ht="15.75" customHeight="1">
      <c r="A72" s="33" t="str">
        <f>IF(BILLING!B72="","",BILLING!B72)</f>
        <v/>
      </c>
      <c r="B72" s="33" t="str">
        <f>IF(A72="","",IFERROR(VLOOKUP(VLOOKUP(VLOOKUP(A72,BILLING!$B:$I,7,FALSE),BOOKINGS!$A:$Q,3,FALSE),CLIENTS!$A:$H,2,FALSE),""))</f>
        <v/>
      </c>
      <c r="C72" s="38" t="str">
        <f>IF(A72="","",IFERROR(VLOOKUP(A72,BILLING!$B:$I,5,FALSE),0))</f>
        <v/>
      </c>
      <c r="D72" s="38"/>
      <c r="E72" s="38" t="str">
        <f t="shared" si="1"/>
        <v/>
      </c>
      <c r="F72" s="39"/>
      <c r="G72" s="33" t="str">
        <f t="shared" si="2"/>
        <v/>
      </c>
      <c r="H72" s="33" t="str">
        <f>IF(OR(A72="",F72=""),"",F72-VLOOKUP(A72,BILLING!$B:$I,7,FALSE))</f>
        <v/>
      </c>
      <c r="I72" s="33" t="str">
        <f>IF(A72="","",IF(E72&lt;=0,"Current",IF(TODAY()-VLOOKUP(A72,BILLING!$B:$I,7,FALSE)&lt;=30,"0-30 Days",IF(TODAY()-VLOOKUP(A72,BILLING!$B:$I,7,FALSE)&lt;=60,"31-60 Days","61+ Days"))))</f>
        <v/>
      </c>
    </row>
    <row r="73" ht="15.75" customHeight="1">
      <c r="A73" s="33" t="str">
        <f>IF(BILLING!B73="","",BILLING!B73)</f>
        <v/>
      </c>
      <c r="B73" s="33" t="str">
        <f>IF(A73="","",IFERROR(VLOOKUP(VLOOKUP(VLOOKUP(A73,BILLING!$B:$I,7,FALSE),BOOKINGS!$A:$Q,3,FALSE),CLIENTS!$A:$H,2,FALSE),""))</f>
        <v/>
      </c>
      <c r="C73" s="38" t="str">
        <f>IF(A73="","",IFERROR(VLOOKUP(A73,BILLING!$B:$I,5,FALSE),0))</f>
        <v/>
      </c>
      <c r="D73" s="38"/>
      <c r="E73" s="38" t="str">
        <f t="shared" si="1"/>
        <v/>
      </c>
      <c r="F73" s="39"/>
      <c r="G73" s="33" t="str">
        <f t="shared" si="2"/>
        <v/>
      </c>
      <c r="H73" s="33" t="str">
        <f>IF(OR(A73="",F73=""),"",F73-VLOOKUP(A73,BILLING!$B:$I,7,FALSE))</f>
        <v/>
      </c>
      <c r="I73" s="33" t="str">
        <f>IF(A73="","",IF(E73&lt;=0,"Current",IF(TODAY()-VLOOKUP(A73,BILLING!$B:$I,7,FALSE)&lt;=30,"0-30 Days",IF(TODAY()-VLOOKUP(A73,BILLING!$B:$I,7,FALSE)&lt;=60,"31-60 Days","61+ Days"))))</f>
        <v/>
      </c>
    </row>
    <row r="74" ht="15.75" customHeight="1">
      <c r="A74" s="33" t="str">
        <f>IF(BILLING!B74="","",BILLING!B74)</f>
        <v/>
      </c>
      <c r="B74" s="33" t="str">
        <f>IF(A74="","",IFERROR(VLOOKUP(VLOOKUP(VLOOKUP(A74,BILLING!$B:$I,7,FALSE),BOOKINGS!$A:$Q,3,FALSE),CLIENTS!$A:$H,2,FALSE),""))</f>
        <v/>
      </c>
      <c r="C74" s="38" t="str">
        <f>IF(A74="","",IFERROR(VLOOKUP(A74,BILLING!$B:$I,5,FALSE),0))</f>
        <v/>
      </c>
      <c r="D74" s="38"/>
      <c r="E74" s="38" t="str">
        <f t="shared" si="1"/>
        <v/>
      </c>
      <c r="F74" s="39"/>
      <c r="G74" s="33" t="str">
        <f t="shared" si="2"/>
        <v/>
      </c>
      <c r="H74" s="33" t="str">
        <f>IF(OR(A74="",F74=""),"",F74-VLOOKUP(A74,BILLING!$B:$I,7,FALSE))</f>
        <v/>
      </c>
      <c r="I74" s="33" t="str">
        <f>IF(A74="","",IF(E74&lt;=0,"Current",IF(TODAY()-VLOOKUP(A74,BILLING!$B:$I,7,FALSE)&lt;=30,"0-30 Days",IF(TODAY()-VLOOKUP(A74,BILLING!$B:$I,7,FALSE)&lt;=60,"31-60 Days","61+ Days"))))</f>
        <v/>
      </c>
    </row>
    <row r="75" ht="15.75" customHeight="1">
      <c r="A75" s="33" t="str">
        <f>IF(BILLING!B75="","",BILLING!B75)</f>
        <v/>
      </c>
      <c r="B75" s="33" t="str">
        <f>IF(A75="","",IFERROR(VLOOKUP(VLOOKUP(VLOOKUP(A75,BILLING!$B:$I,7,FALSE),BOOKINGS!$A:$Q,3,FALSE),CLIENTS!$A:$H,2,FALSE),""))</f>
        <v/>
      </c>
      <c r="C75" s="38" t="str">
        <f>IF(A75="","",IFERROR(VLOOKUP(A75,BILLING!$B:$I,5,FALSE),0))</f>
        <v/>
      </c>
      <c r="D75" s="38"/>
      <c r="E75" s="38" t="str">
        <f t="shared" si="1"/>
        <v/>
      </c>
      <c r="F75" s="39"/>
      <c r="G75" s="33" t="str">
        <f t="shared" si="2"/>
        <v/>
      </c>
      <c r="H75" s="33" t="str">
        <f>IF(OR(A75="",F75=""),"",F75-VLOOKUP(A75,BILLING!$B:$I,7,FALSE))</f>
        <v/>
      </c>
      <c r="I75" s="33" t="str">
        <f>IF(A75="","",IF(E75&lt;=0,"Current",IF(TODAY()-VLOOKUP(A75,BILLING!$B:$I,7,FALSE)&lt;=30,"0-30 Days",IF(TODAY()-VLOOKUP(A75,BILLING!$B:$I,7,FALSE)&lt;=60,"31-60 Days","61+ Days"))))</f>
        <v/>
      </c>
    </row>
    <row r="76" ht="15.75" customHeight="1">
      <c r="A76" s="33" t="str">
        <f>IF(BILLING!B76="","",BILLING!B76)</f>
        <v/>
      </c>
      <c r="B76" s="33" t="str">
        <f>IF(A76="","",IFERROR(VLOOKUP(VLOOKUP(VLOOKUP(A76,BILLING!$B:$I,7,FALSE),BOOKINGS!$A:$Q,3,FALSE),CLIENTS!$A:$H,2,FALSE),""))</f>
        <v/>
      </c>
      <c r="C76" s="38" t="str">
        <f>IF(A76="","",IFERROR(VLOOKUP(A76,BILLING!$B:$I,5,FALSE),0))</f>
        <v/>
      </c>
      <c r="D76" s="38"/>
      <c r="E76" s="38" t="str">
        <f t="shared" si="1"/>
        <v/>
      </c>
      <c r="F76" s="39"/>
      <c r="G76" s="33" t="str">
        <f t="shared" si="2"/>
        <v/>
      </c>
      <c r="H76" s="33" t="str">
        <f>IF(OR(A76="",F76=""),"",F76-VLOOKUP(A76,BILLING!$B:$I,7,FALSE))</f>
        <v/>
      </c>
      <c r="I76" s="33" t="str">
        <f>IF(A76="","",IF(E76&lt;=0,"Current",IF(TODAY()-VLOOKUP(A76,BILLING!$B:$I,7,FALSE)&lt;=30,"0-30 Days",IF(TODAY()-VLOOKUP(A76,BILLING!$B:$I,7,FALSE)&lt;=60,"31-60 Days","61+ Days"))))</f>
        <v/>
      </c>
    </row>
    <row r="77" ht="15.75" customHeight="1">
      <c r="A77" s="33" t="str">
        <f>IF(BILLING!B77="","",BILLING!B77)</f>
        <v/>
      </c>
      <c r="B77" s="33" t="str">
        <f>IF(A77="","",IFERROR(VLOOKUP(VLOOKUP(VLOOKUP(A77,BILLING!$B:$I,7,FALSE),BOOKINGS!$A:$Q,3,FALSE),CLIENTS!$A:$H,2,FALSE),""))</f>
        <v/>
      </c>
      <c r="C77" s="38" t="str">
        <f>IF(A77="","",IFERROR(VLOOKUP(A77,BILLING!$B:$I,5,FALSE),0))</f>
        <v/>
      </c>
      <c r="D77" s="38"/>
      <c r="E77" s="38" t="str">
        <f t="shared" si="1"/>
        <v/>
      </c>
      <c r="F77" s="39"/>
      <c r="G77" s="33" t="str">
        <f t="shared" si="2"/>
        <v/>
      </c>
      <c r="H77" s="33" t="str">
        <f>IF(OR(A77="",F77=""),"",F77-VLOOKUP(A77,BILLING!$B:$I,7,FALSE))</f>
        <v/>
      </c>
      <c r="I77" s="33" t="str">
        <f>IF(A77="","",IF(E77&lt;=0,"Current",IF(TODAY()-VLOOKUP(A77,BILLING!$B:$I,7,FALSE)&lt;=30,"0-30 Days",IF(TODAY()-VLOOKUP(A77,BILLING!$B:$I,7,FALSE)&lt;=60,"31-60 Days","61+ Days"))))</f>
        <v/>
      </c>
    </row>
    <row r="78" ht="15.75" customHeight="1">
      <c r="A78" s="33" t="str">
        <f>IF(BILLING!B78="","",BILLING!B78)</f>
        <v/>
      </c>
      <c r="B78" s="33" t="str">
        <f>IF(A78="","",IFERROR(VLOOKUP(VLOOKUP(VLOOKUP(A78,BILLING!$B:$I,7,FALSE),BOOKINGS!$A:$Q,3,FALSE),CLIENTS!$A:$H,2,FALSE),""))</f>
        <v/>
      </c>
      <c r="C78" s="38" t="str">
        <f>IF(A78="","",IFERROR(VLOOKUP(A78,BILLING!$B:$I,5,FALSE),0))</f>
        <v/>
      </c>
      <c r="D78" s="38"/>
      <c r="E78" s="38" t="str">
        <f t="shared" si="1"/>
        <v/>
      </c>
      <c r="F78" s="39"/>
      <c r="G78" s="33" t="str">
        <f t="shared" si="2"/>
        <v/>
      </c>
      <c r="H78" s="33" t="str">
        <f>IF(OR(A78="",F78=""),"",F78-VLOOKUP(A78,BILLING!$B:$I,7,FALSE))</f>
        <v/>
      </c>
      <c r="I78" s="33" t="str">
        <f>IF(A78="","",IF(E78&lt;=0,"Current",IF(TODAY()-VLOOKUP(A78,BILLING!$B:$I,7,FALSE)&lt;=30,"0-30 Days",IF(TODAY()-VLOOKUP(A78,BILLING!$B:$I,7,FALSE)&lt;=60,"31-60 Days","61+ Days"))))</f>
        <v/>
      </c>
    </row>
    <row r="79" ht="15.75" customHeight="1">
      <c r="A79" s="33" t="str">
        <f>IF(BILLING!B79="","",BILLING!B79)</f>
        <v/>
      </c>
      <c r="B79" s="33" t="str">
        <f>IF(A79="","",IFERROR(VLOOKUP(VLOOKUP(VLOOKUP(A79,BILLING!$B:$I,7,FALSE),BOOKINGS!$A:$Q,3,FALSE),CLIENTS!$A:$H,2,FALSE),""))</f>
        <v/>
      </c>
      <c r="C79" s="38" t="str">
        <f>IF(A79="","",IFERROR(VLOOKUP(A79,BILLING!$B:$I,5,FALSE),0))</f>
        <v/>
      </c>
      <c r="D79" s="38"/>
      <c r="E79" s="38" t="str">
        <f t="shared" si="1"/>
        <v/>
      </c>
      <c r="F79" s="39"/>
      <c r="G79" s="33" t="str">
        <f t="shared" si="2"/>
        <v/>
      </c>
      <c r="H79" s="33" t="str">
        <f>IF(OR(A79="",F79=""),"",F79-VLOOKUP(A79,BILLING!$B:$I,7,FALSE))</f>
        <v/>
      </c>
      <c r="I79" s="33" t="str">
        <f>IF(A79="","",IF(E79&lt;=0,"Current",IF(TODAY()-VLOOKUP(A79,BILLING!$B:$I,7,FALSE)&lt;=30,"0-30 Days",IF(TODAY()-VLOOKUP(A79,BILLING!$B:$I,7,FALSE)&lt;=60,"31-60 Days","61+ Days"))))</f>
        <v/>
      </c>
    </row>
    <row r="80" ht="15.75" customHeight="1">
      <c r="A80" s="33" t="str">
        <f>IF(BILLING!B80="","",BILLING!B80)</f>
        <v/>
      </c>
      <c r="B80" s="33" t="str">
        <f>IF(A80="","",IFERROR(VLOOKUP(VLOOKUP(VLOOKUP(A80,BILLING!$B:$I,7,FALSE),BOOKINGS!$A:$Q,3,FALSE),CLIENTS!$A:$H,2,FALSE),""))</f>
        <v/>
      </c>
      <c r="C80" s="38" t="str">
        <f>IF(A80="","",IFERROR(VLOOKUP(A80,BILLING!$B:$I,5,FALSE),0))</f>
        <v/>
      </c>
      <c r="D80" s="38"/>
      <c r="E80" s="38" t="str">
        <f t="shared" si="1"/>
        <v/>
      </c>
      <c r="F80" s="39"/>
      <c r="G80" s="33" t="str">
        <f t="shared" si="2"/>
        <v/>
      </c>
      <c r="H80" s="33" t="str">
        <f>IF(OR(A80="",F80=""),"",F80-VLOOKUP(A80,BILLING!$B:$I,7,FALSE))</f>
        <v/>
      </c>
      <c r="I80" s="33" t="str">
        <f>IF(A80="","",IF(E80&lt;=0,"Current",IF(TODAY()-VLOOKUP(A80,BILLING!$B:$I,7,FALSE)&lt;=30,"0-30 Days",IF(TODAY()-VLOOKUP(A80,BILLING!$B:$I,7,FALSE)&lt;=60,"31-60 Days","61+ Days"))))</f>
        <v/>
      </c>
    </row>
    <row r="81" ht="15.75" customHeight="1">
      <c r="A81" s="33" t="str">
        <f>IF(BILLING!B81="","",BILLING!B81)</f>
        <v/>
      </c>
      <c r="B81" s="33" t="str">
        <f>IF(A81="","",IFERROR(VLOOKUP(VLOOKUP(VLOOKUP(A81,BILLING!$B:$I,7,FALSE),BOOKINGS!$A:$Q,3,FALSE),CLIENTS!$A:$H,2,FALSE),""))</f>
        <v/>
      </c>
      <c r="C81" s="38" t="str">
        <f>IF(A81="","",IFERROR(VLOOKUP(A81,BILLING!$B:$I,5,FALSE),0))</f>
        <v/>
      </c>
      <c r="D81" s="38"/>
      <c r="E81" s="38" t="str">
        <f t="shared" si="1"/>
        <v/>
      </c>
      <c r="F81" s="39"/>
      <c r="G81" s="33" t="str">
        <f t="shared" si="2"/>
        <v/>
      </c>
      <c r="H81" s="33" t="str">
        <f>IF(OR(A81="",F81=""),"",F81-VLOOKUP(A81,BILLING!$B:$I,7,FALSE))</f>
        <v/>
      </c>
      <c r="I81" s="33" t="str">
        <f>IF(A81="","",IF(E81&lt;=0,"Current",IF(TODAY()-VLOOKUP(A81,BILLING!$B:$I,7,FALSE)&lt;=30,"0-30 Days",IF(TODAY()-VLOOKUP(A81,BILLING!$B:$I,7,FALSE)&lt;=60,"31-60 Days","61+ Days"))))</f>
        <v/>
      </c>
    </row>
    <row r="82" ht="15.75" customHeight="1">
      <c r="A82" s="33" t="str">
        <f>IF(BILLING!B82="","",BILLING!B82)</f>
        <v/>
      </c>
      <c r="B82" s="33" t="str">
        <f>IF(A82="","",IFERROR(VLOOKUP(VLOOKUP(VLOOKUP(A82,BILLING!$B:$I,7,FALSE),BOOKINGS!$A:$Q,3,FALSE),CLIENTS!$A:$H,2,FALSE),""))</f>
        <v/>
      </c>
      <c r="C82" s="38" t="str">
        <f>IF(A82="","",IFERROR(VLOOKUP(A82,BILLING!$B:$I,5,FALSE),0))</f>
        <v/>
      </c>
      <c r="D82" s="38"/>
      <c r="E82" s="38" t="str">
        <f t="shared" si="1"/>
        <v/>
      </c>
      <c r="F82" s="39"/>
      <c r="G82" s="33" t="str">
        <f t="shared" si="2"/>
        <v/>
      </c>
      <c r="H82" s="33" t="str">
        <f>IF(OR(A82="",F82=""),"",F82-VLOOKUP(A82,BILLING!$B:$I,7,FALSE))</f>
        <v/>
      </c>
      <c r="I82" s="33" t="str">
        <f>IF(A82="","",IF(E82&lt;=0,"Current",IF(TODAY()-VLOOKUP(A82,BILLING!$B:$I,7,FALSE)&lt;=30,"0-30 Days",IF(TODAY()-VLOOKUP(A82,BILLING!$B:$I,7,FALSE)&lt;=60,"31-60 Days","61+ Days"))))</f>
        <v/>
      </c>
    </row>
    <row r="83" ht="15.75" customHeight="1">
      <c r="A83" s="33" t="str">
        <f>IF(BILLING!B83="","",BILLING!B83)</f>
        <v/>
      </c>
      <c r="B83" s="33" t="str">
        <f>IF(A83="","",IFERROR(VLOOKUP(VLOOKUP(VLOOKUP(A83,BILLING!$B:$I,7,FALSE),BOOKINGS!$A:$Q,3,FALSE),CLIENTS!$A:$H,2,FALSE),""))</f>
        <v/>
      </c>
      <c r="C83" s="38" t="str">
        <f>IF(A83="","",IFERROR(VLOOKUP(A83,BILLING!$B:$I,5,FALSE),0))</f>
        <v/>
      </c>
      <c r="D83" s="38"/>
      <c r="E83" s="38" t="str">
        <f t="shared" si="1"/>
        <v/>
      </c>
      <c r="F83" s="39"/>
      <c r="G83" s="33" t="str">
        <f t="shared" si="2"/>
        <v/>
      </c>
      <c r="H83" s="33" t="str">
        <f>IF(OR(A83="",F83=""),"",F83-VLOOKUP(A83,BILLING!$B:$I,7,FALSE))</f>
        <v/>
      </c>
      <c r="I83" s="33" t="str">
        <f>IF(A83="","",IF(E83&lt;=0,"Current",IF(TODAY()-VLOOKUP(A83,BILLING!$B:$I,7,FALSE)&lt;=30,"0-30 Days",IF(TODAY()-VLOOKUP(A83,BILLING!$B:$I,7,FALSE)&lt;=60,"31-60 Days","61+ Days"))))</f>
        <v/>
      </c>
    </row>
    <row r="84" ht="15.75" customHeight="1">
      <c r="A84" s="33" t="str">
        <f>IF(BILLING!B84="","",BILLING!B84)</f>
        <v/>
      </c>
      <c r="B84" s="33" t="str">
        <f>IF(A84="","",IFERROR(VLOOKUP(VLOOKUP(VLOOKUP(A84,BILLING!$B:$I,7,FALSE),BOOKINGS!$A:$Q,3,FALSE),CLIENTS!$A:$H,2,FALSE),""))</f>
        <v/>
      </c>
      <c r="C84" s="38" t="str">
        <f>IF(A84="","",IFERROR(VLOOKUP(A84,BILLING!$B:$I,5,FALSE),0))</f>
        <v/>
      </c>
      <c r="D84" s="38"/>
      <c r="E84" s="38" t="str">
        <f t="shared" si="1"/>
        <v/>
      </c>
      <c r="F84" s="39"/>
      <c r="G84" s="33" t="str">
        <f t="shared" si="2"/>
        <v/>
      </c>
      <c r="H84" s="33" t="str">
        <f>IF(OR(A84="",F84=""),"",F84-VLOOKUP(A84,BILLING!$B:$I,7,FALSE))</f>
        <v/>
      </c>
      <c r="I84" s="33" t="str">
        <f>IF(A84="","",IF(E84&lt;=0,"Current",IF(TODAY()-VLOOKUP(A84,BILLING!$B:$I,7,FALSE)&lt;=30,"0-30 Days",IF(TODAY()-VLOOKUP(A84,BILLING!$B:$I,7,FALSE)&lt;=60,"31-60 Days","61+ Days"))))</f>
        <v/>
      </c>
    </row>
    <row r="85" ht="15.75" customHeight="1">
      <c r="A85" s="33" t="str">
        <f>IF(BILLING!B85="","",BILLING!B85)</f>
        <v/>
      </c>
      <c r="B85" s="33" t="str">
        <f>IF(A85="","",IFERROR(VLOOKUP(VLOOKUP(VLOOKUP(A85,BILLING!$B:$I,7,FALSE),BOOKINGS!$A:$Q,3,FALSE),CLIENTS!$A:$H,2,FALSE),""))</f>
        <v/>
      </c>
      <c r="C85" s="38" t="str">
        <f>IF(A85="","",IFERROR(VLOOKUP(A85,BILLING!$B:$I,5,FALSE),0))</f>
        <v/>
      </c>
      <c r="D85" s="38"/>
      <c r="E85" s="38" t="str">
        <f t="shared" si="1"/>
        <v/>
      </c>
      <c r="F85" s="39"/>
      <c r="G85" s="33" t="str">
        <f t="shared" si="2"/>
        <v/>
      </c>
      <c r="H85" s="33" t="str">
        <f>IF(OR(A85="",F85=""),"",F85-VLOOKUP(A85,BILLING!$B:$I,7,FALSE))</f>
        <v/>
      </c>
      <c r="I85" s="33" t="str">
        <f>IF(A85="","",IF(E85&lt;=0,"Current",IF(TODAY()-VLOOKUP(A85,BILLING!$B:$I,7,FALSE)&lt;=30,"0-30 Days",IF(TODAY()-VLOOKUP(A85,BILLING!$B:$I,7,FALSE)&lt;=60,"31-60 Days","61+ Days"))))</f>
        <v/>
      </c>
    </row>
    <row r="86" ht="15.75" customHeight="1">
      <c r="A86" s="33" t="str">
        <f>IF(BILLING!B86="","",BILLING!B86)</f>
        <v/>
      </c>
      <c r="B86" s="33" t="str">
        <f>IF(A86="","",IFERROR(VLOOKUP(VLOOKUP(VLOOKUP(A86,BILLING!$B:$I,7,FALSE),BOOKINGS!$A:$Q,3,FALSE),CLIENTS!$A:$H,2,FALSE),""))</f>
        <v/>
      </c>
      <c r="C86" s="38" t="str">
        <f>IF(A86="","",IFERROR(VLOOKUP(A86,BILLING!$B:$I,5,FALSE),0))</f>
        <v/>
      </c>
      <c r="D86" s="38"/>
      <c r="E86" s="38" t="str">
        <f t="shared" si="1"/>
        <v/>
      </c>
      <c r="F86" s="39"/>
      <c r="G86" s="33" t="str">
        <f t="shared" si="2"/>
        <v/>
      </c>
      <c r="H86" s="33" t="str">
        <f>IF(OR(A86="",F86=""),"",F86-VLOOKUP(A86,BILLING!$B:$I,7,FALSE))</f>
        <v/>
      </c>
      <c r="I86" s="33" t="str">
        <f>IF(A86="","",IF(E86&lt;=0,"Current",IF(TODAY()-VLOOKUP(A86,BILLING!$B:$I,7,FALSE)&lt;=30,"0-30 Days",IF(TODAY()-VLOOKUP(A86,BILLING!$B:$I,7,FALSE)&lt;=60,"31-60 Days","61+ Days"))))</f>
        <v/>
      </c>
    </row>
    <row r="87" ht="15.75" customHeight="1">
      <c r="A87" s="33" t="str">
        <f>IF(BILLING!B87="","",BILLING!B87)</f>
        <v/>
      </c>
      <c r="B87" s="33" t="str">
        <f>IF(A87="","",IFERROR(VLOOKUP(VLOOKUP(VLOOKUP(A87,BILLING!$B:$I,7,FALSE),BOOKINGS!$A:$Q,3,FALSE),CLIENTS!$A:$H,2,FALSE),""))</f>
        <v/>
      </c>
      <c r="C87" s="38" t="str">
        <f>IF(A87="","",IFERROR(VLOOKUP(A87,BILLING!$B:$I,5,FALSE),0))</f>
        <v/>
      </c>
      <c r="D87" s="38"/>
      <c r="E87" s="38" t="str">
        <f t="shared" si="1"/>
        <v/>
      </c>
      <c r="F87" s="39"/>
      <c r="G87" s="33" t="str">
        <f t="shared" si="2"/>
        <v/>
      </c>
      <c r="H87" s="33" t="str">
        <f>IF(OR(A87="",F87=""),"",F87-VLOOKUP(A87,BILLING!$B:$I,7,FALSE))</f>
        <v/>
      </c>
      <c r="I87" s="33" t="str">
        <f>IF(A87="","",IF(E87&lt;=0,"Current",IF(TODAY()-VLOOKUP(A87,BILLING!$B:$I,7,FALSE)&lt;=30,"0-30 Days",IF(TODAY()-VLOOKUP(A87,BILLING!$B:$I,7,FALSE)&lt;=60,"31-60 Days","61+ Days"))))</f>
        <v/>
      </c>
    </row>
    <row r="88" ht="15.75" customHeight="1">
      <c r="A88" s="33" t="str">
        <f>IF(BILLING!B88="","",BILLING!B88)</f>
        <v/>
      </c>
      <c r="B88" s="33" t="str">
        <f>IF(A88="","",IFERROR(VLOOKUP(VLOOKUP(VLOOKUP(A88,BILLING!$B:$I,7,FALSE),BOOKINGS!$A:$Q,3,FALSE),CLIENTS!$A:$H,2,FALSE),""))</f>
        <v/>
      </c>
      <c r="C88" s="38" t="str">
        <f>IF(A88="","",IFERROR(VLOOKUP(A88,BILLING!$B:$I,5,FALSE),0))</f>
        <v/>
      </c>
      <c r="D88" s="38"/>
      <c r="E88" s="38" t="str">
        <f t="shared" si="1"/>
        <v/>
      </c>
      <c r="F88" s="39"/>
      <c r="G88" s="33" t="str">
        <f t="shared" si="2"/>
        <v/>
      </c>
      <c r="H88" s="33" t="str">
        <f>IF(OR(A88="",F88=""),"",F88-VLOOKUP(A88,BILLING!$B:$I,7,FALSE))</f>
        <v/>
      </c>
      <c r="I88" s="33" t="str">
        <f>IF(A88="","",IF(E88&lt;=0,"Current",IF(TODAY()-VLOOKUP(A88,BILLING!$B:$I,7,FALSE)&lt;=30,"0-30 Days",IF(TODAY()-VLOOKUP(A88,BILLING!$B:$I,7,FALSE)&lt;=60,"31-60 Days","61+ Days"))))</f>
        <v/>
      </c>
    </row>
    <row r="89" ht="15.75" customHeight="1">
      <c r="A89" s="33" t="str">
        <f>IF(BILLING!B89="","",BILLING!B89)</f>
        <v/>
      </c>
      <c r="B89" s="33" t="str">
        <f>IF(A89="","",IFERROR(VLOOKUP(VLOOKUP(VLOOKUP(A89,BILLING!$B:$I,7,FALSE),BOOKINGS!$A:$Q,3,FALSE),CLIENTS!$A:$H,2,FALSE),""))</f>
        <v/>
      </c>
      <c r="C89" s="38" t="str">
        <f>IF(A89="","",IFERROR(VLOOKUP(A89,BILLING!$B:$I,5,FALSE),0))</f>
        <v/>
      </c>
      <c r="D89" s="38"/>
      <c r="E89" s="38" t="str">
        <f t="shared" si="1"/>
        <v/>
      </c>
      <c r="F89" s="39"/>
      <c r="G89" s="33" t="str">
        <f t="shared" si="2"/>
        <v/>
      </c>
      <c r="H89" s="33" t="str">
        <f>IF(OR(A89="",F89=""),"",F89-VLOOKUP(A89,BILLING!$B:$I,7,FALSE))</f>
        <v/>
      </c>
      <c r="I89" s="33" t="str">
        <f>IF(A89="","",IF(E89&lt;=0,"Current",IF(TODAY()-VLOOKUP(A89,BILLING!$B:$I,7,FALSE)&lt;=30,"0-30 Days",IF(TODAY()-VLOOKUP(A89,BILLING!$B:$I,7,FALSE)&lt;=60,"31-60 Days","61+ Days"))))</f>
        <v/>
      </c>
    </row>
    <row r="90" ht="15.75" customHeight="1">
      <c r="A90" s="33" t="str">
        <f>IF(BILLING!B90="","",BILLING!B90)</f>
        <v/>
      </c>
      <c r="B90" s="33" t="str">
        <f>IF(A90="","",IFERROR(VLOOKUP(VLOOKUP(VLOOKUP(A90,BILLING!$B:$I,7,FALSE),BOOKINGS!$A:$Q,3,FALSE),CLIENTS!$A:$H,2,FALSE),""))</f>
        <v/>
      </c>
      <c r="C90" s="38" t="str">
        <f>IF(A90="","",IFERROR(VLOOKUP(A90,BILLING!$B:$I,5,FALSE),0))</f>
        <v/>
      </c>
      <c r="D90" s="38"/>
      <c r="E90" s="38" t="str">
        <f t="shared" si="1"/>
        <v/>
      </c>
      <c r="F90" s="39"/>
      <c r="G90" s="33" t="str">
        <f t="shared" si="2"/>
        <v/>
      </c>
      <c r="H90" s="33" t="str">
        <f>IF(OR(A90="",F90=""),"",F90-VLOOKUP(A90,BILLING!$B:$I,7,FALSE))</f>
        <v/>
      </c>
      <c r="I90" s="33" t="str">
        <f>IF(A90="","",IF(E90&lt;=0,"Current",IF(TODAY()-VLOOKUP(A90,BILLING!$B:$I,7,FALSE)&lt;=30,"0-30 Days",IF(TODAY()-VLOOKUP(A90,BILLING!$B:$I,7,FALSE)&lt;=60,"31-60 Days","61+ Days"))))</f>
        <v/>
      </c>
    </row>
    <row r="91" ht="15.75" customHeight="1">
      <c r="A91" s="33" t="str">
        <f>IF(BILLING!B91="","",BILLING!B91)</f>
        <v/>
      </c>
      <c r="B91" s="33" t="str">
        <f>IF(A91="","",IFERROR(VLOOKUP(VLOOKUP(VLOOKUP(A91,BILLING!$B:$I,7,FALSE),BOOKINGS!$A:$Q,3,FALSE),CLIENTS!$A:$H,2,FALSE),""))</f>
        <v/>
      </c>
      <c r="C91" s="38" t="str">
        <f>IF(A91="","",IFERROR(VLOOKUP(A91,BILLING!$B:$I,5,FALSE),0))</f>
        <v/>
      </c>
      <c r="D91" s="38"/>
      <c r="E91" s="38" t="str">
        <f t="shared" si="1"/>
        <v/>
      </c>
      <c r="F91" s="39"/>
      <c r="G91" s="33" t="str">
        <f t="shared" si="2"/>
        <v/>
      </c>
      <c r="H91" s="33" t="str">
        <f>IF(OR(A91="",F91=""),"",F91-VLOOKUP(A91,BILLING!$B:$I,7,FALSE))</f>
        <v/>
      </c>
      <c r="I91" s="33" t="str">
        <f>IF(A91="","",IF(E91&lt;=0,"Current",IF(TODAY()-VLOOKUP(A91,BILLING!$B:$I,7,FALSE)&lt;=30,"0-30 Days",IF(TODAY()-VLOOKUP(A91,BILLING!$B:$I,7,FALSE)&lt;=60,"31-60 Days","61+ Days"))))</f>
        <v/>
      </c>
    </row>
    <row r="92" ht="15.75" customHeight="1">
      <c r="A92" s="33" t="str">
        <f>IF(BILLING!B92="","",BILLING!B92)</f>
        <v/>
      </c>
      <c r="B92" s="33" t="str">
        <f>IF(A92="","",IFERROR(VLOOKUP(VLOOKUP(VLOOKUP(A92,BILLING!$B:$I,7,FALSE),BOOKINGS!$A:$Q,3,FALSE),CLIENTS!$A:$H,2,FALSE),""))</f>
        <v/>
      </c>
      <c r="C92" s="38" t="str">
        <f>IF(A92="","",IFERROR(VLOOKUP(A92,BILLING!$B:$I,5,FALSE),0))</f>
        <v/>
      </c>
      <c r="D92" s="38"/>
      <c r="E92" s="38" t="str">
        <f t="shared" si="1"/>
        <v/>
      </c>
      <c r="F92" s="39"/>
      <c r="G92" s="33" t="str">
        <f t="shared" si="2"/>
        <v/>
      </c>
      <c r="H92" s="33" t="str">
        <f>IF(OR(A92="",F92=""),"",F92-VLOOKUP(A92,BILLING!$B:$I,7,FALSE))</f>
        <v/>
      </c>
      <c r="I92" s="33" t="str">
        <f>IF(A92="","",IF(E92&lt;=0,"Current",IF(TODAY()-VLOOKUP(A92,BILLING!$B:$I,7,FALSE)&lt;=30,"0-30 Days",IF(TODAY()-VLOOKUP(A92,BILLING!$B:$I,7,FALSE)&lt;=60,"31-60 Days","61+ Days"))))</f>
        <v/>
      </c>
    </row>
    <row r="93" ht="15.75" customHeight="1">
      <c r="A93" s="33" t="str">
        <f>IF(BILLING!B93="","",BILLING!B93)</f>
        <v/>
      </c>
      <c r="B93" s="33" t="str">
        <f>IF(A93="","",IFERROR(VLOOKUP(VLOOKUP(VLOOKUP(A93,BILLING!$B:$I,7,FALSE),BOOKINGS!$A:$Q,3,FALSE),CLIENTS!$A:$H,2,FALSE),""))</f>
        <v/>
      </c>
      <c r="C93" s="38" t="str">
        <f>IF(A93="","",IFERROR(VLOOKUP(A93,BILLING!$B:$I,5,FALSE),0))</f>
        <v/>
      </c>
      <c r="D93" s="38"/>
      <c r="E93" s="38" t="str">
        <f t="shared" si="1"/>
        <v/>
      </c>
      <c r="F93" s="39"/>
      <c r="G93" s="33" t="str">
        <f t="shared" si="2"/>
        <v/>
      </c>
      <c r="H93" s="33" t="str">
        <f>IF(OR(A93="",F93=""),"",F93-VLOOKUP(A93,BILLING!$B:$I,7,FALSE))</f>
        <v/>
      </c>
      <c r="I93" s="33" t="str">
        <f>IF(A93="","",IF(E93&lt;=0,"Current",IF(TODAY()-VLOOKUP(A93,BILLING!$B:$I,7,FALSE)&lt;=30,"0-30 Days",IF(TODAY()-VLOOKUP(A93,BILLING!$B:$I,7,FALSE)&lt;=60,"31-60 Days","61+ Days"))))</f>
        <v/>
      </c>
    </row>
    <row r="94" ht="15.75" customHeight="1">
      <c r="A94" s="33" t="str">
        <f>IF(BILLING!B94="","",BILLING!B94)</f>
        <v/>
      </c>
      <c r="B94" s="33" t="str">
        <f>IF(A94="","",IFERROR(VLOOKUP(VLOOKUP(VLOOKUP(A94,BILLING!$B:$I,7,FALSE),BOOKINGS!$A:$Q,3,FALSE),CLIENTS!$A:$H,2,FALSE),""))</f>
        <v/>
      </c>
      <c r="C94" s="38" t="str">
        <f>IF(A94="","",IFERROR(VLOOKUP(A94,BILLING!$B:$I,5,FALSE),0))</f>
        <v/>
      </c>
      <c r="D94" s="38"/>
      <c r="E94" s="38" t="str">
        <f t="shared" si="1"/>
        <v/>
      </c>
      <c r="F94" s="39"/>
      <c r="G94" s="33" t="str">
        <f t="shared" si="2"/>
        <v/>
      </c>
      <c r="H94" s="33" t="str">
        <f>IF(OR(A94="",F94=""),"",F94-VLOOKUP(A94,BILLING!$B:$I,7,FALSE))</f>
        <v/>
      </c>
      <c r="I94" s="33" t="str">
        <f>IF(A94="","",IF(E94&lt;=0,"Current",IF(TODAY()-VLOOKUP(A94,BILLING!$B:$I,7,FALSE)&lt;=30,"0-30 Days",IF(TODAY()-VLOOKUP(A94,BILLING!$B:$I,7,FALSE)&lt;=60,"31-60 Days","61+ Days"))))</f>
        <v/>
      </c>
    </row>
    <row r="95" ht="15.75" customHeight="1">
      <c r="A95" s="33" t="str">
        <f>IF(BILLING!B95="","",BILLING!B95)</f>
        <v/>
      </c>
      <c r="B95" s="33" t="str">
        <f>IF(A95="","",IFERROR(VLOOKUP(VLOOKUP(VLOOKUP(A95,BILLING!$B:$I,7,FALSE),BOOKINGS!$A:$Q,3,FALSE),CLIENTS!$A:$H,2,FALSE),""))</f>
        <v/>
      </c>
      <c r="C95" s="38" t="str">
        <f>IF(A95="","",IFERROR(VLOOKUP(A95,BILLING!$B:$I,5,FALSE),0))</f>
        <v/>
      </c>
      <c r="D95" s="38"/>
      <c r="E95" s="38" t="str">
        <f t="shared" si="1"/>
        <v/>
      </c>
      <c r="F95" s="39"/>
      <c r="G95" s="33" t="str">
        <f t="shared" si="2"/>
        <v/>
      </c>
      <c r="H95" s="33" t="str">
        <f>IF(OR(A95="",F95=""),"",F95-VLOOKUP(A95,BILLING!$B:$I,7,FALSE))</f>
        <v/>
      </c>
      <c r="I95" s="33" t="str">
        <f>IF(A95="","",IF(E95&lt;=0,"Current",IF(TODAY()-VLOOKUP(A95,BILLING!$B:$I,7,FALSE)&lt;=30,"0-30 Days",IF(TODAY()-VLOOKUP(A95,BILLING!$B:$I,7,FALSE)&lt;=60,"31-60 Days","61+ Days"))))</f>
        <v/>
      </c>
    </row>
    <row r="96" ht="15.75" customHeight="1">
      <c r="A96" s="33" t="str">
        <f>IF(BILLING!B96="","",BILLING!B96)</f>
        <v/>
      </c>
      <c r="B96" s="33" t="str">
        <f>IF(A96="","",IFERROR(VLOOKUP(VLOOKUP(VLOOKUP(A96,BILLING!$B:$I,7,FALSE),BOOKINGS!$A:$Q,3,FALSE),CLIENTS!$A:$H,2,FALSE),""))</f>
        <v/>
      </c>
      <c r="C96" s="38" t="str">
        <f>IF(A96="","",IFERROR(VLOOKUP(A96,BILLING!$B:$I,5,FALSE),0))</f>
        <v/>
      </c>
      <c r="D96" s="38"/>
      <c r="E96" s="38" t="str">
        <f t="shared" si="1"/>
        <v/>
      </c>
      <c r="F96" s="39"/>
      <c r="G96" s="33" t="str">
        <f t="shared" si="2"/>
        <v/>
      </c>
      <c r="H96" s="33" t="str">
        <f>IF(OR(A96="",F96=""),"",F96-VLOOKUP(A96,BILLING!$B:$I,7,FALSE))</f>
        <v/>
      </c>
      <c r="I96" s="33" t="str">
        <f>IF(A96="","",IF(E96&lt;=0,"Current",IF(TODAY()-VLOOKUP(A96,BILLING!$B:$I,7,FALSE)&lt;=30,"0-30 Days",IF(TODAY()-VLOOKUP(A96,BILLING!$B:$I,7,FALSE)&lt;=60,"31-60 Days","61+ Days"))))</f>
        <v/>
      </c>
    </row>
    <row r="97" ht="15.75" customHeight="1">
      <c r="A97" s="33" t="str">
        <f>IF(BILLING!B97="","",BILLING!B97)</f>
        <v/>
      </c>
      <c r="B97" s="33" t="str">
        <f>IF(A97="","",IFERROR(VLOOKUP(VLOOKUP(VLOOKUP(A97,BILLING!$B:$I,7,FALSE),BOOKINGS!$A:$Q,3,FALSE),CLIENTS!$A:$H,2,FALSE),""))</f>
        <v/>
      </c>
      <c r="C97" s="38" t="str">
        <f>IF(A97="","",IFERROR(VLOOKUP(A97,BILLING!$B:$I,5,FALSE),0))</f>
        <v/>
      </c>
      <c r="D97" s="38"/>
      <c r="E97" s="38" t="str">
        <f t="shared" si="1"/>
        <v/>
      </c>
      <c r="F97" s="39"/>
      <c r="G97" s="33" t="str">
        <f t="shared" si="2"/>
        <v/>
      </c>
      <c r="H97" s="33" t="str">
        <f>IF(OR(A97="",F97=""),"",F97-VLOOKUP(A97,BILLING!$B:$I,7,FALSE))</f>
        <v/>
      </c>
      <c r="I97" s="33" t="str">
        <f>IF(A97="","",IF(E97&lt;=0,"Current",IF(TODAY()-VLOOKUP(A97,BILLING!$B:$I,7,FALSE)&lt;=30,"0-30 Days",IF(TODAY()-VLOOKUP(A97,BILLING!$B:$I,7,FALSE)&lt;=60,"31-60 Days","61+ Days"))))</f>
        <v/>
      </c>
    </row>
    <row r="98" ht="15.75" customHeight="1">
      <c r="A98" s="33" t="str">
        <f>IF(BILLING!B98="","",BILLING!B98)</f>
        <v/>
      </c>
      <c r="B98" s="33" t="str">
        <f>IF(A98="","",IFERROR(VLOOKUP(VLOOKUP(VLOOKUP(A98,BILLING!$B:$I,7,FALSE),BOOKINGS!$A:$Q,3,FALSE),CLIENTS!$A:$H,2,FALSE),""))</f>
        <v/>
      </c>
      <c r="C98" s="38" t="str">
        <f>IF(A98="","",IFERROR(VLOOKUP(A98,BILLING!$B:$I,5,FALSE),0))</f>
        <v/>
      </c>
      <c r="D98" s="38"/>
      <c r="E98" s="38" t="str">
        <f t="shared" si="1"/>
        <v/>
      </c>
      <c r="F98" s="39"/>
      <c r="G98" s="33" t="str">
        <f t="shared" si="2"/>
        <v/>
      </c>
      <c r="H98" s="33" t="str">
        <f>IF(OR(A98="",F98=""),"",F98-VLOOKUP(A98,BILLING!$B:$I,7,FALSE))</f>
        <v/>
      </c>
      <c r="I98" s="33" t="str">
        <f>IF(A98="","",IF(E98&lt;=0,"Current",IF(TODAY()-VLOOKUP(A98,BILLING!$B:$I,7,FALSE)&lt;=30,"0-30 Days",IF(TODAY()-VLOOKUP(A98,BILLING!$B:$I,7,FALSE)&lt;=60,"31-60 Days","61+ Days"))))</f>
        <v/>
      </c>
    </row>
    <row r="99" ht="15.75" customHeight="1">
      <c r="A99" s="33" t="str">
        <f>IF(BILLING!B99="","",BILLING!B99)</f>
        <v/>
      </c>
      <c r="B99" s="33" t="str">
        <f>IF(A99="","",IFERROR(VLOOKUP(VLOOKUP(VLOOKUP(A99,BILLING!$B:$I,7,FALSE),BOOKINGS!$A:$Q,3,FALSE),CLIENTS!$A:$H,2,FALSE),""))</f>
        <v/>
      </c>
      <c r="C99" s="38" t="str">
        <f>IF(A99="","",IFERROR(VLOOKUP(A99,BILLING!$B:$I,5,FALSE),0))</f>
        <v/>
      </c>
      <c r="D99" s="38"/>
      <c r="E99" s="38" t="str">
        <f t="shared" si="1"/>
        <v/>
      </c>
      <c r="F99" s="39"/>
      <c r="G99" s="33" t="str">
        <f t="shared" si="2"/>
        <v/>
      </c>
      <c r="H99" s="33" t="str">
        <f>IF(OR(A99="",F99=""),"",F99-VLOOKUP(A99,BILLING!$B:$I,7,FALSE))</f>
        <v/>
      </c>
      <c r="I99" s="33" t="str">
        <f>IF(A99="","",IF(E99&lt;=0,"Current",IF(TODAY()-VLOOKUP(A99,BILLING!$B:$I,7,FALSE)&lt;=30,"0-30 Days",IF(TODAY()-VLOOKUP(A99,BILLING!$B:$I,7,FALSE)&lt;=60,"31-60 Days","61+ Days"))))</f>
        <v/>
      </c>
    </row>
    <row r="100" ht="15.75" customHeight="1">
      <c r="A100" s="33" t="str">
        <f>IF(BILLING!B100="","",BILLING!B100)</f>
        <v/>
      </c>
      <c r="B100" s="33" t="str">
        <f>IF(A100="","",IFERROR(VLOOKUP(VLOOKUP(VLOOKUP(A100,BILLING!$B:$I,7,FALSE),BOOKINGS!$A:$Q,3,FALSE),CLIENTS!$A:$H,2,FALSE),""))</f>
        <v/>
      </c>
      <c r="C100" s="38" t="str">
        <f>IF(A100="","",IFERROR(VLOOKUP(A100,BILLING!$B:$I,5,FALSE),0))</f>
        <v/>
      </c>
      <c r="D100" s="38"/>
      <c r="E100" s="38" t="str">
        <f t="shared" si="1"/>
        <v/>
      </c>
      <c r="F100" s="39"/>
      <c r="G100" s="33" t="str">
        <f t="shared" si="2"/>
        <v/>
      </c>
      <c r="H100" s="33" t="str">
        <f>IF(OR(A100="",F100=""),"",F100-VLOOKUP(A100,BILLING!$B:$I,7,FALSE))</f>
        <v/>
      </c>
      <c r="I100" s="33" t="str">
        <f>IF(A100="","",IF(E100&lt;=0,"Current",IF(TODAY()-VLOOKUP(A100,BILLING!$B:$I,7,FALSE)&lt;=30,"0-30 Days",IF(TODAY()-VLOOKUP(A100,BILLING!$B:$I,7,FALSE)&lt;=60,"31-60 Days","61+ Days"))))</f>
        <v/>
      </c>
    </row>
    <row r="101" ht="15.75" customHeight="1">
      <c r="A101" s="33" t="str">
        <f>IF(BILLING!B101="","",BILLING!B101)</f>
        <v/>
      </c>
      <c r="B101" s="33" t="str">
        <f>IF(A101="","",IFERROR(VLOOKUP(VLOOKUP(VLOOKUP(A101,BILLING!$B:$I,7,FALSE),BOOKINGS!$A:$Q,3,FALSE),CLIENTS!$A:$H,2,FALSE),""))</f>
        <v/>
      </c>
      <c r="C101" s="38" t="str">
        <f>IF(A101="","",IFERROR(VLOOKUP(A101,BILLING!$B:$I,5,FALSE),0))</f>
        <v/>
      </c>
      <c r="D101" s="38"/>
      <c r="E101" s="38" t="str">
        <f t="shared" si="1"/>
        <v/>
      </c>
      <c r="F101" s="39"/>
      <c r="G101" s="33" t="str">
        <f t="shared" si="2"/>
        <v/>
      </c>
      <c r="H101" s="33" t="str">
        <f>IF(OR(A101="",F101=""),"",F101-VLOOKUP(A101,BILLING!$B:$I,7,FALSE))</f>
        <v/>
      </c>
      <c r="I101" s="33" t="str">
        <f>IF(A101="","",IF(E101&lt;=0,"Current",IF(TODAY()-VLOOKUP(A101,BILLING!$B:$I,7,FALSE)&lt;=30,"0-30 Days",IF(TODAY()-VLOOKUP(A101,BILLING!$B:$I,7,FALSE)&lt;=60,"31-60 Days","61+ Days"))))</f>
        <v/>
      </c>
    </row>
    <row r="102" ht="15.75" customHeight="1">
      <c r="A102" s="33" t="str">
        <f>IF(BILLING!B102="","",BILLING!B102)</f>
        <v/>
      </c>
      <c r="B102" s="33" t="str">
        <f>IF(A102="","",IFERROR(VLOOKUP(VLOOKUP(VLOOKUP(A102,BILLING!$B:$I,7,FALSE),BOOKINGS!$A:$Q,3,FALSE),CLIENTS!$A:$H,2,FALSE),""))</f>
        <v/>
      </c>
      <c r="C102" s="38" t="str">
        <f>IF(A102="","",IFERROR(VLOOKUP(A102,BILLING!$B:$I,5,FALSE),0))</f>
        <v/>
      </c>
      <c r="D102" s="38"/>
      <c r="E102" s="38" t="str">
        <f t="shared" si="1"/>
        <v/>
      </c>
      <c r="F102" s="39"/>
      <c r="G102" s="33" t="str">
        <f t="shared" si="2"/>
        <v/>
      </c>
      <c r="H102" s="33" t="str">
        <f>IF(OR(A102="",F102=""),"",F102-VLOOKUP(A102,BILLING!$B:$I,7,FALSE))</f>
        <v/>
      </c>
      <c r="I102" s="33" t="str">
        <f>IF(A102="","",IF(E102&lt;=0,"Current",IF(TODAY()-VLOOKUP(A102,BILLING!$B:$I,7,FALSE)&lt;=30,"0-30 Days",IF(TODAY()-VLOOKUP(A102,BILLING!$B:$I,7,FALSE)&lt;=60,"31-60 Days","61+ Days"))))</f>
        <v/>
      </c>
    </row>
    <row r="103" ht="15.75" customHeight="1">
      <c r="A103" s="33" t="str">
        <f>IF(BILLING!B103="","",BILLING!B103)</f>
        <v/>
      </c>
      <c r="B103" s="33" t="str">
        <f>IF(A103="","",IFERROR(VLOOKUP(VLOOKUP(VLOOKUP(A103,BILLING!$B:$I,7,FALSE),BOOKINGS!$A:$Q,3,FALSE),CLIENTS!$A:$H,2,FALSE),""))</f>
        <v/>
      </c>
      <c r="C103" s="38" t="str">
        <f>IF(A103="","",IFERROR(VLOOKUP(A103,BILLING!$B:$I,5,FALSE),0))</f>
        <v/>
      </c>
      <c r="D103" s="38"/>
      <c r="E103" s="38" t="str">
        <f t="shared" si="1"/>
        <v/>
      </c>
      <c r="F103" s="39"/>
      <c r="G103" s="33" t="str">
        <f t="shared" si="2"/>
        <v/>
      </c>
      <c r="H103" s="33" t="str">
        <f>IF(OR(A103="",F103=""),"",F103-VLOOKUP(A103,BILLING!$B:$I,7,FALSE))</f>
        <v/>
      </c>
      <c r="I103" s="33" t="str">
        <f>IF(A103="","",IF(E103&lt;=0,"Current",IF(TODAY()-VLOOKUP(A103,BILLING!$B:$I,7,FALSE)&lt;=30,"0-30 Days",IF(TODAY()-VLOOKUP(A103,BILLING!$B:$I,7,FALSE)&lt;=60,"31-60 Days","61+ Days"))))</f>
        <v/>
      </c>
    </row>
    <row r="104" ht="15.75" customHeight="1">
      <c r="A104" s="33" t="str">
        <f>IF(BILLING!B104="","",BILLING!B104)</f>
        <v/>
      </c>
      <c r="B104" s="33" t="str">
        <f>IF(A104="","",IFERROR(VLOOKUP(VLOOKUP(VLOOKUP(A104,BILLING!$B:$I,7,FALSE),BOOKINGS!$A:$Q,3,FALSE),CLIENTS!$A:$H,2,FALSE),""))</f>
        <v/>
      </c>
      <c r="C104" s="38" t="str">
        <f>IF(A104="","",IFERROR(VLOOKUP(A104,BILLING!$B:$I,5,FALSE),0))</f>
        <v/>
      </c>
      <c r="D104" s="38"/>
      <c r="E104" s="38" t="str">
        <f t="shared" si="1"/>
        <v/>
      </c>
      <c r="F104" s="39"/>
      <c r="G104" s="33" t="str">
        <f t="shared" si="2"/>
        <v/>
      </c>
      <c r="H104" s="33" t="str">
        <f>IF(OR(A104="",F104=""),"",F104-VLOOKUP(A104,BILLING!$B:$I,7,FALSE))</f>
        <v/>
      </c>
      <c r="I104" s="33" t="str">
        <f>IF(A104="","",IF(E104&lt;=0,"Current",IF(TODAY()-VLOOKUP(A104,BILLING!$B:$I,7,FALSE)&lt;=30,"0-30 Days",IF(TODAY()-VLOOKUP(A104,BILLING!$B:$I,7,FALSE)&lt;=60,"31-60 Days","61+ Days"))))</f>
        <v/>
      </c>
    </row>
    <row r="105" ht="15.75" customHeight="1">
      <c r="A105" s="33" t="str">
        <f>IF(BILLING!B105="","",BILLING!B105)</f>
        <v/>
      </c>
      <c r="B105" s="33" t="str">
        <f>IF(A105="","",IFERROR(VLOOKUP(VLOOKUP(VLOOKUP(A105,BILLING!$B:$I,7,FALSE),BOOKINGS!$A:$Q,3,FALSE),CLIENTS!$A:$H,2,FALSE),""))</f>
        <v/>
      </c>
      <c r="C105" s="38" t="str">
        <f>IF(A105="","",IFERROR(VLOOKUP(A105,BILLING!$B:$I,5,FALSE),0))</f>
        <v/>
      </c>
      <c r="D105" s="38"/>
      <c r="E105" s="38" t="str">
        <f t="shared" si="1"/>
        <v/>
      </c>
      <c r="F105" s="39"/>
      <c r="G105" s="33" t="str">
        <f t="shared" si="2"/>
        <v/>
      </c>
      <c r="H105" s="33" t="str">
        <f>IF(OR(A105="",F105=""),"",F105-VLOOKUP(A105,BILLING!$B:$I,7,FALSE))</f>
        <v/>
      </c>
      <c r="I105" s="33" t="str">
        <f>IF(A105="","",IF(E105&lt;=0,"Current",IF(TODAY()-VLOOKUP(A105,BILLING!$B:$I,7,FALSE)&lt;=30,"0-30 Days",IF(TODAY()-VLOOKUP(A105,BILLING!$B:$I,7,FALSE)&lt;=60,"31-60 Days","61+ Days"))))</f>
        <v/>
      </c>
    </row>
    <row r="106" ht="15.75" customHeight="1">
      <c r="A106" s="33" t="str">
        <f>IF(BILLING!B106="","",BILLING!B106)</f>
        <v/>
      </c>
      <c r="B106" s="33" t="str">
        <f>IF(A106="","",IFERROR(VLOOKUP(VLOOKUP(VLOOKUP(A106,BILLING!$B:$I,7,FALSE),BOOKINGS!$A:$Q,3,FALSE),CLIENTS!$A:$H,2,FALSE),""))</f>
        <v/>
      </c>
      <c r="C106" s="38" t="str">
        <f>IF(A106="","",IFERROR(VLOOKUP(A106,BILLING!$B:$I,5,FALSE),0))</f>
        <v/>
      </c>
      <c r="D106" s="38"/>
      <c r="E106" s="38" t="str">
        <f t="shared" si="1"/>
        <v/>
      </c>
      <c r="F106" s="39"/>
      <c r="G106" s="33" t="str">
        <f t="shared" si="2"/>
        <v/>
      </c>
      <c r="H106" s="33" t="str">
        <f>IF(OR(A106="",F106=""),"",F106-VLOOKUP(A106,BILLING!$B:$I,7,FALSE))</f>
        <v/>
      </c>
      <c r="I106" s="33" t="str">
        <f>IF(A106="","",IF(E106&lt;=0,"Current",IF(TODAY()-VLOOKUP(A106,BILLING!$B:$I,7,FALSE)&lt;=30,"0-30 Days",IF(TODAY()-VLOOKUP(A106,BILLING!$B:$I,7,FALSE)&lt;=60,"31-60 Days","61+ Days"))))</f>
        <v/>
      </c>
    </row>
    <row r="107" ht="15.75" customHeight="1">
      <c r="A107" s="33" t="str">
        <f>IF(BILLING!B107="","",BILLING!B107)</f>
        <v/>
      </c>
      <c r="B107" s="33" t="str">
        <f>IF(A107="","",IFERROR(VLOOKUP(VLOOKUP(VLOOKUP(A107,BILLING!$B:$I,7,FALSE),BOOKINGS!$A:$Q,3,FALSE),CLIENTS!$A:$H,2,FALSE),""))</f>
        <v/>
      </c>
      <c r="C107" s="38" t="str">
        <f>IF(A107="","",IFERROR(VLOOKUP(A107,BILLING!$B:$I,5,FALSE),0))</f>
        <v/>
      </c>
      <c r="D107" s="38"/>
      <c r="E107" s="38" t="str">
        <f t="shared" si="1"/>
        <v/>
      </c>
      <c r="F107" s="39"/>
      <c r="G107" s="33" t="str">
        <f t="shared" si="2"/>
        <v/>
      </c>
      <c r="H107" s="33" t="str">
        <f>IF(OR(A107="",F107=""),"",F107-VLOOKUP(A107,BILLING!$B:$I,7,FALSE))</f>
        <v/>
      </c>
      <c r="I107" s="33" t="str">
        <f>IF(A107="","",IF(E107&lt;=0,"Current",IF(TODAY()-VLOOKUP(A107,BILLING!$B:$I,7,FALSE)&lt;=30,"0-30 Days",IF(TODAY()-VLOOKUP(A107,BILLING!$B:$I,7,FALSE)&lt;=60,"31-60 Days","61+ Days"))))</f>
        <v/>
      </c>
    </row>
    <row r="108" ht="15.75" customHeight="1">
      <c r="A108" s="33" t="str">
        <f>IF(BILLING!B108="","",BILLING!B108)</f>
        <v/>
      </c>
      <c r="B108" s="33" t="str">
        <f>IF(A108="","",IFERROR(VLOOKUP(VLOOKUP(VLOOKUP(A108,BILLING!$B:$I,7,FALSE),BOOKINGS!$A:$Q,3,FALSE),CLIENTS!$A:$H,2,FALSE),""))</f>
        <v/>
      </c>
      <c r="C108" s="38" t="str">
        <f>IF(A108="","",IFERROR(VLOOKUP(A108,BILLING!$B:$I,5,FALSE),0))</f>
        <v/>
      </c>
      <c r="D108" s="38"/>
      <c r="E108" s="38" t="str">
        <f t="shared" si="1"/>
        <v/>
      </c>
      <c r="F108" s="39"/>
      <c r="G108" s="33" t="str">
        <f t="shared" si="2"/>
        <v/>
      </c>
      <c r="H108" s="33" t="str">
        <f>IF(OR(A108="",F108=""),"",F108-VLOOKUP(A108,BILLING!$B:$I,7,FALSE))</f>
        <v/>
      </c>
      <c r="I108" s="33" t="str">
        <f>IF(A108="","",IF(E108&lt;=0,"Current",IF(TODAY()-VLOOKUP(A108,BILLING!$B:$I,7,FALSE)&lt;=30,"0-30 Days",IF(TODAY()-VLOOKUP(A108,BILLING!$B:$I,7,FALSE)&lt;=60,"31-60 Days","61+ Days"))))</f>
        <v/>
      </c>
    </row>
    <row r="109" ht="15.75" customHeight="1">
      <c r="A109" s="33" t="str">
        <f>IF(BILLING!B109="","",BILLING!B109)</f>
        <v/>
      </c>
      <c r="B109" s="33" t="str">
        <f>IF(A109="","",IFERROR(VLOOKUP(VLOOKUP(VLOOKUP(A109,BILLING!$B:$I,7,FALSE),BOOKINGS!$A:$Q,3,FALSE),CLIENTS!$A:$H,2,FALSE),""))</f>
        <v/>
      </c>
      <c r="C109" s="38" t="str">
        <f>IF(A109="","",IFERROR(VLOOKUP(A109,BILLING!$B:$I,5,FALSE),0))</f>
        <v/>
      </c>
      <c r="D109" s="38"/>
      <c r="E109" s="38" t="str">
        <f t="shared" si="1"/>
        <v/>
      </c>
      <c r="F109" s="39"/>
      <c r="G109" s="33" t="str">
        <f t="shared" si="2"/>
        <v/>
      </c>
      <c r="H109" s="33" t="str">
        <f>IF(OR(A109="",F109=""),"",F109-VLOOKUP(A109,BILLING!$B:$I,7,FALSE))</f>
        <v/>
      </c>
      <c r="I109" s="33" t="str">
        <f>IF(A109="","",IF(E109&lt;=0,"Current",IF(TODAY()-VLOOKUP(A109,BILLING!$B:$I,7,FALSE)&lt;=30,"0-30 Days",IF(TODAY()-VLOOKUP(A109,BILLING!$B:$I,7,FALSE)&lt;=60,"31-60 Days","61+ Days"))))</f>
        <v/>
      </c>
    </row>
    <row r="110" ht="15.75" customHeight="1">
      <c r="A110" s="33" t="str">
        <f>IF(BILLING!B110="","",BILLING!B110)</f>
        <v/>
      </c>
      <c r="B110" s="33" t="str">
        <f>IF(A110="","",IFERROR(VLOOKUP(VLOOKUP(VLOOKUP(A110,BILLING!$B:$I,7,FALSE),BOOKINGS!$A:$Q,3,FALSE),CLIENTS!$A:$H,2,FALSE),""))</f>
        <v/>
      </c>
      <c r="C110" s="38" t="str">
        <f>IF(A110="","",IFERROR(VLOOKUP(A110,BILLING!$B:$I,5,FALSE),0))</f>
        <v/>
      </c>
      <c r="D110" s="38"/>
      <c r="E110" s="38" t="str">
        <f t="shared" si="1"/>
        <v/>
      </c>
      <c r="F110" s="39"/>
      <c r="G110" s="33" t="str">
        <f t="shared" si="2"/>
        <v/>
      </c>
      <c r="H110" s="33" t="str">
        <f>IF(OR(A110="",F110=""),"",F110-VLOOKUP(A110,BILLING!$B:$I,7,FALSE))</f>
        <v/>
      </c>
      <c r="I110" s="33" t="str">
        <f>IF(A110="","",IF(E110&lt;=0,"Current",IF(TODAY()-VLOOKUP(A110,BILLING!$B:$I,7,FALSE)&lt;=30,"0-30 Days",IF(TODAY()-VLOOKUP(A110,BILLING!$B:$I,7,FALSE)&lt;=60,"31-60 Days","61+ Days"))))</f>
        <v/>
      </c>
    </row>
    <row r="111" ht="15.75" customHeight="1">
      <c r="A111" s="33" t="str">
        <f>IF(BILLING!B111="","",BILLING!B111)</f>
        <v/>
      </c>
      <c r="B111" s="33" t="str">
        <f>IF(A111="","",IFERROR(VLOOKUP(VLOOKUP(VLOOKUP(A111,BILLING!$B:$I,7,FALSE),BOOKINGS!$A:$Q,3,FALSE),CLIENTS!$A:$H,2,FALSE),""))</f>
        <v/>
      </c>
      <c r="C111" s="38" t="str">
        <f>IF(A111="","",IFERROR(VLOOKUP(A111,BILLING!$B:$I,5,FALSE),0))</f>
        <v/>
      </c>
      <c r="D111" s="38"/>
      <c r="E111" s="38" t="str">
        <f t="shared" si="1"/>
        <v/>
      </c>
      <c r="F111" s="39"/>
      <c r="G111" s="33" t="str">
        <f t="shared" si="2"/>
        <v/>
      </c>
      <c r="H111" s="33" t="str">
        <f>IF(OR(A111="",F111=""),"",F111-VLOOKUP(A111,BILLING!$B:$I,7,FALSE))</f>
        <v/>
      </c>
      <c r="I111" s="33" t="str">
        <f>IF(A111="","",IF(E111&lt;=0,"Current",IF(TODAY()-VLOOKUP(A111,BILLING!$B:$I,7,FALSE)&lt;=30,"0-30 Days",IF(TODAY()-VLOOKUP(A111,BILLING!$B:$I,7,FALSE)&lt;=60,"31-60 Days","61+ Days"))))</f>
        <v/>
      </c>
    </row>
    <row r="112" ht="15.75" customHeight="1">
      <c r="A112" s="33" t="str">
        <f>IF(BILLING!B112="","",BILLING!B112)</f>
        <v/>
      </c>
      <c r="B112" s="33" t="str">
        <f>IF(A112="","",IFERROR(VLOOKUP(VLOOKUP(VLOOKUP(A112,BILLING!$B:$I,7,FALSE),BOOKINGS!$A:$Q,3,FALSE),CLIENTS!$A:$H,2,FALSE),""))</f>
        <v/>
      </c>
      <c r="C112" s="38" t="str">
        <f>IF(A112="","",IFERROR(VLOOKUP(A112,BILLING!$B:$I,5,FALSE),0))</f>
        <v/>
      </c>
      <c r="D112" s="38"/>
      <c r="E112" s="38" t="str">
        <f t="shared" si="1"/>
        <v/>
      </c>
      <c r="F112" s="39"/>
      <c r="G112" s="33" t="str">
        <f t="shared" si="2"/>
        <v/>
      </c>
      <c r="H112" s="33" t="str">
        <f>IF(OR(A112="",F112=""),"",F112-VLOOKUP(A112,BILLING!$B:$I,7,FALSE))</f>
        <v/>
      </c>
      <c r="I112" s="33" t="str">
        <f>IF(A112="","",IF(E112&lt;=0,"Current",IF(TODAY()-VLOOKUP(A112,BILLING!$B:$I,7,FALSE)&lt;=30,"0-30 Days",IF(TODAY()-VLOOKUP(A112,BILLING!$B:$I,7,FALSE)&lt;=60,"31-60 Days","61+ Days"))))</f>
        <v/>
      </c>
    </row>
    <row r="113" ht="15.75" customHeight="1">
      <c r="A113" s="33" t="str">
        <f>IF(BILLING!B113="","",BILLING!B113)</f>
        <v/>
      </c>
      <c r="B113" s="33" t="str">
        <f>IF(A113="","",IFERROR(VLOOKUP(VLOOKUP(VLOOKUP(A113,BILLING!$B:$I,7,FALSE),BOOKINGS!$A:$Q,3,FALSE),CLIENTS!$A:$H,2,FALSE),""))</f>
        <v/>
      </c>
      <c r="C113" s="38" t="str">
        <f>IF(A113="","",IFERROR(VLOOKUP(A113,BILLING!$B:$I,5,FALSE),0))</f>
        <v/>
      </c>
      <c r="D113" s="38"/>
      <c r="E113" s="38" t="str">
        <f t="shared" si="1"/>
        <v/>
      </c>
      <c r="F113" s="39"/>
      <c r="G113" s="33" t="str">
        <f t="shared" si="2"/>
        <v/>
      </c>
      <c r="H113" s="33" t="str">
        <f>IF(OR(A113="",F113=""),"",F113-VLOOKUP(A113,BILLING!$B:$I,7,FALSE))</f>
        <v/>
      </c>
      <c r="I113" s="33" t="str">
        <f>IF(A113="","",IF(E113&lt;=0,"Current",IF(TODAY()-VLOOKUP(A113,BILLING!$B:$I,7,FALSE)&lt;=30,"0-30 Days",IF(TODAY()-VLOOKUP(A113,BILLING!$B:$I,7,FALSE)&lt;=60,"31-60 Days","61+ Days"))))</f>
        <v/>
      </c>
    </row>
    <row r="114" ht="15.75" customHeight="1">
      <c r="A114" s="33" t="str">
        <f>IF(BILLING!B114="","",BILLING!B114)</f>
        <v/>
      </c>
      <c r="B114" s="33" t="str">
        <f>IF(A114="","",IFERROR(VLOOKUP(VLOOKUP(VLOOKUP(A114,BILLING!$B:$I,7,FALSE),BOOKINGS!$A:$Q,3,FALSE),CLIENTS!$A:$H,2,FALSE),""))</f>
        <v/>
      </c>
      <c r="C114" s="38" t="str">
        <f>IF(A114="","",IFERROR(VLOOKUP(A114,BILLING!$B:$I,5,FALSE),0))</f>
        <v/>
      </c>
      <c r="D114" s="38"/>
      <c r="E114" s="38" t="str">
        <f t="shared" si="1"/>
        <v/>
      </c>
      <c r="F114" s="39"/>
      <c r="G114" s="33" t="str">
        <f t="shared" si="2"/>
        <v/>
      </c>
      <c r="H114" s="33" t="str">
        <f>IF(OR(A114="",F114=""),"",F114-VLOOKUP(A114,BILLING!$B:$I,7,FALSE))</f>
        <v/>
      </c>
      <c r="I114" s="33" t="str">
        <f>IF(A114="","",IF(E114&lt;=0,"Current",IF(TODAY()-VLOOKUP(A114,BILLING!$B:$I,7,FALSE)&lt;=30,"0-30 Days",IF(TODAY()-VLOOKUP(A114,BILLING!$B:$I,7,FALSE)&lt;=60,"31-60 Days","61+ Days"))))</f>
        <v/>
      </c>
    </row>
    <row r="115" ht="15.75" customHeight="1">
      <c r="A115" s="33" t="str">
        <f>IF(BILLING!B115="","",BILLING!B115)</f>
        <v/>
      </c>
      <c r="B115" s="33" t="str">
        <f>IF(A115="","",IFERROR(VLOOKUP(VLOOKUP(VLOOKUP(A115,BILLING!$B:$I,7,FALSE),BOOKINGS!$A:$Q,3,FALSE),CLIENTS!$A:$H,2,FALSE),""))</f>
        <v/>
      </c>
      <c r="C115" s="38" t="str">
        <f>IF(A115="","",IFERROR(VLOOKUP(A115,BILLING!$B:$I,5,FALSE),0))</f>
        <v/>
      </c>
      <c r="D115" s="38"/>
      <c r="E115" s="38" t="str">
        <f t="shared" si="1"/>
        <v/>
      </c>
      <c r="F115" s="39"/>
      <c r="G115" s="33" t="str">
        <f t="shared" si="2"/>
        <v/>
      </c>
      <c r="H115" s="33" t="str">
        <f>IF(OR(A115="",F115=""),"",F115-VLOOKUP(A115,BILLING!$B:$I,7,FALSE))</f>
        <v/>
      </c>
      <c r="I115" s="33" t="str">
        <f>IF(A115="","",IF(E115&lt;=0,"Current",IF(TODAY()-VLOOKUP(A115,BILLING!$B:$I,7,FALSE)&lt;=30,"0-30 Days",IF(TODAY()-VLOOKUP(A115,BILLING!$B:$I,7,FALSE)&lt;=60,"31-60 Days","61+ Days"))))</f>
        <v/>
      </c>
    </row>
    <row r="116" ht="15.75" customHeight="1">
      <c r="A116" s="33" t="str">
        <f>IF(BILLING!B116="","",BILLING!B116)</f>
        <v/>
      </c>
      <c r="B116" s="33" t="str">
        <f>IF(A116="","",IFERROR(VLOOKUP(VLOOKUP(VLOOKUP(A116,BILLING!$B:$I,7,FALSE),BOOKINGS!$A:$Q,3,FALSE),CLIENTS!$A:$H,2,FALSE),""))</f>
        <v/>
      </c>
      <c r="C116" s="38" t="str">
        <f>IF(A116="","",IFERROR(VLOOKUP(A116,BILLING!$B:$I,5,FALSE),0))</f>
        <v/>
      </c>
      <c r="D116" s="38"/>
      <c r="E116" s="38" t="str">
        <f t="shared" si="1"/>
        <v/>
      </c>
      <c r="F116" s="39"/>
      <c r="G116" s="33" t="str">
        <f t="shared" si="2"/>
        <v/>
      </c>
      <c r="H116" s="33" t="str">
        <f>IF(OR(A116="",F116=""),"",F116-VLOOKUP(A116,BILLING!$B:$I,7,FALSE))</f>
        <v/>
      </c>
      <c r="I116" s="33" t="str">
        <f>IF(A116="","",IF(E116&lt;=0,"Current",IF(TODAY()-VLOOKUP(A116,BILLING!$B:$I,7,FALSE)&lt;=30,"0-30 Days",IF(TODAY()-VLOOKUP(A116,BILLING!$B:$I,7,FALSE)&lt;=60,"31-60 Days","61+ Days"))))</f>
        <v/>
      </c>
    </row>
    <row r="117" ht="15.75" customHeight="1">
      <c r="A117" s="33" t="str">
        <f>IF(BILLING!B117="","",BILLING!B117)</f>
        <v/>
      </c>
      <c r="B117" s="33" t="str">
        <f>IF(A117="","",IFERROR(VLOOKUP(VLOOKUP(VLOOKUP(A117,BILLING!$B:$I,7,FALSE),BOOKINGS!$A:$Q,3,FALSE),CLIENTS!$A:$H,2,FALSE),""))</f>
        <v/>
      </c>
      <c r="C117" s="38" t="str">
        <f>IF(A117="","",IFERROR(VLOOKUP(A117,BILLING!$B:$I,5,FALSE),0))</f>
        <v/>
      </c>
      <c r="D117" s="38"/>
      <c r="E117" s="38" t="str">
        <f t="shared" si="1"/>
        <v/>
      </c>
      <c r="F117" s="39"/>
      <c r="G117" s="33" t="str">
        <f t="shared" si="2"/>
        <v/>
      </c>
      <c r="H117" s="33" t="str">
        <f>IF(OR(A117="",F117=""),"",F117-VLOOKUP(A117,BILLING!$B:$I,7,FALSE))</f>
        <v/>
      </c>
      <c r="I117" s="33" t="str">
        <f>IF(A117="","",IF(E117&lt;=0,"Current",IF(TODAY()-VLOOKUP(A117,BILLING!$B:$I,7,FALSE)&lt;=30,"0-30 Days",IF(TODAY()-VLOOKUP(A117,BILLING!$B:$I,7,FALSE)&lt;=60,"31-60 Days","61+ Days"))))</f>
        <v/>
      </c>
    </row>
    <row r="118" ht="15.75" customHeight="1">
      <c r="A118" s="33" t="str">
        <f>IF(BILLING!B118="","",BILLING!B118)</f>
        <v/>
      </c>
      <c r="B118" s="33" t="str">
        <f>IF(A118="","",IFERROR(VLOOKUP(VLOOKUP(VLOOKUP(A118,BILLING!$B:$I,7,FALSE),BOOKINGS!$A:$Q,3,FALSE),CLIENTS!$A:$H,2,FALSE),""))</f>
        <v/>
      </c>
      <c r="C118" s="38" t="str">
        <f>IF(A118="","",IFERROR(VLOOKUP(A118,BILLING!$B:$I,5,FALSE),0))</f>
        <v/>
      </c>
      <c r="D118" s="38"/>
      <c r="E118" s="38" t="str">
        <f t="shared" si="1"/>
        <v/>
      </c>
      <c r="F118" s="39"/>
      <c r="G118" s="33" t="str">
        <f t="shared" si="2"/>
        <v/>
      </c>
      <c r="H118" s="33" t="str">
        <f>IF(OR(A118="",F118=""),"",F118-VLOOKUP(A118,BILLING!$B:$I,7,FALSE))</f>
        <v/>
      </c>
      <c r="I118" s="33" t="str">
        <f>IF(A118="","",IF(E118&lt;=0,"Current",IF(TODAY()-VLOOKUP(A118,BILLING!$B:$I,7,FALSE)&lt;=30,"0-30 Days",IF(TODAY()-VLOOKUP(A118,BILLING!$B:$I,7,FALSE)&lt;=60,"31-60 Days","61+ Days"))))</f>
        <v/>
      </c>
    </row>
    <row r="119" ht="15.75" customHeight="1">
      <c r="A119" s="33" t="str">
        <f>IF(BILLING!B119="","",BILLING!B119)</f>
        <v/>
      </c>
      <c r="B119" s="33" t="str">
        <f>IF(A119="","",IFERROR(VLOOKUP(VLOOKUP(VLOOKUP(A119,BILLING!$B:$I,7,FALSE),BOOKINGS!$A:$Q,3,FALSE),CLIENTS!$A:$H,2,FALSE),""))</f>
        <v/>
      </c>
      <c r="C119" s="38" t="str">
        <f>IF(A119="","",IFERROR(VLOOKUP(A119,BILLING!$B:$I,5,FALSE),0))</f>
        <v/>
      </c>
      <c r="D119" s="38"/>
      <c r="E119" s="38" t="str">
        <f t="shared" si="1"/>
        <v/>
      </c>
      <c r="F119" s="39"/>
      <c r="G119" s="33" t="str">
        <f t="shared" si="2"/>
        <v/>
      </c>
      <c r="H119" s="33" t="str">
        <f>IF(OR(A119="",F119=""),"",F119-VLOOKUP(A119,BILLING!$B:$I,7,FALSE))</f>
        <v/>
      </c>
      <c r="I119" s="33" t="str">
        <f>IF(A119="","",IF(E119&lt;=0,"Current",IF(TODAY()-VLOOKUP(A119,BILLING!$B:$I,7,FALSE)&lt;=30,"0-30 Days",IF(TODAY()-VLOOKUP(A119,BILLING!$B:$I,7,FALSE)&lt;=60,"31-60 Days","61+ Days"))))</f>
        <v/>
      </c>
    </row>
    <row r="120" ht="15.75" customHeight="1">
      <c r="A120" s="33" t="str">
        <f>IF(BILLING!B120="","",BILLING!B120)</f>
        <v/>
      </c>
      <c r="B120" s="33" t="str">
        <f>IF(A120="","",IFERROR(VLOOKUP(VLOOKUP(VLOOKUP(A120,BILLING!$B:$I,7,FALSE),BOOKINGS!$A:$Q,3,FALSE),CLIENTS!$A:$H,2,FALSE),""))</f>
        <v/>
      </c>
      <c r="C120" s="38" t="str">
        <f>IF(A120="","",IFERROR(VLOOKUP(A120,BILLING!$B:$I,5,FALSE),0))</f>
        <v/>
      </c>
      <c r="D120" s="38"/>
      <c r="E120" s="38" t="str">
        <f t="shared" si="1"/>
        <v/>
      </c>
      <c r="F120" s="39"/>
      <c r="G120" s="33" t="str">
        <f t="shared" si="2"/>
        <v/>
      </c>
      <c r="H120" s="33" t="str">
        <f>IF(OR(A120="",F120=""),"",F120-VLOOKUP(A120,BILLING!$B:$I,7,FALSE))</f>
        <v/>
      </c>
      <c r="I120" s="33" t="str">
        <f>IF(A120="","",IF(E120&lt;=0,"Current",IF(TODAY()-VLOOKUP(A120,BILLING!$B:$I,7,FALSE)&lt;=30,"0-30 Days",IF(TODAY()-VLOOKUP(A120,BILLING!$B:$I,7,FALSE)&lt;=60,"31-60 Days","61+ Days"))))</f>
        <v/>
      </c>
    </row>
    <row r="121" ht="15.75" customHeight="1">
      <c r="A121" s="33" t="str">
        <f>IF(BILLING!B121="","",BILLING!B121)</f>
        <v/>
      </c>
      <c r="B121" s="33" t="str">
        <f>IF(A121="","",IFERROR(VLOOKUP(VLOOKUP(VLOOKUP(A121,BILLING!$B:$I,7,FALSE),BOOKINGS!$A:$Q,3,FALSE),CLIENTS!$A:$H,2,FALSE),""))</f>
        <v/>
      </c>
      <c r="C121" s="38" t="str">
        <f>IF(A121="","",IFERROR(VLOOKUP(A121,BILLING!$B:$I,5,FALSE),0))</f>
        <v/>
      </c>
      <c r="D121" s="38"/>
      <c r="E121" s="38" t="str">
        <f t="shared" si="1"/>
        <v/>
      </c>
      <c r="F121" s="39"/>
      <c r="G121" s="33" t="str">
        <f t="shared" si="2"/>
        <v/>
      </c>
      <c r="H121" s="33" t="str">
        <f>IF(OR(A121="",F121=""),"",F121-VLOOKUP(A121,BILLING!$B:$I,7,FALSE))</f>
        <v/>
      </c>
      <c r="I121" s="33" t="str">
        <f>IF(A121="","",IF(E121&lt;=0,"Current",IF(TODAY()-VLOOKUP(A121,BILLING!$B:$I,7,FALSE)&lt;=30,"0-30 Days",IF(TODAY()-VLOOKUP(A121,BILLING!$B:$I,7,FALSE)&lt;=60,"31-60 Days","61+ Days"))))</f>
        <v/>
      </c>
    </row>
    <row r="122" ht="15.75" customHeight="1">
      <c r="A122" s="33" t="str">
        <f>IF(BILLING!B122="","",BILLING!B122)</f>
        <v/>
      </c>
      <c r="B122" s="33" t="str">
        <f>IF(A122="","",IFERROR(VLOOKUP(VLOOKUP(VLOOKUP(A122,BILLING!$B:$I,7,FALSE),BOOKINGS!$A:$Q,3,FALSE),CLIENTS!$A:$H,2,FALSE),""))</f>
        <v/>
      </c>
      <c r="C122" s="38" t="str">
        <f>IF(A122="","",IFERROR(VLOOKUP(A122,BILLING!$B:$I,5,FALSE),0))</f>
        <v/>
      </c>
      <c r="D122" s="38"/>
      <c r="E122" s="38" t="str">
        <f t="shared" si="1"/>
        <v/>
      </c>
      <c r="F122" s="39"/>
      <c r="G122" s="33" t="str">
        <f t="shared" si="2"/>
        <v/>
      </c>
      <c r="H122" s="33" t="str">
        <f>IF(OR(A122="",F122=""),"",F122-VLOOKUP(A122,BILLING!$B:$I,7,FALSE))</f>
        <v/>
      </c>
      <c r="I122" s="33" t="str">
        <f>IF(A122="","",IF(E122&lt;=0,"Current",IF(TODAY()-VLOOKUP(A122,BILLING!$B:$I,7,FALSE)&lt;=30,"0-30 Days",IF(TODAY()-VLOOKUP(A122,BILLING!$B:$I,7,FALSE)&lt;=60,"31-60 Days","61+ Days"))))</f>
        <v/>
      </c>
    </row>
    <row r="123" ht="15.75" customHeight="1">
      <c r="A123" s="33" t="str">
        <f>IF(BILLING!B123="","",BILLING!B123)</f>
        <v/>
      </c>
      <c r="B123" s="33" t="str">
        <f>IF(A123="","",IFERROR(VLOOKUP(VLOOKUP(VLOOKUP(A123,BILLING!$B:$I,7,FALSE),BOOKINGS!$A:$Q,3,FALSE),CLIENTS!$A:$H,2,FALSE),""))</f>
        <v/>
      </c>
      <c r="C123" s="38" t="str">
        <f>IF(A123="","",IFERROR(VLOOKUP(A123,BILLING!$B:$I,5,FALSE),0))</f>
        <v/>
      </c>
      <c r="D123" s="38"/>
      <c r="E123" s="38" t="str">
        <f t="shared" si="1"/>
        <v/>
      </c>
      <c r="F123" s="39"/>
      <c r="G123" s="33" t="str">
        <f t="shared" si="2"/>
        <v/>
      </c>
      <c r="H123" s="33" t="str">
        <f>IF(OR(A123="",F123=""),"",F123-VLOOKUP(A123,BILLING!$B:$I,7,FALSE))</f>
        <v/>
      </c>
      <c r="I123" s="33" t="str">
        <f>IF(A123="","",IF(E123&lt;=0,"Current",IF(TODAY()-VLOOKUP(A123,BILLING!$B:$I,7,FALSE)&lt;=30,"0-30 Days",IF(TODAY()-VLOOKUP(A123,BILLING!$B:$I,7,FALSE)&lt;=60,"31-60 Days","61+ Days"))))</f>
        <v/>
      </c>
    </row>
    <row r="124" ht="15.75" customHeight="1">
      <c r="A124" s="33" t="str">
        <f>IF(BILLING!B124="","",BILLING!B124)</f>
        <v/>
      </c>
      <c r="B124" s="33" t="str">
        <f>IF(A124="","",IFERROR(VLOOKUP(VLOOKUP(VLOOKUP(A124,BILLING!$B:$I,7,FALSE),BOOKINGS!$A:$Q,3,FALSE),CLIENTS!$A:$H,2,FALSE),""))</f>
        <v/>
      </c>
      <c r="C124" s="38" t="str">
        <f>IF(A124="","",IFERROR(VLOOKUP(A124,BILLING!$B:$I,5,FALSE),0))</f>
        <v/>
      </c>
      <c r="D124" s="38"/>
      <c r="E124" s="38" t="str">
        <f t="shared" si="1"/>
        <v/>
      </c>
      <c r="F124" s="39"/>
      <c r="G124" s="33" t="str">
        <f t="shared" si="2"/>
        <v/>
      </c>
      <c r="H124" s="33" t="str">
        <f>IF(OR(A124="",F124=""),"",F124-VLOOKUP(A124,BILLING!$B:$I,7,FALSE))</f>
        <v/>
      </c>
      <c r="I124" s="33" t="str">
        <f>IF(A124="","",IF(E124&lt;=0,"Current",IF(TODAY()-VLOOKUP(A124,BILLING!$B:$I,7,FALSE)&lt;=30,"0-30 Days",IF(TODAY()-VLOOKUP(A124,BILLING!$B:$I,7,FALSE)&lt;=60,"31-60 Days","61+ Days"))))</f>
        <v/>
      </c>
    </row>
    <row r="125" ht="15.75" customHeight="1">
      <c r="A125" s="33" t="str">
        <f>IF(BILLING!B125="","",BILLING!B125)</f>
        <v/>
      </c>
      <c r="B125" s="33" t="str">
        <f>IF(A125="","",IFERROR(VLOOKUP(VLOOKUP(VLOOKUP(A125,BILLING!$B:$I,7,FALSE),BOOKINGS!$A:$Q,3,FALSE),CLIENTS!$A:$H,2,FALSE),""))</f>
        <v/>
      </c>
      <c r="C125" s="38" t="str">
        <f>IF(A125="","",IFERROR(VLOOKUP(A125,BILLING!$B:$I,5,FALSE),0))</f>
        <v/>
      </c>
      <c r="D125" s="38"/>
      <c r="E125" s="38" t="str">
        <f t="shared" si="1"/>
        <v/>
      </c>
      <c r="F125" s="39"/>
      <c r="G125" s="33" t="str">
        <f t="shared" si="2"/>
        <v/>
      </c>
      <c r="H125" s="33" t="str">
        <f>IF(OR(A125="",F125=""),"",F125-VLOOKUP(A125,BILLING!$B:$I,7,FALSE))</f>
        <v/>
      </c>
      <c r="I125" s="33" t="str">
        <f>IF(A125="","",IF(E125&lt;=0,"Current",IF(TODAY()-VLOOKUP(A125,BILLING!$B:$I,7,FALSE)&lt;=30,"0-30 Days",IF(TODAY()-VLOOKUP(A125,BILLING!$B:$I,7,FALSE)&lt;=60,"31-60 Days","61+ Days"))))</f>
        <v/>
      </c>
    </row>
    <row r="126" ht="15.75" customHeight="1">
      <c r="A126" s="33" t="str">
        <f>IF(BILLING!B126="","",BILLING!B126)</f>
        <v/>
      </c>
      <c r="B126" s="33" t="str">
        <f>IF(A126="","",IFERROR(VLOOKUP(VLOOKUP(VLOOKUP(A126,BILLING!$B:$I,7,FALSE),BOOKINGS!$A:$Q,3,FALSE),CLIENTS!$A:$H,2,FALSE),""))</f>
        <v/>
      </c>
      <c r="C126" s="38" t="str">
        <f>IF(A126="","",IFERROR(VLOOKUP(A126,BILLING!$B:$I,5,FALSE),0))</f>
        <v/>
      </c>
      <c r="D126" s="38"/>
      <c r="E126" s="38" t="str">
        <f t="shared" si="1"/>
        <v/>
      </c>
      <c r="F126" s="39"/>
      <c r="G126" s="33" t="str">
        <f t="shared" si="2"/>
        <v/>
      </c>
      <c r="H126" s="33" t="str">
        <f>IF(OR(A126="",F126=""),"",F126-VLOOKUP(A126,BILLING!$B:$I,7,FALSE))</f>
        <v/>
      </c>
      <c r="I126" s="33" t="str">
        <f>IF(A126="","",IF(E126&lt;=0,"Current",IF(TODAY()-VLOOKUP(A126,BILLING!$B:$I,7,FALSE)&lt;=30,"0-30 Days",IF(TODAY()-VLOOKUP(A126,BILLING!$B:$I,7,FALSE)&lt;=60,"31-60 Days","61+ Days"))))</f>
        <v/>
      </c>
    </row>
    <row r="127" ht="15.75" customHeight="1">
      <c r="A127" s="33" t="str">
        <f>IF(BILLING!B127="","",BILLING!B127)</f>
        <v/>
      </c>
      <c r="B127" s="33" t="str">
        <f>IF(A127="","",IFERROR(VLOOKUP(VLOOKUP(VLOOKUP(A127,BILLING!$B:$I,7,FALSE),BOOKINGS!$A:$Q,3,FALSE),CLIENTS!$A:$H,2,FALSE),""))</f>
        <v/>
      </c>
      <c r="C127" s="38" t="str">
        <f>IF(A127="","",IFERROR(VLOOKUP(A127,BILLING!$B:$I,5,FALSE),0))</f>
        <v/>
      </c>
      <c r="D127" s="38"/>
      <c r="E127" s="38" t="str">
        <f t="shared" si="1"/>
        <v/>
      </c>
      <c r="F127" s="39"/>
      <c r="G127" s="33" t="str">
        <f t="shared" si="2"/>
        <v/>
      </c>
      <c r="H127" s="33" t="str">
        <f>IF(OR(A127="",F127=""),"",F127-VLOOKUP(A127,BILLING!$B:$I,7,FALSE))</f>
        <v/>
      </c>
      <c r="I127" s="33" t="str">
        <f>IF(A127="","",IF(E127&lt;=0,"Current",IF(TODAY()-VLOOKUP(A127,BILLING!$B:$I,7,FALSE)&lt;=30,"0-30 Days",IF(TODAY()-VLOOKUP(A127,BILLING!$B:$I,7,FALSE)&lt;=60,"31-60 Days","61+ Days"))))</f>
        <v/>
      </c>
    </row>
    <row r="128" ht="15.75" customHeight="1">
      <c r="A128" s="33" t="str">
        <f>IF(BILLING!B128="","",BILLING!B128)</f>
        <v/>
      </c>
      <c r="B128" s="33" t="str">
        <f>IF(A128="","",IFERROR(VLOOKUP(VLOOKUP(VLOOKUP(A128,BILLING!$B:$I,7,FALSE),BOOKINGS!$A:$Q,3,FALSE),CLIENTS!$A:$H,2,FALSE),""))</f>
        <v/>
      </c>
      <c r="C128" s="38" t="str">
        <f>IF(A128="","",IFERROR(VLOOKUP(A128,BILLING!$B:$I,5,FALSE),0))</f>
        <v/>
      </c>
      <c r="D128" s="38"/>
      <c r="E128" s="38" t="str">
        <f t="shared" si="1"/>
        <v/>
      </c>
      <c r="F128" s="39"/>
      <c r="G128" s="33" t="str">
        <f t="shared" si="2"/>
        <v/>
      </c>
      <c r="H128" s="33" t="str">
        <f>IF(OR(A128="",F128=""),"",F128-VLOOKUP(A128,BILLING!$B:$I,7,FALSE))</f>
        <v/>
      </c>
      <c r="I128" s="33" t="str">
        <f>IF(A128="","",IF(E128&lt;=0,"Current",IF(TODAY()-VLOOKUP(A128,BILLING!$B:$I,7,FALSE)&lt;=30,"0-30 Days",IF(TODAY()-VLOOKUP(A128,BILLING!$B:$I,7,FALSE)&lt;=60,"31-60 Days","61+ Days"))))</f>
        <v/>
      </c>
    </row>
    <row r="129" ht="15.75" customHeight="1">
      <c r="A129" s="33" t="str">
        <f>IF(BILLING!B129="","",BILLING!B129)</f>
        <v/>
      </c>
      <c r="B129" s="33" t="str">
        <f>IF(A129="","",IFERROR(VLOOKUP(VLOOKUP(VLOOKUP(A129,BILLING!$B:$I,7,FALSE),BOOKINGS!$A:$Q,3,FALSE),CLIENTS!$A:$H,2,FALSE),""))</f>
        <v/>
      </c>
      <c r="C129" s="38" t="str">
        <f>IF(A129="","",IFERROR(VLOOKUP(A129,BILLING!$B:$I,5,FALSE),0))</f>
        <v/>
      </c>
      <c r="D129" s="38"/>
      <c r="E129" s="38" t="str">
        <f t="shared" si="1"/>
        <v/>
      </c>
      <c r="F129" s="39"/>
      <c r="G129" s="33" t="str">
        <f t="shared" si="2"/>
        <v/>
      </c>
      <c r="H129" s="33" t="str">
        <f>IF(OR(A129="",F129=""),"",F129-VLOOKUP(A129,BILLING!$B:$I,7,FALSE))</f>
        <v/>
      </c>
      <c r="I129" s="33" t="str">
        <f>IF(A129="","",IF(E129&lt;=0,"Current",IF(TODAY()-VLOOKUP(A129,BILLING!$B:$I,7,FALSE)&lt;=30,"0-30 Days",IF(TODAY()-VLOOKUP(A129,BILLING!$B:$I,7,FALSE)&lt;=60,"31-60 Days","61+ Days"))))</f>
        <v/>
      </c>
    </row>
    <row r="130" ht="15.75" customHeight="1">
      <c r="A130" s="33" t="str">
        <f>IF(BILLING!B130="","",BILLING!B130)</f>
        <v/>
      </c>
      <c r="B130" s="33" t="str">
        <f>IF(A130="","",IFERROR(VLOOKUP(VLOOKUP(VLOOKUP(A130,BILLING!$B:$I,7,FALSE),BOOKINGS!$A:$Q,3,FALSE),CLIENTS!$A:$H,2,FALSE),""))</f>
        <v/>
      </c>
      <c r="C130" s="38" t="str">
        <f>IF(A130="","",IFERROR(VLOOKUP(A130,BILLING!$B:$I,5,FALSE),0))</f>
        <v/>
      </c>
      <c r="D130" s="38"/>
      <c r="E130" s="38" t="str">
        <f t="shared" si="1"/>
        <v/>
      </c>
      <c r="F130" s="39"/>
      <c r="G130" s="33" t="str">
        <f t="shared" si="2"/>
        <v/>
      </c>
      <c r="H130" s="33" t="str">
        <f>IF(OR(A130="",F130=""),"",F130-VLOOKUP(A130,BILLING!$B:$I,7,FALSE))</f>
        <v/>
      </c>
      <c r="I130" s="33" t="str">
        <f>IF(A130="","",IF(E130&lt;=0,"Current",IF(TODAY()-VLOOKUP(A130,BILLING!$B:$I,7,FALSE)&lt;=30,"0-30 Days",IF(TODAY()-VLOOKUP(A130,BILLING!$B:$I,7,FALSE)&lt;=60,"31-60 Days","61+ Days"))))</f>
        <v/>
      </c>
    </row>
    <row r="131" ht="15.75" customHeight="1">
      <c r="A131" s="33" t="str">
        <f>IF(BILLING!B131="","",BILLING!B131)</f>
        <v/>
      </c>
      <c r="B131" s="33" t="str">
        <f>IF(A131="","",IFERROR(VLOOKUP(VLOOKUP(VLOOKUP(A131,BILLING!$B:$I,7,FALSE),BOOKINGS!$A:$Q,3,FALSE),CLIENTS!$A:$H,2,FALSE),""))</f>
        <v/>
      </c>
      <c r="C131" s="38" t="str">
        <f>IF(A131="","",IFERROR(VLOOKUP(A131,BILLING!$B:$I,5,FALSE),0))</f>
        <v/>
      </c>
      <c r="D131" s="38"/>
      <c r="E131" s="38" t="str">
        <f t="shared" si="1"/>
        <v/>
      </c>
      <c r="F131" s="39"/>
      <c r="G131" s="33" t="str">
        <f t="shared" si="2"/>
        <v/>
      </c>
      <c r="H131" s="33" t="str">
        <f>IF(OR(A131="",F131=""),"",F131-VLOOKUP(A131,BILLING!$B:$I,7,FALSE))</f>
        <v/>
      </c>
      <c r="I131" s="33" t="str">
        <f>IF(A131="","",IF(E131&lt;=0,"Current",IF(TODAY()-VLOOKUP(A131,BILLING!$B:$I,7,FALSE)&lt;=30,"0-30 Days",IF(TODAY()-VLOOKUP(A131,BILLING!$B:$I,7,FALSE)&lt;=60,"31-60 Days","61+ Days"))))</f>
        <v/>
      </c>
    </row>
    <row r="132" ht="15.75" customHeight="1">
      <c r="A132" s="33" t="str">
        <f>IF(BILLING!B132="","",BILLING!B132)</f>
        <v/>
      </c>
      <c r="B132" s="33" t="str">
        <f>IF(A132="","",IFERROR(VLOOKUP(VLOOKUP(VLOOKUP(A132,BILLING!$B:$I,7,FALSE),BOOKINGS!$A:$Q,3,FALSE),CLIENTS!$A:$H,2,FALSE),""))</f>
        <v/>
      </c>
      <c r="C132" s="38" t="str">
        <f>IF(A132="","",IFERROR(VLOOKUP(A132,BILLING!$B:$I,5,FALSE),0))</f>
        <v/>
      </c>
      <c r="D132" s="38"/>
      <c r="E132" s="38" t="str">
        <f t="shared" si="1"/>
        <v/>
      </c>
      <c r="F132" s="39"/>
      <c r="G132" s="33" t="str">
        <f t="shared" si="2"/>
        <v/>
      </c>
      <c r="H132" s="33" t="str">
        <f>IF(OR(A132="",F132=""),"",F132-VLOOKUP(A132,BILLING!$B:$I,7,FALSE))</f>
        <v/>
      </c>
      <c r="I132" s="33" t="str">
        <f>IF(A132="","",IF(E132&lt;=0,"Current",IF(TODAY()-VLOOKUP(A132,BILLING!$B:$I,7,FALSE)&lt;=30,"0-30 Days",IF(TODAY()-VLOOKUP(A132,BILLING!$B:$I,7,FALSE)&lt;=60,"31-60 Days","61+ Days"))))</f>
        <v/>
      </c>
    </row>
    <row r="133" ht="15.75" customHeight="1">
      <c r="A133" s="33" t="str">
        <f>IF(BILLING!B133="","",BILLING!B133)</f>
        <v/>
      </c>
      <c r="B133" s="33" t="str">
        <f>IF(A133="","",IFERROR(VLOOKUP(VLOOKUP(VLOOKUP(A133,BILLING!$B:$I,7,FALSE),BOOKINGS!$A:$Q,3,FALSE),CLIENTS!$A:$H,2,FALSE),""))</f>
        <v/>
      </c>
      <c r="C133" s="38" t="str">
        <f>IF(A133="","",IFERROR(VLOOKUP(A133,BILLING!$B:$I,5,FALSE),0))</f>
        <v/>
      </c>
      <c r="D133" s="38"/>
      <c r="E133" s="38" t="str">
        <f t="shared" si="1"/>
        <v/>
      </c>
      <c r="F133" s="39"/>
      <c r="G133" s="33" t="str">
        <f t="shared" si="2"/>
        <v/>
      </c>
      <c r="H133" s="33" t="str">
        <f>IF(OR(A133="",F133=""),"",F133-VLOOKUP(A133,BILLING!$B:$I,7,FALSE))</f>
        <v/>
      </c>
      <c r="I133" s="33" t="str">
        <f>IF(A133="","",IF(E133&lt;=0,"Current",IF(TODAY()-VLOOKUP(A133,BILLING!$B:$I,7,FALSE)&lt;=30,"0-30 Days",IF(TODAY()-VLOOKUP(A133,BILLING!$B:$I,7,FALSE)&lt;=60,"31-60 Days","61+ Days"))))</f>
        <v/>
      </c>
    </row>
    <row r="134" ht="15.75" customHeight="1">
      <c r="A134" s="33" t="str">
        <f>IF(BILLING!B134="","",BILLING!B134)</f>
        <v/>
      </c>
      <c r="B134" s="33" t="str">
        <f>IF(A134="","",IFERROR(VLOOKUP(VLOOKUP(VLOOKUP(A134,BILLING!$B:$I,7,FALSE),BOOKINGS!$A:$Q,3,FALSE),CLIENTS!$A:$H,2,FALSE),""))</f>
        <v/>
      </c>
      <c r="C134" s="38" t="str">
        <f>IF(A134="","",IFERROR(VLOOKUP(A134,BILLING!$B:$I,5,FALSE),0))</f>
        <v/>
      </c>
      <c r="D134" s="38"/>
      <c r="E134" s="38" t="str">
        <f t="shared" si="1"/>
        <v/>
      </c>
      <c r="F134" s="39"/>
      <c r="G134" s="33" t="str">
        <f t="shared" si="2"/>
        <v/>
      </c>
      <c r="H134" s="33" t="str">
        <f>IF(OR(A134="",F134=""),"",F134-VLOOKUP(A134,BILLING!$B:$I,7,FALSE))</f>
        <v/>
      </c>
      <c r="I134" s="33" t="str">
        <f>IF(A134="","",IF(E134&lt;=0,"Current",IF(TODAY()-VLOOKUP(A134,BILLING!$B:$I,7,FALSE)&lt;=30,"0-30 Days",IF(TODAY()-VLOOKUP(A134,BILLING!$B:$I,7,FALSE)&lt;=60,"31-60 Days","61+ Days"))))</f>
        <v/>
      </c>
    </row>
    <row r="135" ht="15.75" customHeight="1">
      <c r="A135" s="33" t="str">
        <f>IF(BILLING!B135="","",BILLING!B135)</f>
        <v/>
      </c>
      <c r="B135" s="33" t="str">
        <f>IF(A135="","",IFERROR(VLOOKUP(VLOOKUP(VLOOKUP(A135,BILLING!$B:$I,7,FALSE),BOOKINGS!$A:$Q,3,FALSE),CLIENTS!$A:$H,2,FALSE),""))</f>
        <v/>
      </c>
      <c r="C135" s="38" t="str">
        <f>IF(A135="","",IFERROR(VLOOKUP(A135,BILLING!$B:$I,5,FALSE),0))</f>
        <v/>
      </c>
      <c r="D135" s="38"/>
      <c r="E135" s="38" t="str">
        <f t="shared" si="1"/>
        <v/>
      </c>
      <c r="F135" s="39"/>
      <c r="G135" s="33" t="str">
        <f t="shared" si="2"/>
        <v/>
      </c>
      <c r="H135" s="33" t="str">
        <f>IF(OR(A135="",F135=""),"",F135-VLOOKUP(A135,BILLING!$B:$I,7,FALSE))</f>
        <v/>
      </c>
      <c r="I135" s="33" t="str">
        <f>IF(A135="","",IF(E135&lt;=0,"Current",IF(TODAY()-VLOOKUP(A135,BILLING!$B:$I,7,FALSE)&lt;=30,"0-30 Days",IF(TODAY()-VLOOKUP(A135,BILLING!$B:$I,7,FALSE)&lt;=60,"31-60 Days","61+ Days"))))</f>
        <v/>
      </c>
    </row>
    <row r="136" ht="15.75" customHeight="1">
      <c r="A136" s="33" t="str">
        <f>IF(BILLING!B136="","",BILLING!B136)</f>
        <v/>
      </c>
      <c r="B136" s="33" t="str">
        <f>IF(A136="","",IFERROR(VLOOKUP(VLOOKUP(VLOOKUP(A136,BILLING!$B:$I,7,FALSE),BOOKINGS!$A:$Q,3,FALSE),CLIENTS!$A:$H,2,FALSE),""))</f>
        <v/>
      </c>
      <c r="C136" s="38" t="str">
        <f>IF(A136="","",IFERROR(VLOOKUP(A136,BILLING!$B:$I,5,FALSE),0))</f>
        <v/>
      </c>
      <c r="D136" s="38"/>
      <c r="E136" s="38" t="str">
        <f t="shared" si="1"/>
        <v/>
      </c>
      <c r="F136" s="39"/>
      <c r="G136" s="33" t="str">
        <f t="shared" si="2"/>
        <v/>
      </c>
      <c r="H136" s="33" t="str">
        <f>IF(OR(A136="",F136=""),"",F136-VLOOKUP(A136,BILLING!$B:$I,7,FALSE))</f>
        <v/>
      </c>
      <c r="I136" s="33" t="str">
        <f>IF(A136="","",IF(E136&lt;=0,"Current",IF(TODAY()-VLOOKUP(A136,BILLING!$B:$I,7,FALSE)&lt;=30,"0-30 Days",IF(TODAY()-VLOOKUP(A136,BILLING!$B:$I,7,FALSE)&lt;=60,"31-60 Days","61+ Days"))))</f>
        <v/>
      </c>
    </row>
    <row r="137" ht="15.75" customHeight="1">
      <c r="A137" s="33" t="str">
        <f>IF(BILLING!B137="","",BILLING!B137)</f>
        <v/>
      </c>
      <c r="B137" s="33" t="str">
        <f>IF(A137="","",IFERROR(VLOOKUP(VLOOKUP(VLOOKUP(A137,BILLING!$B:$I,7,FALSE),BOOKINGS!$A:$Q,3,FALSE),CLIENTS!$A:$H,2,FALSE),""))</f>
        <v/>
      </c>
      <c r="C137" s="38" t="str">
        <f>IF(A137="","",IFERROR(VLOOKUP(A137,BILLING!$B:$I,5,FALSE),0))</f>
        <v/>
      </c>
      <c r="D137" s="38"/>
      <c r="E137" s="38" t="str">
        <f t="shared" si="1"/>
        <v/>
      </c>
      <c r="F137" s="39"/>
      <c r="G137" s="33" t="str">
        <f t="shared" si="2"/>
        <v/>
      </c>
      <c r="H137" s="33" t="str">
        <f>IF(OR(A137="",F137=""),"",F137-VLOOKUP(A137,BILLING!$B:$I,7,FALSE))</f>
        <v/>
      </c>
      <c r="I137" s="33" t="str">
        <f>IF(A137="","",IF(E137&lt;=0,"Current",IF(TODAY()-VLOOKUP(A137,BILLING!$B:$I,7,FALSE)&lt;=30,"0-30 Days",IF(TODAY()-VLOOKUP(A137,BILLING!$B:$I,7,FALSE)&lt;=60,"31-60 Days","61+ Days"))))</f>
        <v/>
      </c>
    </row>
    <row r="138" ht="15.75" customHeight="1">
      <c r="A138" s="33" t="str">
        <f>IF(BILLING!B138="","",BILLING!B138)</f>
        <v/>
      </c>
      <c r="B138" s="33" t="str">
        <f>IF(A138="","",IFERROR(VLOOKUP(VLOOKUP(VLOOKUP(A138,BILLING!$B:$I,7,FALSE),BOOKINGS!$A:$Q,3,FALSE),CLIENTS!$A:$H,2,FALSE),""))</f>
        <v/>
      </c>
      <c r="C138" s="38" t="str">
        <f>IF(A138="","",IFERROR(VLOOKUP(A138,BILLING!$B:$I,5,FALSE),0))</f>
        <v/>
      </c>
      <c r="D138" s="38"/>
      <c r="E138" s="38" t="str">
        <f t="shared" si="1"/>
        <v/>
      </c>
      <c r="F138" s="39"/>
      <c r="G138" s="33" t="str">
        <f t="shared" si="2"/>
        <v/>
      </c>
      <c r="H138" s="33" t="str">
        <f>IF(OR(A138="",F138=""),"",F138-VLOOKUP(A138,BILLING!$B:$I,7,FALSE))</f>
        <v/>
      </c>
      <c r="I138" s="33" t="str">
        <f>IF(A138="","",IF(E138&lt;=0,"Current",IF(TODAY()-VLOOKUP(A138,BILLING!$B:$I,7,FALSE)&lt;=30,"0-30 Days",IF(TODAY()-VLOOKUP(A138,BILLING!$B:$I,7,FALSE)&lt;=60,"31-60 Days","61+ Days"))))</f>
        <v/>
      </c>
    </row>
    <row r="139" ht="15.75" customHeight="1">
      <c r="A139" s="33" t="str">
        <f>IF(BILLING!B139="","",BILLING!B139)</f>
        <v/>
      </c>
      <c r="B139" s="33" t="str">
        <f>IF(A139="","",IFERROR(VLOOKUP(VLOOKUP(VLOOKUP(A139,BILLING!$B:$I,7,FALSE),BOOKINGS!$A:$Q,3,FALSE),CLIENTS!$A:$H,2,FALSE),""))</f>
        <v/>
      </c>
      <c r="C139" s="38" t="str">
        <f>IF(A139="","",IFERROR(VLOOKUP(A139,BILLING!$B:$I,5,FALSE),0))</f>
        <v/>
      </c>
      <c r="D139" s="38"/>
      <c r="E139" s="38" t="str">
        <f t="shared" si="1"/>
        <v/>
      </c>
      <c r="F139" s="39"/>
      <c r="G139" s="33" t="str">
        <f t="shared" si="2"/>
        <v/>
      </c>
      <c r="H139" s="33" t="str">
        <f>IF(OR(A139="",F139=""),"",F139-VLOOKUP(A139,BILLING!$B:$I,7,FALSE))</f>
        <v/>
      </c>
      <c r="I139" s="33" t="str">
        <f>IF(A139="","",IF(E139&lt;=0,"Current",IF(TODAY()-VLOOKUP(A139,BILLING!$B:$I,7,FALSE)&lt;=30,"0-30 Days",IF(TODAY()-VLOOKUP(A139,BILLING!$B:$I,7,FALSE)&lt;=60,"31-60 Days","61+ Days"))))</f>
        <v/>
      </c>
    </row>
    <row r="140" ht="15.75" customHeight="1">
      <c r="A140" s="33" t="str">
        <f>IF(BILLING!B140="","",BILLING!B140)</f>
        <v/>
      </c>
      <c r="B140" s="33" t="str">
        <f>IF(A140="","",IFERROR(VLOOKUP(VLOOKUP(VLOOKUP(A140,BILLING!$B:$I,7,FALSE),BOOKINGS!$A:$Q,3,FALSE),CLIENTS!$A:$H,2,FALSE),""))</f>
        <v/>
      </c>
      <c r="C140" s="38" t="str">
        <f>IF(A140="","",IFERROR(VLOOKUP(A140,BILLING!$B:$I,5,FALSE),0))</f>
        <v/>
      </c>
      <c r="D140" s="38"/>
      <c r="E140" s="38" t="str">
        <f t="shared" si="1"/>
        <v/>
      </c>
      <c r="F140" s="39"/>
      <c r="G140" s="33" t="str">
        <f t="shared" si="2"/>
        <v/>
      </c>
      <c r="H140" s="33" t="str">
        <f>IF(OR(A140="",F140=""),"",F140-VLOOKUP(A140,BILLING!$B:$I,7,FALSE))</f>
        <v/>
      </c>
      <c r="I140" s="33" t="str">
        <f>IF(A140="","",IF(E140&lt;=0,"Current",IF(TODAY()-VLOOKUP(A140,BILLING!$B:$I,7,FALSE)&lt;=30,"0-30 Days",IF(TODAY()-VLOOKUP(A140,BILLING!$B:$I,7,FALSE)&lt;=60,"31-60 Days","61+ Days"))))</f>
        <v/>
      </c>
    </row>
    <row r="141" ht="15.75" customHeight="1">
      <c r="A141" s="33" t="str">
        <f>IF(BILLING!B141="","",BILLING!B141)</f>
        <v/>
      </c>
      <c r="B141" s="33" t="str">
        <f>IF(A141="","",IFERROR(VLOOKUP(VLOOKUP(VLOOKUP(A141,BILLING!$B:$I,7,FALSE),BOOKINGS!$A:$Q,3,FALSE),CLIENTS!$A:$H,2,FALSE),""))</f>
        <v/>
      </c>
      <c r="C141" s="38" t="str">
        <f>IF(A141="","",IFERROR(VLOOKUP(A141,BILLING!$B:$I,5,FALSE),0))</f>
        <v/>
      </c>
      <c r="D141" s="38"/>
      <c r="E141" s="38" t="str">
        <f t="shared" si="1"/>
        <v/>
      </c>
      <c r="F141" s="39"/>
      <c r="G141" s="33" t="str">
        <f t="shared" si="2"/>
        <v/>
      </c>
      <c r="H141" s="33" t="str">
        <f>IF(OR(A141="",F141=""),"",F141-VLOOKUP(A141,BILLING!$B:$I,7,FALSE))</f>
        <v/>
      </c>
      <c r="I141" s="33" t="str">
        <f>IF(A141="","",IF(E141&lt;=0,"Current",IF(TODAY()-VLOOKUP(A141,BILLING!$B:$I,7,FALSE)&lt;=30,"0-30 Days",IF(TODAY()-VLOOKUP(A141,BILLING!$B:$I,7,FALSE)&lt;=60,"31-60 Days","61+ Days"))))</f>
        <v/>
      </c>
    </row>
    <row r="142" ht="15.75" customHeight="1">
      <c r="A142" s="33" t="str">
        <f>IF(BILLING!B142="","",BILLING!B142)</f>
        <v/>
      </c>
      <c r="B142" s="33" t="str">
        <f>IF(A142="","",IFERROR(VLOOKUP(VLOOKUP(VLOOKUP(A142,BILLING!$B:$I,7,FALSE),BOOKINGS!$A:$Q,3,FALSE),CLIENTS!$A:$H,2,FALSE),""))</f>
        <v/>
      </c>
      <c r="C142" s="38" t="str">
        <f>IF(A142="","",IFERROR(VLOOKUP(A142,BILLING!$B:$I,5,FALSE),0))</f>
        <v/>
      </c>
      <c r="D142" s="38"/>
      <c r="E142" s="38" t="str">
        <f t="shared" si="1"/>
        <v/>
      </c>
      <c r="F142" s="39"/>
      <c r="G142" s="33" t="str">
        <f t="shared" si="2"/>
        <v/>
      </c>
      <c r="H142" s="33" t="str">
        <f>IF(OR(A142="",F142=""),"",F142-VLOOKUP(A142,BILLING!$B:$I,7,FALSE))</f>
        <v/>
      </c>
      <c r="I142" s="33" t="str">
        <f>IF(A142="","",IF(E142&lt;=0,"Current",IF(TODAY()-VLOOKUP(A142,BILLING!$B:$I,7,FALSE)&lt;=30,"0-30 Days",IF(TODAY()-VLOOKUP(A142,BILLING!$B:$I,7,FALSE)&lt;=60,"31-60 Days","61+ Days"))))</f>
        <v/>
      </c>
    </row>
    <row r="143" ht="15.75" customHeight="1">
      <c r="A143" s="33" t="str">
        <f>IF(BILLING!B143="","",BILLING!B143)</f>
        <v/>
      </c>
      <c r="B143" s="33" t="str">
        <f>IF(A143="","",IFERROR(VLOOKUP(VLOOKUP(VLOOKUP(A143,BILLING!$B:$I,7,FALSE),BOOKINGS!$A:$Q,3,FALSE),CLIENTS!$A:$H,2,FALSE),""))</f>
        <v/>
      </c>
      <c r="C143" s="38" t="str">
        <f>IF(A143="","",IFERROR(VLOOKUP(A143,BILLING!$B:$I,5,FALSE),0))</f>
        <v/>
      </c>
      <c r="D143" s="38"/>
      <c r="E143" s="38" t="str">
        <f t="shared" si="1"/>
        <v/>
      </c>
      <c r="F143" s="39"/>
      <c r="G143" s="33" t="str">
        <f t="shared" si="2"/>
        <v/>
      </c>
      <c r="H143" s="33" t="str">
        <f>IF(OR(A143="",F143=""),"",F143-VLOOKUP(A143,BILLING!$B:$I,7,FALSE))</f>
        <v/>
      </c>
      <c r="I143" s="33" t="str">
        <f>IF(A143="","",IF(E143&lt;=0,"Current",IF(TODAY()-VLOOKUP(A143,BILLING!$B:$I,7,FALSE)&lt;=30,"0-30 Days",IF(TODAY()-VLOOKUP(A143,BILLING!$B:$I,7,FALSE)&lt;=60,"31-60 Days","61+ Days"))))</f>
        <v/>
      </c>
    </row>
    <row r="144" ht="15.75" customHeight="1">
      <c r="A144" s="33" t="str">
        <f>IF(BILLING!B144="","",BILLING!B144)</f>
        <v/>
      </c>
      <c r="B144" s="33" t="str">
        <f>IF(A144="","",IFERROR(VLOOKUP(VLOOKUP(VLOOKUP(A144,BILLING!$B:$I,7,FALSE),BOOKINGS!$A:$Q,3,FALSE),CLIENTS!$A:$H,2,FALSE),""))</f>
        <v/>
      </c>
      <c r="C144" s="38" t="str">
        <f>IF(A144="","",IFERROR(VLOOKUP(A144,BILLING!$B:$I,5,FALSE),0))</f>
        <v/>
      </c>
      <c r="D144" s="38"/>
      <c r="E144" s="38" t="str">
        <f t="shared" si="1"/>
        <v/>
      </c>
      <c r="F144" s="39"/>
      <c r="G144" s="33" t="str">
        <f t="shared" si="2"/>
        <v/>
      </c>
      <c r="H144" s="33" t="str">
        <f>IF(OR(A144="",F144=""),"",F144-VLOOKUP(A144,BILLING!$B:$I,7,FALSE))</f>
        <v/>
      </c>
      <c r="I144" s="33" t="str">
        <f>IF(A144="","",IF(E144&lt;=0,"Current",IF(TODAY()-VLOOKUP(A144,BILLING!$B:$I,7,FALSE)&lt;=30,"0-30 Days",IF(TODAY()-VLOOKUP(A144,BILLING!$B:$I,7,FALSE)&lt;=60,"31-60 Days","61+ Days"))))</f>
        <v/>
      </c>
    </row>
    <row r="145" ht="15.75" customHeight="1">
      <c r="A145" s="33" t="str">
        <f>IF(BILLING!B145="","",BILLING!B145)</f>
        <v/>
      </c>
      <c r="B145" s="33" t="str">
        <f>IF(A145="","",IFERROR(VLOOKUP(VLOOKUP(VLOOKUP(A145,BILLING!$B:$I,7,FALSE),BOOKINGS!$A:$Q,3,FALSE),CLIENTS!$A:$H,2,FALSE),""))</f>
        <v/>
      </c>
      <c r="C145" s="38" t="str">
        <f>IF(A145="","",IFERROR(VLOOKUP(A145,BILLING!$B:$I,5,FALSE),0))</f>
        <v/>
      </c>
      <c r="D145" s="38"/>
      <c r="E145" s="38" t="str">
        <f t="shared" si="1"/>
        <v/>
      </c>
      <c r="F145" s="39"/>
      <c r="G145" s="33" t="str">
        <f t="shared" si="2"/>
        <v/>
      </c>
      <c r="H145" s="33" t="str">
        <f>IF(OR(A145="",F145=""),"",F145-VLOOKUP(A145,BILLING!$B:$I,7,FALSE))</f>
        <v/>
      </c>
      <c r="I145" s="33" t="str">
        <f>IF(A145="","",IF(E145&lt;=0,"Current",IF(TODAY()-VLOOKUP(A145,BILLING!$B:$I,7,FALSE)&lt;=30,"0-30 Days",IF(TODAY()-VLOOKUP(A145,BILLING!$B:$I,7,FALSE)&lt;=60,"31-60 Days","61+ Days"))))</f>
        <v/>
      </c>
    </row>
    <row r="146" ht="15.75" customHeight="1">
      <c r="A146" s="33" t="str">
        <f>IF(BILLING!B146="","",BILLING!B146)</f>
        <v/>
      </c>
      <c r="B146" s="33" t="str">
        <f>IF(A146="","",IFERROR(VLOOKUP(VLOOKUP(VLOOKUP(A146,BILLING!$B:$I,7,FALSE),BOOKINGS!$A:$Q,3,FALSE),CLIENTS!$A:$H,2,FALSE),""))</f>
        <v/>
      </c>
      <c r="C146" s="38" t="str">
        <f>IF(A146="","",IFERROR(VLOOKUP(A146,BILLING!$B:$I,5,FALSE),0))</f>
        <v/>
      </c>
      <c r="D146" s="38"/>
      <c r="E146" s="38" t="str">
        <f t="shared" si="1"/>
        <v/>
      </c>
      <c r="F146" s="39"/>
      <c r="G146" s="33" t="str">
        <f t="shared" si="2"/>
        <v/>
      </c>
      <c r="H146" s="33" t="str">
        <f>IF(OR(A146="",F146=""),"",F146-VLOOKUP(A146,BILLING!$B:$I,7,FALSE))</f>
        <v/>
      </c>
      <c r="I146" s="33" t="str">
        <f>IF(A146="","",IF(E146&lt;=0,"Current",IF(TODAY()-VLOOKUP(A146,BILLING!$B:$I,7,FALSE)&lt;=30,"0-30 Days",IF(TODAY()-VLOOKUP(A146,BILLING!$B:$I,7,FALSE)&lt;=60,"31-60 Days","61+ Days"))))</f>
        <v/>
      </c>
    </row>
    <row r="147" ht="15.75" customHeight="1">
      <c r="A147" s="33" t="str">
        <f>IF(BILLING!B147="","",BILLING!B147)</f>
        <v/>
      </c>
      <c r="B147" s="33" t="str">
        <f>IF(A147="","",IFERROR(VLOOKUP(VLOOKUP(VLOOKUP(A147,BILLING!$B:$I,7,FALSE),BOOKINGS!$A:$Q,3,FALSE),CLIENTS!$A:$H,2,FALSE),""))</f>
        <v/>
      </c>
      <c r="C147" s="38" t="str">
        <f>IF(A147="","",IFERROR(VLOOKUP(A147,BILLING!$B:$I,5,FALSE),0))</f>
        <v/>
      </c>
      <c r="D147" s="38"/>
      <c r="E147" s="38" t="str">
        <f t="shared" si="1"/>
        <v/>
      </c>
      <c r="F147" s="39"/>
      <c r="G147" s="33" t="str">
        <f t="shared" si="2"/>
        <v/>
      </c>
      <c r="H147" s="33" t="str">
        <f>IF(OR(A147="",F147=""),"",F147-VLOOKUP(A147,BILLING!$B:$I,7,FALSE))</f>
        <v/>
      </c>
      <c r="I147" s="33" t="str">
        <f>IF(A147="","",IF(E147&lt;=0,"Current",IF(TODAY()-VLOOKUP(A147,BILLING!$B:$I,7,FALSE)&lt;=30,"0-30 Days",IF(TODAY()-VLOOKUP(A147,BILLING!$B:$I,7,FALSE)&lt;=60,"31-60 Days","61+ Days"))))</f>
        <v/>
      </c>
    </row>
    <row r="148" ht="15.75" customHeight="1">
      <c r="A148" s="33" t="str">
        <f>IF(BILLING!B148="","",BILLING!B148)</f>
        <v/>
      </c>
      <c r="B148" s="33" t="str">
        <f>IF(A148="","",IFERROR(VLOOKUP(VLOOKUP(VLOOKUP(A148,BILLING!$B:$I,7,FALSE),BOOKINGS!$A:$Q,3,FALSE),CLIENTS!$A:$H,2,FALSE),""))</f>
        <v/>
      </c>
      <c r="C148" s="38" t="str">
        <f>IF(A148="","",IFERROR(VLOOKUP(A148,BILLING!$B:$I,5,FALSE),0))</f>
        <v/>
      </c>
      <c r="D148" s="38"/>
      <c r="E148" s="38" t="str">
        <f t="shared" si="1"/>
        <v/>
      </c>
      <c r="F148" s="39"/>
      <c r="G148" s="33" t="str">
        <f t="shared" si="2"/>
        <v/>
      </c>
      <c r="H148" s="33" t="str">
        <f>IF(OR(A148="",F148=""),"",F148-VLOOKUP(A148,BILLING!$B:$I,7,FALSE))</f>
        <v/>
      </c>
      <c r="I148" s="33" t="str">
        <f>IF(A148="","",IF(E148&lt;=0,"Current",IF(TODAY()-VLOOKUP(A148,BILLING!$B:$I,7,FALSE)&lt;=30,"0-30 Days",IF(TODAY()-VLOOKUP(A148,BILLING!$B:$I,7,FALSE)&lt;=60,"31-60 Days","61+ Days"))))</f>
        <v/>
      </c>
    </row>
    <row r="149" ht="15.75" customHeight="1">
      <c r="A149" s="33" t="str">
        <f>IF(BILLING!B149="","",BILLING!B149)</f>
        <v/>
      </c>
      <c r="B149" s="33" t="str">
        <f>IF(A149="","",IFERROR(VLOOKUP(VLOOKUP(VLOOKUP(A149,BILLING!$B:$I,7,FALSE),BOOKINGS!$A:$Q,3,FALSE),CLIENTS!$A:$H,2,FALSE),""))</f>
        <v/>
      </c>
      <c r="C149" s="38" t="str">
        <f>IF(A149="","",IFERROR(VLOOKUP(A149,BILLING!$B:$I,5,FALSE),0))</f>
        <v/>
      </c>
      <c r="D149" s="38"/>
      <c r="E149" s="38" t="str">
        <f t="shared" si="1"/>
        <v/>
      </c>
      <c r="F149" s="39"/>
      <c r="G149" s="33" t="str">
        <f t="shared" si="2"/>
        <v/>
      </c>
      <c r="H149" s="33" t="str">
        <f>IF(OR(A149="",F149=""),"",F149-VLOOKUP(A149,BILLING!$B:$I,7,FALSE))</f>
        <v/>
      </c>
      <c r="I149" s="33" t="str">
        <f>IF(A149="","",IF(E149&lt;=0,"Current",IF(TODAY()-VLOOKUP(A149,BILLING!$B:$I,7,FALSE)&lt;=30,"0-30 Days",IF(TODAY()-VLOOKUP(A149,BILLING!$B:$I,7,FALSE)&lt;=60,"31-60 Days","61+ Days"))))</f>
        <v/>
      </c>
    </row>
    <row r="150" ht="15.75" customHeight="1">
      <c r="A150" s="33" t="str">
        <f>IF(BILLING!B150="","",BILLING!B150)</f>
        <v/>
      </c>
      <c r="B150" s="33" t="str">
        <f>IF(A150="","",IFERROR(VLOOKUP(VLOOKUP(VLOOKUP(A150,BILLING!$B:$I,7,FALSE),BOOKINGS!$A:$Q,3,FALSE),CLIENTS!$A:$H,2,FALSE),""))</f>
        <v/>
      </c>
      <c r="C150" s="38" t="str">
        <f>IF(A150="","",IFERROR(VLOOKUP(A150,BILLING!$B:$I,5,FALSE),0))</f>
        <v/>
      </c>
      <c r="D150" s="38"/>
      <c r="E150" s="38" t="str">
        <f t="shared" si="1"/>
        <v/>
      </c>
      <c r="F150" s="39"/>
      <c r="G150" s="33" t="str">
        <f t="shared" si="2"/>
        <v/>
      </c>
      <c r="H150" s="33" t="str">
        <f>IF(OR(A150="",F150=""),"",F150-VLOOKUP(A150,BILLING!$B:$I,7,FALSE))</f>
        <v/>
      </c>
      <c r="I150" s="33" t="str">
        <f>IF(A150="","",IF(E150&lt;=0,"Current",IF(TODAY()-VLOOKUP(A150,BILLING!$B:$I,7,FALSE)&lt;=30,"0-30 Days",IF(TODAY()-VLOOKUP(A150,BILLING!$B:$I,7,FALSE)&lt;=60,"31-60 Days","61+ Days"))))</f>
        <v/>
      </c>
    </row>
    <row r="151" ht="15.75" customHeight="1">
      <c r="A151" s="33" t="str">
        <f>IF(BILLING!B151="","",BILLING!B151)</f>
        <v/>
      </c>
      <c r="B151" s="33" t="str">
        <f>IF(A151="","",IFERROR(VLOOKUP(VLOOKUP(VLOOKUP(A151,BILLING!$B:$I,7,FALSE),BOOKINGS!$A:$Q,3,FALSE),CLIENTS!$A:$H,2,FALSE),""))</f>
        <v/>
      </c>
      <c r="C151" s="38" t="str">
        <f>IF(A151="","",IFERROR(VLOOKUP(A151,BILLING!$B:$I,5,FALSE),0))</f>
        <v/>
      </c>
      <c r="D151" s="38"/>
      <c r="E151" s="38" t="str">
        <f t="shared" si="1"/>
        <v/>
      </c>
      <c r="F151" s="39"/>
      <c r="G151" s="33" t="str">
        <f t="shared" si="2"/>
        <v/>
      </c>
      <c r="H151" s="33" t="str">
        <f>IF(OR(A151="",F151=""),"",F151-VLOOKUP(A151,BILLING!$B:$I,7,FALSE))</f>
        <v/>
      </c>
      <c r="I151" s="33" t="str">
        <f>IF(A151="","",IF(E151&lt;=0,"Current",IF(TODAY()-VLOOKUP(A151,BILLING!$B:$I,7,FALSE)&lt;=30,"0-30 Days",IF(TODAY()-VLOOKUP(A151,BILLING!$B:$I,7,FALSE)&lt;=60,"31-60 Days","61+ Days"))))</f>
        <v/>
      </c>
    </row>
    <row r="152" ht="15.75" customHeight="1">
      <c r="A152" s="33" t="str">
        <f>IF(BILLING!B152="","",BILLING!B152)</f>
        <v/>
      </c>
      <c r="B152" s="33" t="str">
        <f>IF(A152="","",IFERROR(VLOOKUP(VLOOKUP(VLOOKUP(A152,BILLING!$B:$I,7,FALSE),BOOKINGS!$A:$Q,3,FALSE),CLIENTS!$A:$H,2,FALSE),""))</f>
        <v/>
      </c>
      <c r="C152" s="38" t="str">
        <f>IF(A152="","",IFERROR(VLOOKUP(A152,BILLING!$B:$I,5,FALSE),0))</f>
        <v/>
      </c>
      <c r="D152" s="38"/>
      <c r="E152" s="38" t="str">
        <f t="shared" si="1"/>
        <v/>
      </c>
      <c r="F152" s="39"/>
      <c r="G152" s="33" t="str">
        <f t="shared" si="2"/>
        <v/>
      </c>
      <c r="H152" s="33" t="str">
        <f>IF(OR(A152="",F152=""),"",F152-VLOOKUP(A152,BILLING!$B:$I,7,FALSE))</f>
        <v/>
      </c>
      <c r="I152" s="33" t="str">
        <f>IF(A152="","",IF(E152&lt;=0,"Current",IF(TODAY()-VLOOKUP(A152,BILLING!$B:$I,7,FALSE)&lt;=30,"0-30 Days",IF(TODAY()-VLOOKUP(A152,BILLING!$B:$I,7,FALSE)&lt;=60,"31-60 Days","61+ Days"))))</f>
        <v/>
      </c>
    </row>
    <row r="153" ht="15.75" customHeight="1">
      <c r="A153" s="33" t="str">
        <f>IF(BILLING!B153="","",BILLING!B153)</f>
        <v/>
      </c>
      <c r="B153" s="33" t="str">
        <f>IF(A153="","",IFERROR(VLOOKUP(VLOOKUP(VLOOKUP(A153,BILLING!$B:$I,7,FALSE),BOOKINGS!$A:$Q,3,FALSE),CLIENTS!$A:$H,2,FALSE),""))</f>
        <v/>
      </c>
      <c r="C153" s="38" t="str">
        <f>IF(A153="","",IFERROR(VLOOKUP(A153,BILLING!$B:$I,5,FALSE),0))</f>
        <v/>
      </c>
      <c r="D153" s="38"/>
      <c r="E153" s="38" t="str">
        <f t="shared" si="1"/>
        <v/>
      </c>
      <c r="F153" s="39"/>
      <c r="G153" s="33" t="str">
        <f t="shared" si="2"/>
        <v/>
      </c>
      <c r="H153" s="33" t="str">
        <f>IF(OR(A153="",F153=""),"",F153-VLOOKUP(A153,BILLING!$B:$I,7,FALSE))</f>
        <v/>
      </c>
      <c r="I153" s="33" t="str">
        <f>IF(A153="","",IF(E153&lt;=0,"Current",IF(TODAY()-VLOOKUP(A153,BILLING!$B:$I,7,FALSE)&lt;=30,"0-30 Days",IF(TODAY()-VLOOKUP(A153,BILLING!$B:$I,7,FALSE)&lt;=60,"31-60 Days","61+ Days"))))</f>
        <v/>
      </c>
    </row>
    <row r="154" ht="15.75" customHeight="1">
      <c r="A154" s="33" t="str">
        <f>IF(BILLING!B154="","",BILLING!B154)</f>
        <v/>
      </c>
      <c r="B154" s="33" t="str">
        <f>IF(A154="","",IFERROR(VLOOKUP(VLOOKUP(VLOOKUP(A154,BILLING!$B:$I,7,FALSE),BOOKINGS!$A:$Q,3,FALSE),CLIENTS!$A:$H,2,FALSE),""))</f>
        <v/>
      </c>
      <c r="C154" s="38" t="str">
        <f>IF(A154="","",IFERROR(VLOOKUP(A154,BILLING!$B:$I,5,FALSE),0))</f>
        <v/>
      </c>
      <c r="D154" s="38"/>
      <c r="E154" s="38" t="str">
        <f t="shared" si="1"/>
        <v/>
      </c>
      <c r="F154" s="39"/>
      <c r="G154" s="33" t="str">
        <f t="shared" si="2"/>
        <v/>
      </c>
      <c r="H154" s="33" t="str">
        <f>IF(OR(A154="",F154=""),"",F154-VLOOKUP(A154,BILLING!$B:$I,7,FALSE))</f>
        <v/>
      </c>
      <c r="I154" s="33" t="str">
        <f>IF(A154="","",IF(E154&lt;=0,"Current",IF(TODAY()-VLOOKUP(A154,BILLING!$B:$I,7,FALSE)&lt;=30,"0-30 Days",IF(TODAY()-VLOOKUP(A154,BILLING!$B:$I,7,FALSE)&lt;=60,"31-60 Days","61+ Days"))))</f>
        <v/>
      </c>
    </row>
    <row r="155" ht="15.75" customHeight="1">
      <c r="A155" s="33" t="str">
        <f>IF(BILLING!B155="","",BILLING!B155)</f>
        <v/>
      </c>
      <c r="B155" s="33" t="str">
        <f>IF(A155="","",IFERROR(VLOOKUP(VLOOKUP(VLOOKUP(A155,BILLING!$B:$I,7,FALSE),BOOKINGS!$A:$Q,3,FALSE),CLIENTS!$A:$H,2,FALSE),""))</f>
        <v/>
      </c>
      <c r="C155" s="38" t="str">
        <f>IF(A155="","",IFERROR(VLOOKUP(A155,BILLING!$B:$I,5,FALSE),0))</f>
        <v/>
      </c>
      <c r="D155" s="38"/>
      <c r="E155" s="38" t="str">
        <f t="shared" si="1"/>
        <v/>
      </c>
      <c r="F155" s="39"/>
      <c r="G155" s="33" t="str">
        <f t="shared" si="2"/>
        <v/>
      </c>
      <c r="H155" s="33" t="str">
        <f>IF(OR(A155="",F155=""),"",F155-VLOOKUP(A155,BILLING!$B:$I,7,FALSE))</f>
        <v/>
      </c>
      <c r="I155" s="33" t="str">
        <f>IF(A155="","",IF(E155&lt;=0,"Current",IF(TODAY()-VLOOKUP(A155,BILLING!$B:$I,7,FALSE)&lt;=30,"0-30 Days",IF(TODAY()-VLOOKUP(A155,BILLING!$B:$I,7,FALSE)&lt;=60,"31-60 Days","61+ Days"))))</f>
        <v/>
      </c>
    </row>
    <row r="156" ht="15.75" customHeight="1">
      <c r="A156" s="33" t="str">
        <f>IF(BILLING!B156="","",BILLING!B156)</f>
        <v/>
      </c>
      <c r="B156" s="33" t="str">
        <f>IF(A156="","",IFERROR(VLOOKUP(VLOOKUP(VLOOKUP(A156,BILLING!$B:$I,7,FALSE),BOOKINGS!$A:$Q,3,FALSE),CLIENTS!$A:$H,2,FALSE),""))</f>
        <v/>
      </c>
      <c r="C156" s="38" t="str">
        <f>IF(A156="","",IFERROR(VLOOKUP(A156,BILLING!$B:$I,5,FALSE),0))</f>
        <v/>
      </c>
      <c r="D156" s="38"/>
      <c r="E156" s="38" t="str">
        <f t="shared" si="1"/>
        <v/>
      </c>
      <c r="F156" s="39"/>
      <c r="G156" s="33" t="str">
        <f t="shared" si="2"/>
        <v/>
      </c>
      <c r="H156" s="33" t="str">
        <f>IF(OR(A156="",F156=""),"",F156-VLOOKUP(A156,BILLING!$B:$I,7,FALSE))</f>
        <v/>
      </c>
      <c r="I156" s="33" t="str">
        <f>IF(A156="","",IF(E156&lt;=0,"Current",IF(TODAY()-VLOOKUP(A156,BILLING!$B:$I,7,FALSE)&lt;=30,"0-30 Days",IF(TODAY()-VLOOKUP(A156,BILLING!$B:$I,7,FALSE)&lt;=60,"31-60 Days","61+ Days"))))</f>
        <v/>
      </c>
    </row>
    <row r="157" ht="15.75" customHeight="1">
      <c r="A157" s="33" t="str">
        <f>IF(BILLING!B157="","",BILLING!B157)</f>
        <v/>
      </c>
      <c r="B157" s="33" t="str">
        <f>IF(A157="","",IFERROR(VLOOKUP(VLOOKUP(VLOOKUP(A157,BILLING!$B:$I,7,FALSE),BOOKINGS!$A:$Q,3,FALSE),CLIENTS!$A:$H,2,FALSE),""))</f>
        <v/>
      </c>
      <c r="C157" s="38" t="str">
        <f>IF(A157="","",IFERROR(VLOOKUP(A157,BILLING!$B:$I,5,FALSE),0))</f>
        <v/>
      </c>
      <c r="D157" s="38"/>
      <c r="E157" s="38" t="str">
        <f t="shared" si="1"/>
        <v/>
      </c>
      <c r="F157" s="39"/>
      <c r="G157" s="33" t="str">
        <f t="shared" si="2"/>
        <v/>
      </c>
      <c r="H157" s="33" t="str">
        <f>IF(OR(A157="",F157=""),"",F157-VLOOKUP(A157,BILLING!$B:$I,7,FALSE))</f>
        <v/>
      </c>
      <c r="I157" s="33" t="str">
        <f>IF(A157="","",IF(E157&lt;=0,"Current",IF(TODAY()-VLOOKUP(A157,BILLING!$B:$I,7,FALSE)&lt;=30,"0-30 Days",IF(TODAY()-VLOOKUP(A157,BILLING!$B:$I,7,FALSE)&lt;=60,"31-60 Days","61+ Days"))))</f>
        <v/>
      </c>
    </row>
    <row r="158" ht="15.75" customHeight="1">
      <c r="A158" s="33" t="str">
        <f>IF(BILLING!B158="","",BILLING!B158)</f>
        <v/>
      </c>
      <c r="B158" s="33" t="str">
        <f>IF(A158="","",IFERROR(VLOOKUP(VLOOKUP(VLOOKUP(A158,BILLING!$B:$I,7,FALSE),BOOKINGS!$A:$Q,3,FALSE),CLIENTS!$A:$H,2,FALSE),""))</f>
        <v/>
      </c>
      <c r="C158" s="38" t="str">
        <f>IF(A158="","",IFERROR(VLOOKUP(A158,BILLING!$B:$I,5,FALSE),0))</f>
        <v/>
      </c>
      <c r="D158" s="38"/>
      <c r="E158" s="38" t="str">
        <f t="shared" si="1"/>
        <v/>
      </c>
      <c r="F158" s="39"/>
      <c r="G158" s="33" t="str">
        <f t="shared" si="2"/>
        <v/>
      </c>
      <c r="H158" s="33" t="str">
        <f>IF(OR(A158="",F158=""),"",F158-VLOOKUP(A158,BILLING!$B:$I,7,FALSE))</f>
        <v/>
      </c>
      <c r="I158" s="33" t="str">
        <f>IF(A158="","",IF(E158&lt;=0,"Current",IF(TODAY()-VLOOKUP(A158,BILLING!$B:$I,7,FALSE)&lt;=30,"0-30 Days",IF(TODAY()-VLOOKUP(A158,BILLING!$B:$I,7,FALSE)&lt;=60,"31-60 Days","61+ Days"))))</f>
        <v/>
      </c>
    </row>
    <row r="159" ht="15.75" customHeight="1">
      <c r="A159" s="33" t="str">
        <f>IF(BILLING!B159="","",BILLING!B159)</f>
        <v/>
      </c>
      <c r="B159" s="33" t="str">
        <f>IF(A159="","",IFERROR(VLOOKUP(VLOOKUP(VLOOKUP(A159,BILLING!$B:$I,7,FALSE),BOOKINGS!$A:$Q,3,FALSE),CLIENTS!$A:$H,2,FALSE),""))</f>
        <v/>
      </c>
      <c r="C159" s="38" t="str">
        <f>IF(A159="","",IFERROR(VLOOKUP(A159,BILLING!$B:$I,5,FALSE),0))</f>
        <v/>
      </c>
      <c r="D159" s="38"/>
      <c r="E159" s="38" t="str">
        <f t="shared" si="1"/>
        <v/>
      </c>
      <c r="F159" s="39"/>
      <c r="G159" s="33" t="str">
        <f t="shared" si="2"/>
        <v/>
      </c>
      <c r="H159" s="33" t="str">
        <f>IF(OR(A159="",F159=""),"",F159-VLOOKUP(A159,BILLING!$B:$I,7,FALSE))</f>
        <v/>
      </c>
      <c r="I159" s="33" t="str">
        <f>IF(A159="","",IF(E159&lt;=0,"Current",IF(TODAY()-VLOOKUP(A159,BILLING!$B:$I,7,FALSE)&lt;=30,"0-30 Days",IF(TODAY()-VLOOKUP(A159,BILLING!$B:$I,7,FALSE)&lt;=60,"31-60 Days","61+ Days"))))</f>
        <v/>
      </c>
    </row>
    <row r="160" ht="15.75" customHeight="1">
      <c r="A160" s="33" t="str">
        <f>IF(BILLING!B160="","",BILLING!B160)</f>
        <v/>
      </c>
      <c r="B160" s="33" t="str">
        <f>IF(A160="","",IFERROR(VLOOKUP(VLOOKUP(VLOOKUP(A160,BILLING!$B:$I,7,FALSE),BOOKINGS!$A:$Q,3,FALSE),CLIENTS!$A:$H,2,FALSE),""))</f>
        <v/>
      </c>
      <c r="C160" s="38" t="str">
        <f>IF(A160="","",IFERROR(VLOOKUP(A160,BILLING!$B:$I,5,FALSE),0))</f>
        <v/>
      </c>
      <c r="D160" s="38"/>
      <c r="E160" s="38" t="str">
        <f t="shared" si="1"/>
        <v/>
      </c>
      <c r="F160" s="39"/>
      <c r="G160" s="33" t="str">
        <f t="shared" si="2"/>
        <v/>
      </c>
      <c r="H160" s="33" t="str">
        <f>IF(OR(A160="",F160=""),"",F160-VLOOKUP(A160,BILLING!$B:$I,7,FALSE))</f>
        <v/>
      </c>
      <c r="I160" s="33" t="str">
        <f>IF(A160="","",IF(E160&lt;=0,"Current",IF(TODAY()-VLOOKUP(A160,BILLING!$B:$I,7,FALSE)&lt;=30,"0-30 Days",IF(TODAY()-VLOOKUP(A160,BILLING!$B:$I,7,FALSE)&lt;=60,"31-60 Days","61+ Days"))))</f>
        <v/>
      </c>
    </row>
    <row r="161" ht="15.75" customHeight="1">
      <c r="A161" s="33" t="str">
        <f>IF(BILLING!B161="","",BILLING!B161)</f>
        <v/>
      </c>
      <c r="B161" s="33" t="str">
        <f>IF(A161="","",IFERROR(VLOOKUP(VLOOKUP(VLOOKUP(A161,BILLING!$B:$I,7,FALSE),BOOKINGS!$A:$Q,3,FALSE),CLIENTS!$A:$H,2,FALSE),""))</f>
        <v/>
      </c>
      <c r="C161" s="38" t="str">
        <f>IF(A161="","",IFERROR(VLOOKUP(A161,BILLING!$B:$I,5,FALSE),0))</f>
        <v/>
      </c>
      <c r="D161" s="38"/>
      <c r="E161" s="38" t="str">
        <f t="shared" si="1"/>
        <v/>
      </c>
      <c r="F161" s="39"/>
      <c r="G161" s="33" t="str">
        <f t="shared" si="2"/>
        <v/>
      </c>
      <c r="H161" s="33" t="str">
        <f>IF(OR(A161="",F161=""),"",F161-VLOOKUP(A161,BILLING!$B:$I,7,FALSE))</f>
        <v/>
      </c>
      <c r="I161" s="33" t="str">
        <f>IF(A161="","",IF(E161&lt;=0,"Current",IF(TODAY()-VLOOKUP(A161,BILLING!$B:$I,7,FALSE)&lt;=30,"0-30 Days",IF(TODAY()-VLOOKUP(A161,BILLING!$B:$I,7,FALSE)&lt;=60,"31-60 Days","61+ Days"))))</f>
        <v/>
      </c>
    </row>
    <row r="162" ht="15.75" customHeight="1">
      <c r="A162" s="33" t="str">
        <f>IF(BILLING!B162="","",BILLING!B162)</f>
        <v/>
      </c>
      <c r="B162" s="33" t="str">
        <f>IF(A162="","",IFERROR(VLOOKUP(VLOOKUP(VLOOKUP(A162,BILLING!$B:$I,7,FALSE),BOOKINGS!$A:$Q,3,FALSE),CLIENTS!$A:$H,2,FALSE),""))</f>
        <v/>
      </c>
      <c r="C162" s="38" t="str">
        <f>IF(A162="","",IFERROR(VLOOKUP(A162,BILLING!$B:$I,5,FALSE),0))</f>
        <v/>
      </c>
      <c r="D162" s="38"/>
      <c r="E162" s="38" t="str">
        <f t="shared" si="1"/>
        <v/>
      </c>
      <c r="F162" s="39"/>
      <c r="G162" s="33" t="str">
        <f t="shared" si="2"/>
        <v/>
      </c>
      <c r="H162" s="33" t="str">
        <f>IF(OR(A162="",F162=""),"",F162-VLOOKUP(A162,BILLING!$B:$I,7,FALSE))</f>
        <v/>
      </c>
      <c r="I162" s="33" t="str">
        <f>IF(A162="","",IF(E162&lt;=0,"Current",IF(TODAY()-VLOOKUP(A162,BILLING!$B:$I,7,FALSE)&lt;=30,"0-30 Days",IF(TODAY()-VLOOKUP(A162,BILLING!$B:$I,7,FALSE)&lt;=60,"31-60 Days","61+ Days"))))</f>
        <v/>
      </c>
    </row>
    <row r="163" ht="15.75" customHeight="1">
      <c r="A163" s="33" t="str">
        <f>IF(BILLING!B163="","",BILLING!B163)</f>
        <v/>
      </c>
      <c r="B163" s="33" t="str">
        <f>IF(A163="","",IFERROR(VLOOKUP(VLOOKUP(VLOOKUP(A163,BILLING!$B:$I,7,FALSE),BOOKINGS!$A:$Q,3,FALSE),CLIENTS!$A:$H,2,FALSE),""))</f>
        <v/>
      </c>
      <c r="C163" s="38" t="str">
        <f>IF(A163="","",IFERROR(VLOOKUP(A163,BILLING!$B:$I,5,FALSE),0))</f>
        <v/>
      </c>
      <c r="D163" s="38"/>
      <c r="E163" s="38" t="str">
        <f t="shared" si="1"/>
        <v/>
      </c>
      <c r="F163" s="39"/>
      <c r="G163" s="33" t="str">
        <f t="shared" si="2"/>
        <v/>
      </c>
      <c r="H163" s="33" t="str">
        <f>IF(OR(A163="",F163=""),"",F163-VLOOKUP(A163,BILLING!$B:$I,7,FALSE))</f>
        <v/>
      </c>
      <c r="I163" s="33" t="str">
        <f>IF(A163="","",IF(E163&lt;=0,"Current",IF(TODAY()-VLOOKUP(A163,BILLING!$B:$I,7,FALSE)&lt;=30,"0-30 Days",IF(TODAY()-VLOOKUP(A163,BILLING!$B:$I,7,FALSE)&lt;=60,"31-60 Days","61+ Days"))))</f>
        <v/>
      </c>
    </row>
    <row r="164" ht="15.75" customHeight="1">
      <c r="A164" s="33" t="str">
        <f>IF(BILLING!B164="","",BILLING!B164)</f>
        <v/>
      </c>
      <c r="B164" s="33" t="str">
        <f>IF(A164="","",IFERROR(VLOOKUP(VLOOKUP(VLOOKUP(A164,BILLING!$B:$I,7,FALSE),BOOKINGS!$A:$Q,3,FALSE),CLIENTS!$A:$H,2,FALSE),""))</f>
        <v/>
      </c>
      <c r="C164" s="38" t="str">
        <f>IF(A164="","",IFERROR(VLOOKUP(A164,BILLING!$B:$I,5,FALSE),0))</f>
        <v/>
      </c>
      <c r="D164" s="38"/>
      <c r="E164" s="38" t="str">
        <f t="shared" si="1"/>
        <v/>
      </c>
      <c r="F164" s="39"/>
      <c r="G164" s="33" t="str">
        <f t="shared" si="2"/>
        <v/>
      </c>
      <c r="H164" s="33" t="str">
        <f>IF(OR(A164="",F164=""),"",F164-VLOOKUP(A164,BILLING!$B:$I,7,FALSE))</f>
        <v/>
      </c>
      <c r="I164" s="33" t="str">
        <f>IF(A164="","",IF(E164&lt;=0,"Current",IF(TODAY()-VLOOKUP(A164,BILLING!$B:$I,7,FALSE)&lt;=30,"0-30 Days",IF(TODAY()-VLOOKUP(A164,BILLING!$B:$I,7,FALSE)&lt;=60,"31-60 Days","61+ Days"))))</f>
        <v/>
      </c>
    </row>
    <row r="165" ht="15.75" customHeight="1">
      <c r="A165" s="33" t="str">
        <f>IF(BILLING!B165="","",BILLING!B165)</f>
        <v/>
      </c>
      <c r="B165" s="33" t="str">
        <f>IF(A165="","",IFERROR(VLOOKUP(VLOOKUP(VLOOKUP(A165,BILLING!$B:$I,7,FALSE),BOOKINGS!$A:$Q,3,FALSE),CLIENTS!$A:$H,2,FALSE),""))</f>
        <v/>
      </c>
      <c r="C165" s="38" t="str">
        <f>IF(A165="","",IFERROR(VLOOKUP(A165,BILLING!$B:$I,5,FALSE),0))</f>
        <v/>
      </c>
      <c r="D165" s="38"/>
      <c r="E165" s="38" t="str">
        <f t="shared" si="1"/>
        <v/>
      </c>
      <c r="F165" s="39"/>
      <c r="G165" s="33" t="str">
        <f t="shared" si="2"/>
        <v/>
      </c>
      <c r="H165" s="33" t="str">
        <f>IF(OR(A165="",F165=""),"",F165-VLOOKUP(A165,BILLING!$B:$I,7,FALSE))</f>
        <v/>
      </c>
      <c r="I165" s="33" t="str">
        <f>IF(A165="","",IF(E165&lt;=0,"Current",IF(TODAY()-VLOOKUP(A165,BILLING!$B:$I,7,FALSE)&lt;=30,"0-30 Days",IF(TODAY()-VLOOKUP(A165,BILLING!$B:$I,7,FALSE)&lt;=60,"31-60 Days","61+ Days"))))</f>
        <v/>
      </c>
    </row>
    <row r="166" ht="15.75" customHeight="1">
      <c r="A166" s="33" t="str">
        <f>IF(BILLING!B166="","",BILLING!B166)</f>
        <v/>
      </c>
      <c r="B166" s="33" t="str">
        <f>IF(A166="","",IFERROR(VLOOKUP(VLOOKUP(VLOOKUP(A166,BILLING!$B:$I,7,FALSE),BOOKINGS!$A:$Q,3,FALSE),CLIENTS!$A:$H,2,FALSE),""))</f>
        <v/>
      </c>
      <c r="C166" s="38" t="str">
        <f>IF(A166="","",IFERROR(VLOOKUP(A166,BILLING!$B:$I,5,FALSE),0))</f>
        <v/>
      </c>
      <c r="D166" s="38"/>
      <c r="E166" s="38" t="str">
        <f t="shared" si="1"/>
        <v/>
      </c>
      <c r="F166" s="39"/>
      <c r="G166" s="33" t="str">
        <f t="shared" si="2"/>
        <v/>
      </c>
      <c r="H166" s="33" t="str">
        <f>IF(OR(A166="",F166=""),"",F166-VLOOKUP(A166,BILLING!$B:$I,7,FALSE))</f>
        <v/>
      </c>
      <c r="I166" s="33" t="str">
        <f>IF(A166="","",IF(E166&lt;=0,"Current",IF(TODAY()-VLOOKUP(A166,BILLING!$B:$I,7,FALSE)&lt;=30,"0-30 Days",IF(TODAY()-VLOOKUP(A166,BILLING!$B:$I,7,FALSE)&lt;=60,"31-60 Days","61+ Days"))))</f>
        <v/>
      </c>
    </row>
    <row r="167" ht="15.75" customHeight="1">
      <c r="A167" s="33" t="str">
        <f>IF(BILLING!B167="","",BILLING!B167)</f>
        <v/>
      </c>
      <c r="B167" s="33" t="str">
        <f>IF(A167="","",IFERROR(VLOOKUP(VLOOKUP(VLOOKUP(A167,BILLING!$B:$I,7,FALSE),BOOKINGS!$A:$Q,3,FALSE),CLIENTS!$A:$H,2,FALSE),""))</f>
        <v/>
      </c>
      <c r="C167" s="38" t="str">
        <f>IF(A167="","",IFERROR(VLOOKUP(A167,BILLING!$B:$I,5,FALSE),0))</f>
        <v/>
      </c>
      <c r="D167" s="38"/>
      <c r="E167" s="38" t="str">
        <f t="shared" si="1"/>
        <v/>
      </c>
      <c r="F167" s="39"/>
      <c r="G167" s="33" t="str">
        <f t="shared" si="2"/>
        <v/>
      </c>
      <c r="H167" s="33" t="str">
        <f>IF(OR(A167="",F167=""),"",F167-VLOOKUP(A167,BILLING!$B:$I,7,FALSE))</f>
        <v/>
      </c>
      <c r="I167" s="33" t="str">
        <f>IF(A167="","",IF(E167&lt;=0,"Current",IF(TODAY()-VLOOKUP(A167,BILLING!$B:$I,7,FALSE)&lt;=30,"0-30 Days",IF(TODAY()-VLOOKUP(A167,BILLING!$B:$I,7,FALSE)&lt;=60,"31-60 Days","61+ Days"))))</f>
        <v/>
      </c>
    </row>
    <row r="168" ht="15.75" customHeight="1">
      <c r="A168" s="33" t="str">
        <f>IF(BILLING!B168="","",BILLING!B168)</f>
        <v/>
      </c>
      <c r="B168" s="33" t="str">
        <f>IF(A168="","",IFERROR(VLOOKUP(VLOOKUP(VLOOKUP(A168,BILLING!$B:$I,7,FALSE),BOOKINGS!$A:$Q,3,FALSE),CLIENTS!$A:$H,2,FALSE),""))</f>
        <v/>
      </c>
      <c r="C168" s="38" t="str">
        <f>IF(A168="","",IFERROR(VLOOKUP(A168,BILLING!$B:$I,5,FALSE),0))</f>
        <v/>
      </c>
      <c r="D168" s="38"/>
      <c r="E168" s="38" t="str">
        <f t="shared" si="1"/>
        <v/>
      </c>
      <c r="F168" s="39"/>
      <c r="G168" s="33" t="str">
        <f t="shared" si="2"/>
        <v/>
      </c>
      <c r="H168" s="33" t="str">
        <f>IF(OR(A168="",F168=""),"",F168-VLOOKUP(A168,BILLING!$B:$I,7,FALSE))</f>
        <v/>
      </c>
      <c r="I168" s="33" t="str">
        <f>IF(A168="","",IF(E168&lt;=0,"Current",IF(TODAY()-VLOOKUP(A168,BILLING!$B:$I,7,FALSE)&lt;=30,"0-30 Days",IF(TODAY()-VLOOKUP(A168,BILLING!$B:$I,7,FALSE)&lt;=60,"31-60 Days","61+ Days"))))</f>
        <v/>
      </c>
    </row>
    <row r="169" ht="15.75" customHeight="1">
      <c r="A169" s="33" t="str">
        <f>IF(BILLING!B169="","",BILLING!B169)</f>
        <v/>
      </c>
      <c r="B169" s="33" t="str">
        <f>IF(A169="","",IFERROR(VLOOKUP(VLOOKUP(VLOOKUP(A169,BILLING!$B:$I,7,FALSE),BOOKINGS!$A:$Q,3,FALSE),CLIENTS!$A:$H,2,FALSE),""))</f>
        <v/>
      </c>
      <c r="C169" s="38" t="str">
        <f>IF(A169="","",IFERROR(VLOOKUP(A169,BILLING!$B:$I,5,FALSE),0))</f>
        <v/>
      </c>
      <c r="D169" s="38"/>
      <c r="E169" s="38" t="str">
        <f t="shared" si="1"/>
        <v/>
      </c>
      <c r="F169" s="39"/>
      <c r="G169" s="33" t="str">
        <f t="shared" si="2"/>
        <v/>
      </c>
      <c r="H169" s="33" t="str">
        <f>IF(OR(A169="",F169=""),"",F169-VLOOKUP(A169,BILLING!$B:$I,7,FALSE))</f>
        <v/>
      </c>
      <c r="I169" s="33" t="str">
        <f>IF(A169="","",IF(E169&lt;=0,"Current",IF(TODAY()-VLOOKUP(A169,BILLING!$B:$I,7,FALSE)&lt;=30,"0-30 Days",IF(TODAY()-VLOOKUP(A169,BILLING!$B:$I,7,FALSE)&lt;=60,"31-60 Days","61+ Days"))))</f>
        <v/>
      </c>
    </row>
    <row r="170" ht="15.75" customHeight="1">
      <c r="A170" s="33" t="str">
        <f>IF(BILLING!B170="","",BILLING!B170)</f>
        <v/>
      </c>
      <c r="B170" s="33" t="str">
        <f>IF(A170="","",IFERROR(VLOOKUP(VLOOKUP(VLOOKUP(A170,BILLING!$B:$I,7,FALSE),BOOKINGS!$A:$Q,3,FALSE),CLIENTS!$A:$H,2,FALSE),""))</f>
        <v/>
      </c>
      <c r="C170" s="38" t="str">
        <f>IF(A170="","",IFERROR(VLOOKUP(A170,BILLING!$B:$I,5,FALSE),0))</f>
        <v/>
      </c>
      <c r="D170" s="38"/>
      <c r="E170" s="38" t="str">
        <f t="shared" si="1"/>
        <v/>
      </c>
      <c r="F170" s="39"/>
      <c r="G170" s="33" t="str">
        <f t="shared" si="2"/>
        <v/>
      </c>
      <c r="H170" s="33" t="str">
        <f>IF(OR(A170="",F170=""),"",F170-VLOOKUP(A170,BILLING!$B:$I,7,FALSE))</f>
        <v/>
      </c>
      <c r="I170" s="33" t="str">
        <f>IF(A170="","",IF(E170&lt;=0,"Current",IF(TODAY()-VLOOKUP(A170,BILLING!$B:$I,7,FALSE)&lt;=30,"0-30 Days",IF(TODAY()-VLOOKUP(A170,BILLING!$B:$I,7,FALSE)&lt;=60,"31-60 Days","61+ Days"))))</f>
        <v/>
      </c>
    </row>
    <row r="171" ht="15.75" customHeight="1">
      <c r="A171" s="33" t="str">
        <f>IF(BILLING!B171="","",BILLING!B171)</f>
        <v/>
      </c>
      <c r="B171" s="33" t="str">
        <f>IF(A171="","",IFERROR(VLOOKUP(VLOOKUP(VLOOKUP(A171,BILLING!$B:$I,7,FALSE),BOOKINGS!$A:$Q,3,FALSE),CLIENTS!$A:$H,2,FALSE),""))</f>
        <v/>
      </c>
      <c r="C171" s="38" t="str">
        <f>IF(A171="","",IFERROR(VLOOKUP(A171,BILLING!$B:$I,5,FALSE),0))</f>
        <v/>
      </c>
      <c r="D171" s="38"/>
      <c r="E171" s="38" t="str">
        <f t="shared" si="1"/>
        <v/>
      </c>
      <c r="F171" s="39"/>
      <c r="G171" s="33" t="str">
        <f t="shared" si="2"/>
        <v/>
      </c>
      <c r="H171" s="33" t="str">
        <f>IF(OR(A171="",F171=""),"",F171-VLOOKUP(A171,BILLING!$B:$I,7,FALSE))</f>
        <v/>
      </c>
      <c r="I171" s="33" t="str">
        <f>IF(A171="","",IF(E171&lt;=0,"Current",IF(TODAY()-VLOOKUP(A171,BILLING!$B:$I,7,FALSE)&lt;=30,"0-30 Days",IF(TODAY()-VLOOKUP(A171,BILLING!$B:$I,7,FALSE)&lt;=60,"31-60 Days","61+ Days"))))</f>
        <v/>
      </c>
    </row>
    <row r="172" ht="15.75" customHeight="1">
      <c r="A172" s="33" t="str">
        <f>IF(BILLING!B172="","",BILLING!B172)</f>
        <v/>
      </c>
      <c r="B172" s="33" t="str">
        <f>IF(A172="","",IFERROR(VLOOKUP(VLOOKUP(VLOOKUP(A172,BILLING!$B:$I,7,FALSE),BOOKINGS!$A:$Q,3,FALSE),CLIENTS!$A:$H,2,FALSE),""))</f>
        <v/>
      </c>
      <c r="C172" s="38" t="str">
        <f>IF(A172="","",IFERROR(VLOOKUP(A172,BILLING!$B:$I,5,FALSE),0))</f>
        <v/>
      </c>
      <c r="D172" s="38"/>
      <c r="E172" s="38" t="str">
        <f t="shared" si="1"/>
        <v/>
      </c>
      <c r="F172" s="39"/>
      <c r="G172" s="33" t="str">
        <f t="shared" si="2"/>
        <v/>
      </c>
      <c r="H172" s="33" t="str">
        <f>IF(OR(A172="",F172=""),"",F172-VLOOKUP(A172,BILLING!$B:$I,7,FALSE))</f>
        <v/>
      </c>
      <c r="I172" s="33" t="str">
        <f>IF(A172="","",IF(E172&lt;=0,"Current",IF(TODAY()-VLOOKUP(A172,BILLING!$B:$I,7,FALSE)&lt;=30,"0-30 Days",IF(TODAY()-VLOOKUP(A172,BILLING!$B:$I,7,FALSE)&lt;=60,"31-60 Days","61+ Days"))))</f>
        <v/>
      </c>
    </row>
    <row r="173" ht="15.75" customHeight="1">
      <c r="A173" s="33" t="str">
        <f>IF(BILLING!B173="","",BILLING!B173)</f>
        <v/>
      </c>
      <c r="B173" s="33" t="str">
        <f>IF(A173="","",IFERROR(VLOOKUP(VLOOKUP(VLOOKUP(A173,BILLING!$B:$I,7,FALSE),BOOKINGS!$A:$Q,3,FALSE),CLIENTS!$A:$H,2,FALSE),""))</f>
        <v/>
      </c>
      <c r="C173" s="38" t="str">
        <f>IF(A173="","",IFERROR(VLOOKUP(A173,BILLING!$B:$I,5,FALSE),0))</f>
        <v/>
      </c>
      <c r="D173" s="38"/>
      <c r="E173" s="38" t="str">
        <f t="shared" si="1"/>
        <v/>
      </c>
      <c r="F173" s="39"/>
      <c r="G173" s="33" t="str">
        <f t="shared" si="2"/>
        <v/>
      </c>
      <c r="H173" s="33" t="str">
        <f>IF(OR(A173="",F173=""),"",F173-VLOOKUP(A173,BILLING!$B:$I,7,FALSE))</f>
        <v/>
      </c>
      <c r="I173" s="33" t="str">
        <f>IF(A173="","",IF(E173&lt;=0,"Current",IF(TODAY()-VLOOKUP(A173,BILLING!$B:$I,7,FALSE)&lt;=30,"0-30 Days",IF(TODAY()-VLOOKUP(A173,BILLING!$B:$I,7,FALSE)&lt;=60,"31-60 Days","61+ Days"))))</f>
        <v/>
      </c>
    </row>
    <row r="174" ht="15.75" customHeight="1">
      <c r="A174" s="33" t="str">
        <f>IF(BILLING!B174="","",BILLING!B174)</f>
        <v/>
      </c>
      <c r="B174" s="33" t="str">
        <f>IF(A174="","",IFERROR(VLOOKUP(VLOOKUP(VLOOKUP(A174,BILLING!$B:$I,7,FALSE),BOOKINGS!$A:$Q,3,FALSE),CLIENTS!$A:$H,2,FALSE),""))</f>
        <v/>
      </c>
      <c r="C174" s="38" t="str">
        <f>IF(A174="","",IFERROR(VLOOKUP(A174,BILLING!$B:$I,5,FALSE),0))</f>
        <v/>
      </c>
      <c r="D174" s="38"/>
      <c r="E174" s="38" t="str">
        <f t="shared" si="1"/>
        <v/>
      </c>
      <c r="F174" s="39"/>
      <c r="G174" s="33" t="str">
        <f t="shared" si="2"/>
        <v/>
      </c>
      <c r="H174" s="33" t="str">
        <f>IF(OR(A174="",F174=""),"",F174-VLOOKUP(A174,BILLING!$B:$I,7,FALSE))</f>
        <v/>
      </c>
      <c r="I174" s="33" t="str">
        <f>IF(A174="","",IF(E174&lt;=0,"Current",IF(TODAY()-VLOOKUP(A174,BILLING!$B:$I,7,FALSE)&lt;=30,"0-30 Days",IF(TODAY()-VLOOKUP(A174,BILLING!$B:$I,7,FALSE)&lt;=60,"31-60 Days","61+ Days"))))</f>
        <v/>
      </c>
    </row>
    <row r="175" ht="15.75" customHeight="1">
      <c r="A175" s="33" t="str">
        <f>IF(BILLING!B175="","",BILLING!B175)</f>
        <v/>
      </c>
      <c r="B175" s="33" t="str">
        <f>IF(A175="","",IFERROR(VLOOKUP(VLOOKUP(VLOOKUP(A175,BILLING!$B:$I,7,FALSE),BOOKINGS!$A:$Q,3,FALSE),CLIENTS!$A:$H,2,FALSE),""))</f>
        <v/>
      </c>
      <c r="C175" s="38" t="str">
        <f>IF(A175="","",IFERROR(VLOOKUP(A175,BILLING!$B:$I,5,FALSE),0))</f>
        <v/>
      </c>
      <c r="D175" s="38"/>
      <c r="E175" s="38" t="str">
        <f t="shared" si="1"/>
        <v/>
      </c>
      <c r="F175" s="39"/>
      <c r="G175" s="33" t="str">
        <f t="shared" si="2"/>
        <v/>
      </c>
      <c r="H175" s="33" t="str">
        <f>IF(OR(A175="",F175=""),"",F175-VLOOKUP(A175,BILLING!$B:$I,7,FALSE))</f>
        <v/>
      </c>
      <c r="I175" s="33" t="str">
        <f>IF(A175="","",IF(E175&lt;=0,"Current",IF(TODAY()-VLOOKUP(A175,BILLING!$B:$I,7,FALSE)&lt;=30,"0-30 Days",IF(TODAY()-VLOOKUP(A175,BILLING!$B:$I,7,FALSE)&lt;=60,"31-60 Days","61+ Days"))))</f>
        <v/>
      </c>
    </row>
    <row r="176" ht="15.75" customHeight="1">
      <c r="A176" s="33" t="str">
        <f>IF(BILLING!B176="","",BILLING!B176)</f>
        <v/>
      </c>
      <c r="B176" s="33" t="str">
        <f>IF(A176="","",IFERROR(VLOOKUP(VLOOKUP(VLOOKUP(A176,BILLING!$B:$I,7,FALSE),BOOKINGS!$A:$Q,3,FALSE),CLIENTS!$A:$H,2,FALSE),""))</f>
        <v/>
      </c>
      <c r="C176" s="38" t="str">
        <f>IF(A176="","",IFERROR(VLOOKUP(A176,BILLING!$B:$I,5,FALSE),0))</f>
        <v/>
      </c>
      <c r="D176" s="38"/>
      <c r="E176" s="38" t="str">
        <f t="shared" si="1"/>
        <v/>
      </c>
      <c r="F176" s="39"/>
      <c r="G176" s="33" t="str">
        <f t="shared" si="2"/>
        <v/>
      </c>
      <c r="H176" s="33" t="str">
        <f>IF(OR(A176="",F176=""),"",F176-VLOOKUP(A176,BILLING!$B:$I,7,FALSE))</f>
        <v/>
      </c>
      <c r="I176" s="33" t="str">
        <f>IF(A176="","",IF(E176&lt;=0,"Current",IF(TODAY()-VLOOKUP(A176,BILLING!$B:$I,7,FALSE)&lt;=30,"0-30 Days",IF(TODAY()-VLOOKUP(A176,BILLING!$B:$I,7,FALSE)&lt;=60,"31-60 Days","61+ Days"))))</f>
        <v/>
      </c>
    </row>
    <row r="177" ht="15.75" customHeight="1">
      <c r="A177" s="33" t="str">
        <f>IF(BILLING!B177="","",BILLING!B177)</f>
        <v/>
      </c>
      <c r="B177" s="33" t="str">
        <f>IF(A177="","",IFERROR(VLOOKUP(VLOOKUP(VLOOKUP(A177,BILLING!$B:$I,7,FALSE),BOOKINGS!$A:$Q,3,FALSE),CLIENTS!$A:$H,2,FALSE),""))</f>
        <v/>
      </c>
      <c r="C177" s="38" t="str">
        <f>IF(A177="","",IFERROR(VLOOKUP(A177,BILLING!$B:$I,5,FALSE),0))</f>
        <v/>
      </c>
      <c r="D177" s="38"/>
      <c r="E177" s="38" t="str">
        <f t="shared" si="1"/>
        <v/>
      </c>
      <c r="F177" s="39"/>
      <c r="G177" s="33" t="str">
        <f t="shared" si="2"/>
        <v/>
      </c>
      <c r="H177" s="33" t="str">
        <f>IF(OR(A177="",F177=""),"",F177-VLOOKUP(A177,BILLING!$B:$I,7,FALSE))</f>
        <v/>
      </c>
      <c r="I177" s="33" t="str">
        <f>IF(A177="","",IF(E177&lt;=0,"Current",IF(TODAY()-VLOOKUP(A177,BILLING!$B:$I,7,FALSE)&lt;=30,"0-30 Days",IF(TODAY()-VLOOKUP(A177,BILLING!$B:$I,7,FALSE)&lt;=60,"31-60 Days","61+ Days"))))</f>
        <v/>
      </c>
    </row>
    <row r="178" ht="15.75" customHeight="1">
      <c r="A178" s="33" t="str">
        <f>IF(BILLING!B178="","",BILLING!B178)</f>
        <v/>
      </c>
      <c r="B178" s="33" t="str">
        <f>IF(A178="","",IFERROR(VLOOKUP(VLOOKUP(VLOOKUP(A178,BILLING!$B:$I,7,FALSE),BOOKINGS!$A:$Q,3,FALSE),CLIENTS!$A:$H,2,FALSE),""))</f>
        <v/>
      </c>
      <c r="C178" s="38" t="str">
        <f>IF(A178="","",IFERROR(VLOOKUP(A178,BILLING!$B:$I,5,FALSE),0))</f>
        <v/>
      </c>
      <c r="D178" s="38"/>
      <c r="E178" s="38" t="str">
        <f t="shared" si="1"/>
        <v/>
      </c>
      <c r="F178" s="39"/>
      <c r="G178" s="33" t="str">
        <f t="shared" si="2"/>
        <v/>
      </c>
      <c r="H178" s="33" t="str">
        <f>IF(OR(A178="",F178=""),"",F178-VLOOKUP(A178,BILLING!$B:$I,7,FALSE))</f>
        <v/>
      </c>
      <c r="I178" s="33" t="str">
        <f>IF(A178="","",IF(E178&lt;=0,"Current",IF(TODAY()-VLOOKUP(A178,BILLING!$B:$I,7,FALSE)&lt;=30,"0-30 Days",IF(TODAY()-VLOOKUP(A178,BILLING!$B:$I,7,FALSE)&lt;=60,"31-60 Days","61+ Days"))))</f>
        <v/>
      </c>
    </row>
    <row r="179" ht="15.75" customHeight="1">
      <c r="A179" s="33" t="str">
        <f>IF(BILLING!B179="","",BILLING!B179)</f>
        <v/>
      </c>
      <c r="B179" s="33" t="str">
        <f>IF(A179="","",IFERROR(VLOOKUP(VLOOKUP(VLOOKUP(A179,BILLING!$B:$I,7,FALSE),BOOKINGS!$A:$Q,3,FALSE),CLIENTS!$A:$H,2,FALSE),""))</f>
        <v/>
      </c>
      <c r="C179" s="38" t="str">
        <f>IF(A179="","",IFERROR(VLOOKUP(A179,BILLING!$B:$I,5,FALSE),0))</f>
        <v/>
      </c>
      <c r="D179" s="38"/>
      <c r="E179" s="38" t="str">
        <f t="shared" si="1"/>
        <v/>
      </c>
      <c r="F179" s="39"/>
      <c r="G179" s="33" t="str">
        <f t="shared" si="2"/>
        <v/>
      </c>
      <c r="H179" s="33" t="str">
        <f>IF(OR(A179="",F179=""),"",F179-VLOOKUP(A179,BILLING!$B:$I,7,FALSE))</f>
        <v/>
      </c>
      <c r="I179" s="33" t="str">
        <f>IF(A179="","",IF(E179&lt;=0,"Current",IF(TODAY()-VLOOKUP(A179,BILLING!$B:$I,7,FALSE)&lt;=30,"0-30 Days",IF(TODAY()-VLOOKUP(A179,BILLING!$B:$I,7,FALSE)&lt;=60,"31-60 Days","61+ Days"))))</f>
        <v/>
      </c>
    </row>
    <row r="180" ht="15.75" customHeight="1">
      <c r="A180" s="33" t="str">
        <f>IF(BILLING!B180="","",BILLING!B180)</f>
        <v/>
      </c>
      <c r="B180" s="33" t="str">
        <f>IF(A180="","",IFERROR(VLOOKUP(VLOOKUP(VLOOKUP(A180,BILLING!$B:$I,7,FALSE),BOOKINGS!$A:$Q,3,FALSE),CLIENTS!$A:$H,2,FALSE),""))</f>
        <v/>
      </c>
      <c r="C180" s="38" t="str">
        <f>IF(A180="","",IFERROR(VLOOKUP(A180,BILLING!$B:$I,5,FALSE),0))</f>
        <v/>
      </c>
      <c r="D180" s="38"/>
      <c r="E180" s="38" t="str">
        <f t="shared" si="1"/>
        <v/>
      </c>
      <c r="F180" s="39"/>
      <c r="G180" s="33" t="str">
        <f t="shared" si="2"/>
        <v/>
      </c>
      <c r="H180" s="33" t="str">
        <f>IF(OR(A180="",F180=""),"",F180-VLOOKUP(A180,BILLING!$B:$I,7,FALSE))</f>
        <v/>
      </c>
      <c r="I180" s="33" t="str">
        <f>IF(A180="","",IF(E180&lt;=0,"Current",IF(TODAY()-VLOOKUP(A180,BILLING!$B:$I,7,FALSE)&lt;=30,"0-30 Days",IF(TODAY()-VLOOKUP(A180,BILLING!$B:$I,7,FALSE)&lt;=60,"31-60 Days","61+ Days"))))</f>
        <v/>
      </c>
    </row>
    <row r="181" ht="15.75" customHeight="1">
      <c r="A181" s="33" t="str">
        <f>IF(BILLING!B181="","",BILLING!B181)</f>
        <v/>
      </c>
      <c r="B181" s="33" t="str">
        <f>IF(A181="","",IFERROR(VLOOKUP(VLOOKUP(VLOOKUP(A181,BILLING!$B:$I,7,FALSE),BOOKINGS!$A:$Q,3,FALSE),CLIENTS!$A:$H,2,FALSE),""))</f>
        <v/>
      </c>
      <c r="C181" s="38" t="str">
        <f>IF(A181="","",IFERROR(VLOOKUP(A181,BILLING!$B:$I,5,FALSE),0))</f>
        <v/>
      </c>
      <c r="D181" s="38"/>
      <c r="E181" s="38" t="str">
        <f t="shared" si="1"/>
        <v/>
      </c>
      <c r="F181" s="39"/>
      <c r="G181" s="33" t="str">
        <f t="shared" si="2"/>
        <v/>
      </c>
      <c r="H181" s="33" t="str">
        <f>IF(OR(A181="",F181=""),"",F181-VLOOKUP(A181,BILLING!$B:$I,7,FALSE))</f>
        <v/>
      </c>
      <c r="I181" s="33" t="str">
        <f>IF(A181="","",IF(E181&lt;=0,"Current",IF(TODAY()-VLOOKUP(A181,BILLING!$B:$I,7,FALSE)&lt;=30,"0-30 Days",IF(TODAY()-VLOOKUP(A181,BILLING!$B:$I,7,FALSE)&lt;=60,"31-60 Days","61+ Days"))))</f>
        <v/>
      </c>
    </row>
    <row r="182" ht="15.75" customHeight="1">
      <c r="A182" s="33" t="str">
        <f>IF(BILLING!B182="","",BILLING!B182)</f>
        <v/>
      </c>
      <c r="B182" s="33" t="str">
        <f>IF(A182="","",IFERROR(VLOOKUP(VLOOKUP(VLOOKUP(A182,BILLING!$B:$I,7,FALSE),BOOKINGS!$A:$Q,3,FALSE),CLIENTS!$A:$H,2,FALSE),""))</f>
        <v/>
      </c>
      <c r="C182" s="38" t="str">
        <f>IF(A182="","",IFERROR(VLOOKUP(A182,BILLING!$B:$I,5,FALSE),0))</f>
        <v/>
      </c>
      <c r="D182" s="38"/>
      <c r="E182" s="38" t="str">
        <f t="shared" si="1"/>
        <v/>
      </c>
      <c r="F182" s="39"/>
      <c r="G182" s="33" t="str">
        <f t="shared" si="2"/>
        <v/>
      </c>
      <c r="H182" s="33" t="str">
        <f>IF(OR(A182="",F182=""),"",F182-VLOOKUP(A182,BILLING!$B:$I,7,FALSE))</f>
        <v/>
      </c>
      <c r="I182" s="33" t="str">
        <f>IF(A182="","",IF(E182&lt;=0,"Current",IF(TODAY()-VLOOKUP(A182,BILLING!$B:$I,7,FALSE)&lt;=30,"0-30 Days",IF(TODAY()-VLOOKUP(A182,BILLING!$B:$I,7,FALSE)&lt;=60,"31-60 Days","61+ Days"))))</f>
        <v/>
      </c>
    </row>
    <row r="183" ht="15.75" customHeight="1">
      <c r="A183" s="33" t="str">
        <f>IF(BILLING!B183="","",BILLING!B183)</f>
        <v/>
      </c>
      <c r="B183" s="33" t="str">
        <f>IF(A183="","",IFERROR(VLOOKUP(VLOOKUP(VLOOKUP(A183,BILLING!$B:$I,7,FALSE),BOOKINGS!$A:$Q,3,FALSE),CLIENTS!$A:$H,2,FALSE),""))</f>
        <v/>
      </c>
      <c r="C183" s="38" t="str">
        <f>IF(A183="","",IFERROR(VLOOKUP(A183,BILLING!$B:$I,5,FALSE),0))</f>
        <v/>
      </c>
      <c r="D183" s="38"/>
      <c r="E183" s="38" t="str">
        <f t="shared" si="1"/>
        <v/>
      </c>
      <c r="F183" s="39"/>
      <c r="G183" s="33" t="str">
        <f t="shared" si="2"/>
        <v/>
      </c>
      <c r="H183" s="33" t="str">
        <f>IF(OR(A183="",F183=""),"",F183-VLOOKUP(A183,BILLING!$B:$I,7,FALSE))</f>
        <v/>
      </c>
      <c r="I183" s="33" t="str">
        <f>IF(A183="","",IF(E183&lt;=0,"Current",IF(TODAY()-VLOOKUP(A183,BILLING!$B:$I,7,FALSE)&lt;=30,"0-30 Days",IF(TODAY()-VLOOKUP(A183,BILLING!$B:$I,7,FALSE)&lt;=60,"31-60 Days","61+ Days"))))</f>
        <v/>
      </c>
    </row>
    <row r="184" ht="15.75" customHeight="1">
      <c r="A184" s="33" t="str">
        <f>IF(BILLING!B184="","",BILLING!B184)</f>
        <v/>
      </c>
      <c r="B184" s="33" t="str">
        <f>IF(A184="","",IFERROR(VLOOKUP(VLOOKUP(VLOOKUP(A184,BILLING!$B:$I,7,FALSE),BOOKINGS!$A:$Q,3,FALSE),CLIENTS!$A:$H,2,FALSE),""))</f>
        <v/>
      </c>
      <c r="C184" s="38" t="str">
        <f>IF(A184="","",IFERROR(VLOOKUP(A184,BILLING!$B:$I,5,FALSE),0))</f>
        <v/>
      </c>
      <c r="D184" s="38"/>
      <c r="E184" s="38" t="str">
        <f t="shared" si="1"/>
        <v/>
      </c>
      <c r="F184" s="39"/>
      <c r="G184" s="33" t="str">
        <f t="shared" si="2"/>
        <v/>
      </c>
      <c r="H184" s="33" t="str">
        <f>IF(OR(A184="",F184=""),"",F184-VLOOKUP(A184,BILLING!$B:$I,7,FALSE))</f>
        <v/>
      </c>
      <c r="I184" s="33" t="str">
        <f>IF(A184="","",IF(E184&lt;=0,"Current",IF(TODAY()-VLOOKUP(A184,BILLING!$B:$I,7,FALSE)&lt;=30,"0-30 Days",IF(TODAY()-VLOOKUP(A184,BILLING!$B:$I,7,FALSE)&lt;=60,"31-60 Days","61+ Days"))))</f>
        <v/>
      </c>
    </row>
    <row r="185" ht="15.75" customHeight="1">
      <c r="A185" s="33" t="str">
        <f>IF(BILLING!B185="","",BILLING!B185)</f>
        <v/>
      </c>
      <c r="B185" s="33" t="str">
        <f>IF(A185="","",IFERROR(VLOOKUP(VLOOKUP(VLOOKUP(A185,BILLING!$B:$I,7,FALSE),BOOKINGS!$A:$Q,3,FALSE),CLIENTS!$A:$H,2,FALSE),""))</f>
        <v/>
      </c>
      <c r="C185" s="38" t="str">
        <f>IF(A185="","",IFERROR(VLOOKUP(A185,BILLING!$B:$I,5,FALSE),0))</f>
        <v/>
      </c>
      <c r="D185" s="38"/>
      <c r="E185" s="38" t="str">
        <f t="shared" si="1"/>
        <v/>
      </c>
      <c r="F185" s="39"/>
      <c r="G185" s="33" t="str">
        <f t="shared" si="2"/>
        <v/>
      </c>
      <c r="H185" s="33" t="str">
        <f>IF(OR(A185="",F185=""),"",F185-VLOOKUP(A185,BILLING!$B:$I,7,FALSE))</f>
        <v/>
      </c>
      <c r="I185" s="33" t="str">
        <f>IF(A185="","",IF(E185&lt;=0,"Current",IF(TODAY()-VLOOKUP(A185,BILLING!$B:$I,7,FALSE)&lt;=30,"0-30 Days",IF(TODAY()-VLOOKUP(A185,BILLING!$B:$I,7,FALSE)&lt;=60,"31-60 Days","61+ Days"))))</f>
        <v/>
      </c>
    </row>
    <row r="186" ht="15.75" customHeight="1">
      <c r="A186" s="33" t="str">
        <f>IF(BILLING!B186="","",BILLING!B186)</f>
        <v/>
      </c>
      <c r="B186" s="33" t="str">
        <f>IF(A186="","",IFERROR(VLOOKUP(VLOOKUP(VLOOKUP(A186,BILLING!$B:$I,7,FALSE),BOOKINGS!$A:$Q,3,FALSE),CLIENTS!$A:$H,2,FALSE),""))</f>
        <v/>
      </c>
      <c r="C186" s="38" t="str">
        <f>IF(A186="","",IFERROR(VLOOKUP(A186,BILLING!$B:$I,5,FALSE),0))</f>
        <v/>
      </c>
      <c r="D186" s="38"/>
      <c r="E186" s="38" t="str">
        <f t="shared" si="1"/>
        <v/>
      </c>
      <c r="F186" s="39"/>
      <c r="G186" s="33" t="str">
        <f t="shared" si="2"/>
        <v/>
      </c>
      <c r="H186" s="33" t="str">
        <f>IF(OR(A186="",F186=""),"",F186-VLOOKUP(A186,BILLING!$B:$I,7,FALSE))</f>
        <v/>
      </c>
      <c r="I186" s="33" t="str">
        <f>IF(A186="","",IF(E186&lt;=0,"Current",IF(TODAY()-VLOOKUP(A186,BILLING!$B:$I,7,FALSE)&lt;=30,"0-30 Days",IF(TODAY()-VLOOKUP(A186,BILLING!$B:$I,7,FALSE)&lt;=60,"31-60 Days","61+ Days"))))</f>
        <v/>
      </c>
    </row>
    <row r="187" ht="15.75" customHeight="1">
      <c r="A187" s="33" t="str">
        <f>IF(BILLING!B187="","",BILLING!B187)</f>
        <v/>
      </c>
      <c r="B187" s="33" t="str">
        <f>IF(A187="","",IFERROR(VLOOKUP(VLOOKUP(VLOOKUP(A187,BILLING!$B:$I,7,FALSE),BOOKINGS!$A:$Q,3,FALSE),CLIENTS!$A:$H,2,FALSE),""))</f>
        <v/>
      </c>
      <c r="C187" s="38" t="str">
        <f>IF(A187="","",IFERROR(VLOOKUP(A187,BILLING!$B:$I,5,FALSE),0))</f>
        <v/>
      </c>
      <c r="D187" s="38"/>
      <c r="E187" s="38" t="str">
        <f t="shared" si="1"/>
        <v/>
      </c>
      <c r="F187" s="39"/>
      <c r="G187" s="33" t="str">
        <f t="shared" si="2"/>
        <v/>
      </c>
      <c r="H187" s="33" t="str">
        <f>IF(OR(A187="",F187=""),"",F187-VLOOKUP(A187,BILLING!$B:$I,7,FALSE))</f>
        <v/>
      </c>
      <c r="I187" s="33" t="str">
        <f>IF(A187="","",IF(E187&lt;=0,"Current",IF(TODAY()-VLOOKUP(A187,BILLING!$B:$I,7,FALSE)&lt;=30,"0-30 Days",IF(TODAY()-VLOOKUP(A187,BILLING!$B:$I,7,FALSE)&lt;=60,"31-60 Days","61+ Days"))))</f>
        <v/>
      </c>
    </row>
    <row r="188" ht="15.75" customHeight="1">
      <c r="A188" s="33" t="str">
        <f>IF(BILLING!B188="","",BILLING!B188)</f>
        <v/>
      </c>
      <c r="B188" s="33" t="str">
        <f>IF(A188="","",IFERROR(VLOOKUP(VLOOKUP(VLOOKUP(A188,BILLING!$B:$I,7,FALSE),BOOKINGS!$A:$Q,3,FALSE),CLIENTS!$A:$H,2,FALSE),""))</f>
        <v/>
      </c>
      <c r="C188" s="38" t="str">
        <f>IF(A188="","",IFERROR(VLOOKUP(A188,BILLING!$B:$I,5,FALSE),0))</f>
        <v/>
      </c>
      <c r="D188" s="38"/>
      <c r="E188" s="38" t="str">
        <f t="shared" si="1"/>
        <v/>
      </c>
      <c r="F188" s="39"/>
      <c r="G188" s="33" t="str">
        <f t="shared" si="2"/>
        <v/>
      </c>
      <c r="H188" s="33" t="str">
        <f>IF(OR(A188="",F188=""),"",F188-VLOOKUP(A188,BILLING!$B:$I,7,FALSE))</f>
        <v/>
      </c>
      <c r="I188" s="33" t="str">
        <f>IF(A188="","",IF(E188&lt;=0,"Current",IF(TODAY()-VLOOKUP(A188,BILLING!$B:$I,7,FALSE)&lt;=30,"0-30 Days",IF(TODAY()-VLOOKUP(A188,BILLING!$B:$I,7,FALSE)&lt;=60,"31-60 Days","61+ Days"))))</f>
        <v/>
      </c>
    </row>
    <row r="189" ht="15.75" customHeight="1">
      <c r="A189" s="33" t="str">
        <f>IF(BILLING!B189="","",BILLING!B189)</f>
        <v/>
      </c>
      <c r="B189" s="33" t="str">
        <f>IF(A189="","",IFERROR(VLOOKUP(VLOOKUP(VLOOKUP(A189,BILLING!$B:$I,7,FALSE),BOOKINGS!$A:$Q,3,FALSE),CLIENTS!$A:$H,2,FALSE),""))</f>
        <v/>
      </c>
      <c r="C189" s="38" t="str">
        <f>IF(A189="","",IFERROR(VLOOKUP(A189,BILLING!$B:$I,5,FALSE),0))</f>
        <v/>
      </c>
      <c r="D189" s="38"/>
      <c r="E189" s="38" t="str">
        <f t="shared" si="1"/>
        <v/>
      </c>
      <c r="F189" s="39"/>
      <c r="G189" s="33" t="str">
        <f t="shared" si="2"/>
        <v/>
      </c>
      <c r="H189" s="33" t="str">
        <f>IF(OR(A189="",F189=""),"",F189-VLOOKUP(A189,BILLING!$B:$I,7,FALSE))</f>
        <v/>
      </c>
      <c r="I189" s="33" t="str">
        <f>IF(A189="","",IF(E189&lt;=0,"Current",IF(TODAY()-VLOOKUP(A189,BILLING!$B:$I,7,FALSE)&lt;=30,"0-30 Days",IF(TODAY()-VLOOKUP(A189,BILLING!$B:$I,7,FALSE)&lt;=60,"31-60 Days","61+ Days"))))</f>
        <v/>
      </c>
    </row>
    <row r="190" ht="15.75" customHeight="1">
      <c r="A190" s="33" t="str">
        <f>IF(BILLING!B190="","",BILLING!B190)</f>
        <v/>
      </c>
      <c r="B190" s="33" t="str">
        <f>IF(A190="","",IFERROR(VLOOKUP(VLOOKUP(VLOOKUP(A190,BILLING!$B:$I,7,FALSE),BOOKINGS!$A:$Q,3,FALSE),CLIENTS!$A:$H,2,FALSE),""))</f>
        <v/>
      </c>
      <c r="C190" s="38" t="str">
        <f>IF(A190="","",IFERROR(VLOOKUP(A190,BILLING!$B:$I,5,FALSE),0))</f>
        <v/>
      </c>
      <c r="D190" s="38"/>
      <c r="E190" s="38" t="str">
        <f t="shared" si="1"/>
        <v/>
      </c>
      <c r="F190" s="39"/>
      <c r="G190" s="33" t="str">
        <f t="shared" si="2"/>
        <v/>
      </c>
      <c r="H190" s="33" t="str">
        <f>IF(OR(A190="",F190=""),"",F190-VLOOKUP(A190,BILLING!$B:$I,7,FALSE))</f>
        <v/>
      </c>
      <c r="I190" s="33" t="str">
        <f>IF(A190="","",IF(E190&lt;=0,"Current",IF(TODAY()-VLOOKUP(A190,BILLING!$B:$I,7,FALSE)&lt;=30,"0-30 Days",IF(TODAY()-VLOOKUP(A190,BILLING!$B:$I,7,FALSE)&lt;=60,"31-60 Days","61+ Days"))))</f>
        <v/>
      </c>
    </row>
    <row r="191" ht="15.75" customHeight="1">
      <c r="A191" s="33" t="str">
        <f>IF(BILLING!B191="","",BILLING!B191)</f>
        <v/>
      </c>
      <c r="B191" s="33" t="str">
        <f>IF(A191="","",IFERROR(VLOOKUP(VLOOKUP(VLOOKUP(A191,BILLING!$B:$I,7,FALSE),BOOKINGS!$A:$Q,3,FALSE),CLIENTS!$A:$H,2,FALSE),""))</f>
        <v/>
      </c>
      <c r="C191" s="38" t="str">
        <f>IF(A191="","",IFERROR(VLOOKUP(A191,BILLING!$B:$I,5,FALSE),0))</f>
        <v/>
      </c>
      <c r="D191" s="38"/>
      <c r="E191" s="38" t="str">
        <f t="shared" si="1"/>
        <v/>
      </c>
      <c r="F191" s="39"/>
      <c r="G191" s="33" t="str">
        <f t="shared" si="2"/>
        <v/>
      </c>
      <c r="H191" s="33" t="str">
        <f>IF(OR(A191="",F191=""),"",F191-VLOOKUP(A191,BILLING!$B:$I,7,FALSE))</f>
        <v/>
      </c>
      <c r="I191" s="33" t="str">
        <f>IF(A191="","",IF(E191&lt;=0,"Current",IF(TODAY()-VLOOKUP(A191,BILLING!$B:$I,7,FALSE)&lt;=30,"0-30 Days",IF(TODAY()-VLOOKUP(A191,BILLING!$B:$I,7,FALSE)&lt;=60,"31-60 Days","61+ Days"))))</f>
        <v/>
      </c>
    </row>
    <row r="192" ht="15.75" customHeight="1">
      <c r="A192" s="33" t="str">
        <f>IF(BILLING!B192="","",BILLING!B192)</f>
        <v/>
      </c>
      <c r="B192" s="33" t="str">
        <f>IF(A192="","",IFERROR(VLOOKUP(VLOOKUP(VLOOKUP(A192,BILLING!$B:$I,7,FALSE),BOOKINGS!$A:$Q,3,FALSE),CLIENTS!$A:$H,2,FALSE),""))</f>
        <v/>
      </c>
      <c r="C192" s="38" t="str">
        <f>IF(A192="","",IFERROR(VLOOKUP(A192,BILLING!$B:$I,5,FALSE),0))</f>
        <v/>
      </c>
      <c r="D192" s="38"/>
      <c r="E192" s="38" t="str">
        <f t="shared" si="1"/>
        <v/>
      </c>
      <c r="F192" s="39"/>
      <c r="G192" s="33" t="str">
        <f t="shared" si="2"/>
        <v/>
      </c>
      <c r="H192" s="33" t="str">
        <f>IF(OR(A192="",F192=""),"",F192-VLOOKUP(A192,BILLING!$B:$I,7,FALSE))</f>
        <v/>
      </c>
      <c r="I192" s="33" t="str">
        <f>IF(A192="","",IF(E192&lt;=0,"Current",IF(TODAY()-VLOOKUP(A192,BILLING!$B:$I,7,FALSE)&lt;=30,"0-30 Days",IF(TODAY()-VLOOKUP(A192,BILLING!$B:$I,7,FALSE)&lt;=60,"31-60 Days","61+ Days"))))</f>
        <v/>
      </c>
    </row>
    <row r="193" ht="15.75" customHeight="1">
      <c r="A193" s="33" t="str">
        <f>IF(BILLING!B193="","",BILLING!B193)</f>
        <v/>
      </c>
      <c r="B193" s="33" t="str">
        <f>IF(A193="","",IFERROR(VLOOKUP(VLOOKUP(VLOOKUP(A193,BILLING!$B:$I,7,FALSE),BOOKINGS!$A:$Q,3,FALSE),CLIENTS!$A:$H,2,FALSE),""))</f>
        <v/>
      </c>
      <c r="C193" s="38" t="str">
        <f>IF(A193="","",IFERROR(VLOOKUP(A193,BILLING!$B:$I,5,FALSE),0))</f>
        <v/>
      </c>
      <c r="D193" s="38"/>
      <c r="E193" s="38" t="str">
        <f t="shared" si="1"/>
        <v/>
      </c>
      <c r="F193" s="39"/>
      <c r="G193" s="33" t="str">
        <f t="shared" si="2"/>
        <v/>
      </c>
      <c r="H193" s="33" t="str">
        <f>IF(OR(A193="",F193=""),"",F193-VLOOKUP(A193,BILLING!$B:$I,7,FALSE))</f>
        <v/>
      </c>
      <c r="I193" s="33" t="str">
        <f>IF(A193="","",IF(E193&lt;=0,"Current",IF(TODAY()-VLOOKUP(A193,BILLING!$B:$I,7,FALSE)&lt;=30,"0-30 Days",IF(TODAY()-VLOOKUP(A193,BILLING!$B:$I,7,FALSE)&lt;=60,"31-60 Days","61+ Days"))))</f>
        <v/>
      </c>
    </row>
    <row r="194" ht="15.75" customHeight="1">
      <c r="A194" s="33" t="str">
        <f>IF(BILLING!B194="","",BILLING!B194)</f>
        <v/>
      </c>
      <c r="B194" s="33" t="str">
        <f>IF(A194="","",IFERROR(VLOOKUP(VLOOKUP(VLOOKUP(A194,BILLING!$B:$I,7,FALSE),BOOKINGS!$A:$Q,3,FALSE),CLIENTS!$A:$H,2,FALSE),""))</f>
        <v/>
      </c>
      <c r="C194" s="38" t="str">
        <f>IF(A194="","",IFERROR(VLOOKUP(A194,BILLING!$B:$I,5,FALSE),0))</f>
        <v/>
      </c>
      <c r="D194" s="38"/>
      <c r="E194" s="38" t="str">
        <f t="shared" si="1"/>
        <v/>
      </c>
      <c r="F194" s="39"/>
      <c r="G194" s="33" t="str">
        <f t="shared" si="2"/>
        <v/>
      </c>
      <c r="H194" s="33" t="str">
        <f>IF(OR(A194="",F194=""),"",F194-VLOOKUP(A194,BILLING!$B:$I,7,FALSE))</f>
        <v/>
      </c>
      <c r="I194" s="33" t="str">
        <f>IF(A194="","",IF(E194&lt;=0,"Current",IF(TODAY()-VLOOKUP(A194,BILLING!$B:$I,7,FALSE)&lt;=30,"0-30 Days",IF(TODAY()-VLOOKUP(A194,BILLING!$B:$I,7,FALSE)&lt;=60,"31-60 Days","61+ Days"))))</f>
        <v/>
      </c>
    </row>
    <row r="195" ht="15.75" customHeight="1">
      <c r="A195" s="33" t="str">
        <f>IF(BILLING!B195="","",BILLING!B195)</f>
        <v/>
      </c>
      <c r="B195" s="33" t="str">
        <f>IF(A195="","",IFERROR(VLOOKUP(VLOOKUP(VLOOKUP(A195,BILLING!$B:$I,7,FALSE),BOOKINGS!$A:$Q,3,FALSE),CLIENTS!$A:$H,2,FALSE),""))</f>
        <v/>
      </c>
      <c r="C195" s="38" t="str">
        <f>IF(A195="","",IFERROR(VLOOKUP(A195,BILLING!$B:$I,5,FALSE),0))</f>
        <v/>
      </c>
      <c r="D195" s="38"/>
      <c r="E195" s="38" t="str">
        <f t="shared" si="1"/>
        <v/>
      </c>
      <c r="F195" s="39"/>
      <c r="G195" s="33" t="str">
        <f t="shared" si="2"/>
        <v/>
      </c>
      <c r="H195" s="33" t="str">
        <f>IF(OR(A195="",F195=""),"",F195-VLOOKUP(A195,BILLING!$B:$I,7,FALSE))</f>
        <v/>
      </c>
      <c r="I195" s="33" t="str">
        <f>IF(A195="","",IF(E195&lt;=0,"Current",IF(TODAY()-VLOOKUP(A195,BILLING!$B:$I,7,FALSE)&lt;=30,"0-30 Days",IF(TODAY()-VLOOKUP(A195,BILLING!$B:$I,7,FALSE)&lt;=60,"31-60 Days","61+ Days"))))</f>
        <v/>
      </c>
    </row>
    <row r="196" ht="15.75" customHeight="1">
      <c r="A196" s="33" t="str">
        <f>IF(BILLING!B196="","",BILLING!B196)</f>
        <v/>
      </c>
      <c r="B196" s="33" t="str">
        <f>IF(A196="","",IFERROR(VLOOKUP(VLOOKUP(VLOOKUP(A196,BILLING!$B:$I,7,FALSE),BOOKINGS!$A:$Q,3,FALSE),CLIENTS!$A:$H,2,FALSE),""))</f>
        <v/>
      </c>
      <c r="C196" s="38" t="str">
        <f>IF(A196="","",IFERROR(VLOOKUP(A196,BILLING!$B:$I,5,FALSE),0))</f>
        <v/>
      </c>
      <c r="D196" s="38"/>
      <c r="E196" s="38" t="str">
        <f t="shared" si="1"/>
        <v/>
      </c>
      <c r="F196" s="39"/>
      <c r="G196" s="33" t="str">
        <f t="shared" si="2"/>
        <v/>
      </c>
      <c r="H196" s="33" t="str">
        <f>IF(OR(A196="",F196=""),"",F196-VLOOKUP(A196,BILLING!$B:$I,7,FALSE))</f>
        <v/>
      </c>
      <c r="I196" s="33" t="str">
        <f>IF(A196="","",IF(E196&lt;=0,"Current",IF(TODAY()-VLOOKUP(A196,BILLING!$B:$I,7,FALSE)&lt;=30,"0-30 Days",IF(TODAY()-VLOOKUP(A196,BILLING!$B:$I,7,FALSE)&lt;=60,"31-60 Days","61+ Days"))))</f>
        <v/>
      </c>
    </row>
    <row r="197" ht="15.75" customHeight="1">
      <c r="A197" s="33" t="str">
        <f>IF(BILLING!B197="","",BILLING!B197)</f>
        <v/>
      </c>
      <c r="B197" s="33" t="str">
        <f>IF(A197="","",IFERROR(VLOOKUP(VLOOKUP(VLOOKUP(A197,BILLING!$B:$I,7,FALSE),BOOKINGS!$A:$Q,3,FALSE),CLIENTS!$A:$H,2,FALSE),""))</f>
        <v/>
      </c>
      <c r="C197" s="38" t="str">
        <f>IF(A197="","",IFERROR(VLOOKUP(A197,BILLING!$B:$I,5,FALSE),0))</f>
        <v/>
      </c>
      <c r="D197" s="38"/>
      <c r="E197" s="38" t="str">
        <f t="shared" si="1"/>
        <v/>
      </c>
      <c r="F197" s="39"/>
      <c r="G197" s="33" t="str">
        <f t="shared" si="2"/>
        <v/>
      </c>
      <c r="H197" s="33" t="str">
        <f>IF(OR(A197="",F197=""),"",F197-VLOOKUP(A197,BILLING!$B:$I,7,FALSE))</f>
        <v/>
      </c>
      <c r="I197" s="33" t="str">
        <f>IF(A197="","",IF(E197&lt;=0,"Current",IF(TODAY()-VLOOKUP(A197,BILLING!$B:$I,7,FALSE)&lt;=30,"0-30 Days",IF(TODAY()-VLOOKUP(A197,BILLING!$B:$I,7,FALSE)&lt;=60,"31-60 Days","61+ Days"))))</f>
        <v/>
      </c>
    </row>
    <row r="198" ht="15.75" customHeight="1">
      <c r="A198" s="33" t="str">
        <f>IF(BILLING!B198="","",BILLING!B198)</f>
        <v/>
      </c>
      <c r="B198" s="33" t="str">
        <f>IF(A198="","",IFERROR(VLOOKUP(VLOOKUP(VLOOKUP(A198,BILLING!$B:$I,7,FALSE),BOOKINGS!$A:$Q,3,FALSE),CLIENTS!$A:$H,2,FALSE),""))</f>
        <v/>
      </c>
      <c r="C198" s="38" t="str">
        <f>IF(A198="","",IFERROR(VLOOKUP(A198,BILLING!$B:$I,5,FALSE),0))</f>
        <v/>
      </c>
      <c r="D198" s="38"/>
      <c r="E198" s="38" t="str">
        <f t="shared" si="1"/>
        <v/>
      </c>
      <c r="F198" s="39"/>
      <c r="G198" s="33" t="str">
        <f t="shared" si="2"/>
        <v/>
      </c>
      <c r="H198" s="33" t="str">
        <f>IF(OR(A198="",F198=""),"",F198-VLOOKUP(A198,BILLING!$B:$I,7,FALSE))</f>
        <v/>
      </c>
      <c r="I198" s="33" t="str">
        <f>IF(A198="","",IF(E198&lt;=0,"Current",IF(TODAY()-VLOOKUP(A198,BILLING!$B:$I,7,FALSE)&lt;=30,"0-30 Days",IF(TODAY()-VLOOKUP(A198,BILLING!$B:$I,7,FALSE)&lt;=60,"31-60 Days","61+ Days"))))</f>
        <v/>
      </c>
    </row>
    <row r="199" ht="15.75" customHeight="1">
      <c r="A199" s="33" t="str">
        <f>IF(BILLING!B199="","",BILLING!B199)</f>
        <v/>
      </c>
      <c r="B199" s="33" t="str">
        <f>IF(A199="","",IFERROR(VLOOKUP(VLOOKUP(VLOOKUP(A199,BILLING!$B:$I,7,FALSE),BOOKINGS!$A:$Q,3,FALSE),CLIENTS!$A:$H,2,FALSE),""))</f>
        <v/>
      </c>
      <c r="C199" s="38" t="str">
        <f>IF(A199="","",IFERROR(VLOOKUP(A199,BILLING!$B:$I,5,FALSE),0))</f>
        <v/>
      </c>
      <c r="D199" s="38"/>
      <c r="E199" s="38" t="str">
        <f t="shared" si="1"/>
        <v/>
      </c>
      <c r="F199" s="39"/>
      <c r="G199" s="33" t="str">
        <f t="shared" si="2"/>
        <v/>
      </c>
      <c r="H199" s="33" t="str">
        <f>IF(OR(A199="",F199=""),"",F199-VLOOKUP(A199,BILLING!$B:$I,7,FALSE))</f>
        <v/>
      </c>
      <c r="I199" s="33" t="str">
        <f>IF(A199="","",IF(E199&lt;=0,"Current",IF(TODAY()-VLOOKUP(A199,BILLING!$B:$I,7,FALSE)&lt;=30,"0-30 Days",IF(TODAY()-VLOOKUP(A199,BILLING!$B:$I,7,FALSE)&lt;=60,"31-60 Days","61+ Days"))))</f>
        <v/>
      </c>
    </row>
    <row r="200" ht="15.75" customHeight="1">
      <c r="A200" s="33" t="str">
        <f>IF(BILLING!B200="","",BILLING!B200)</f>
        <v/>
      </c>
      <c r="B200" s="33" t="str">
        <f>IF(A200="","",IFERROR(VLOOKUP(VLOOKUP(VLOOKUP(A200,BILLING!$B:$I,7,FALSE),BOOKINGS!$A:$Q,3,FALSE),CLIENTS!$A:$H,2,FALSE),""))</f>
        <v/>
      </c>
      <c r="C200" s="38" t="str">
        <f>IF(A200="","",IFERROR(VLOOKUP(A200,BILLING!$B:$I,5,FALSE),0))</f>
        <v/>
      </c>
      <c r="D200" s="38"/>
      <c r="E200" s="38" t="str">
        <f t="shared" si="1"/>
        <v/>
      </c>
      <c r="F200" s="39"/>
      <c r="G200" s="33" t="str">
        <f t="shared" si="2"/>
        <v/>
      </c>
      <c r="H200" s="33" t="str">
        <f>IF(OR(A200="",F200=""),"",F200-VLOOKUP(A200,BILLING!$B:$I,7,FALSE))</f>
        <v/>
      </c>
      <c r="I200" s="33" t="str">
        <f>IF(A200="","",IF(E200&lt;=0,"Current",IF(TODAY()-VLOOKUP(A200,BILLING!$B:$I,7,FALSE)&lt;=30,"0-30 Days",IF(TODAY()-VLOOKUP(A200,BILLING!$B:$I,7,FALSE)&lt;=60,"31-60 Days","61+ Days"))))</f>
        <v/>
      </c>
    </row>
    <row r="201" ht="15.75" customHeight="1">
      <c r="A201" s="33" t="str">
        <f>IF(BILLING!B201="","",BILLING!B201)</f>
        <v/>
      </c>
      <c r="B201" s="33" t="str">
        <f>IF(A201="","",IFERROR(VLOOKUP(VLOOKUP(VLOOKUP(A201,BILLING!$B:$I,7,FALSE),BOOKINGS!$A:$Q,3,FALSE),CLIENTS!$A:$H,2,FALSE),""))</f>
        <v/>
      </c>
      <c r="C201" s="38" t="str">
        <f>IF(A201="","",IFERROR(VLOOKUP(A201,BILLING!$B:$I,5,FALSE),0))</f>
        <v/>
      </c>
      <c r="D201" s="38"/>
      <c r="E201" s="38" t="str">
        <f t="shared" si="1"/>
        <v/>
      </c>
      <c r="F201" s="39"/>
      <c r="G201" s="33" t="str">
        <f t="shared" si="2"/>
        <v/>
      </c>
      <c r="H201" s="33" t="str">
        <f>IF(OR(A201="",F201=""),"",F201-VLOOKUP(A201,BILLING!$B:$I,7,FALSE))</f>
        <v/>
      </c>
      <c r="I201" s="33" t="str">
        <f>IF(A201="","",IF(E201&lt;=0,"Current",IF(TODAY()-VLOOKUP(A201,BILLING!$B:$I,7,FALSE)&lt;=30,"0-30 Days",IF(TODAY()-VLOOKUP(A201,BILLING!$B:$I,7,FALSE)&lt;=60,"31-60 Days","61+ Days"))))</f>
        <v/>
      </c>
    </row>
    <row r="202" ht="15.75" customHeight="1">
      <c r="A202" s="33" t="str">
        <f>IF(BILLING!B202="","",BILLING!B202)</f>
        <v/>
      </c>
      <c r="B202" s="33" t="str">
        <f>IF(A202="","",IFERROR(VLOOKUP(VLOOKUP(VLOOKUP(A202,BILLING!$B:$I,7,FALSE),BOOKINGS!$A:$Q,3,FALSE),CLIENTS!$A:$H,2,FALSE),""))</f>
        <v/>
      </c>
      <c r="C202" s="38" t="str">
        <f>IF(A202="","",IFERROR(VLOOKUP(A202,BILLING!$B:$I,5,FALSE),0))</f>
        <v/>
      </c>
      <c r="D202" s="38"/>
      <c r="E202" s="38" t="str">
        <f t="shared" si="1"/>
        <v/>
      </c>
      <c r="F202" s="39"/>
      <c r="G202" s="33" t="str">
        <f t="shared" si="2"/>
        <v/>
      </c>
      <c r="H202" s="33" t="str">
        <f>IF(OR(A202="",F202=""),"",F202-VLOOKUP(A202,BILLING!$B:$I,7,FALSE))</f>
        <v/>
      </c>
      <c r="I202" s="33" t="str">
        <f>IF(A202="","",IF(E202&lt;=0,"Current",IF(TODAY()-VLOOKUP(A202,BILLING!$B:$I,7,FALSE)&lt;=30,"0-30 Days",IF(TODAY()-VLOOKUP(A202,BILLING!$B:$I,7,FALSE)&lt;=60,"31-60 Days","61+ Days"))))</f>
        <v/>
      </c>
    </row>
    <row r="203" ht="15.75" customHeight="1">
      <c r="A203" s="33" t="str">
        <f>IF(BILLING!B203="","",BILLING!B203)</f>
        <v/>
      </c>
      <c r="B203" s="33" t="str">
        <f>IF(A203="","",IFERROR(VLOOKUP(VLOOKUP(VLOOKUP(A203,BILLING!$B:$I,7,FALSE),BOOKINGS!$A:$Q,3,FALSE),CLIENTS!$A:$H,2,FALSE),""))</f>
        <v/>
      </c>
      <c r="C203" s="38" t="str">
        <f>IF(A203="","",IFERROR(VLOOKUP(A203,BILLING!$B:$I,5,FALSE),0))</f>
        <v/>
      </c>
      <c r="D203" s="38"/>
      <c r="E203" s="38" t="str">
        <f t="shared" si="1"/>
        <v/>
      </c>
      <c r="F203" s="39"/>
      <c r="G203" s="33" t="str">
        <f t="shared" si="2"/>
        <v/>
      </c>
      <c r="H203" s="33" t="str">
        <f>IF(OR(A203="",F203=""),"",F203-VLOOKUP(A203,BILLING!$B:$I,7,FALSE))</f>
        <v/>
      </c>
      <c r="I203" s="33" t="str">
        <f>IF(A203="","",IF(E203&lt;=0,"Current",IF(TODAY()-VLOOKUP(A203,BILLING!$B:$I,7,FALSE)&lt;=30,"0-30 Days",IF(TODAY()-VLOOKUP(A203,BILLING!$B:$I,7,FALSE)&lt;=60,"31-60 Days","61+ Days"))))</f>
        <v/>
      </c>
    </row>
    <row r="204" ht="15.75" customHeight="1">
      <c r="A204" s="33" t="str">
        <f>IF(BILLING!B204="","",BILLING!B204)</f>
        <v/>
      </c>
      <c r="B204" s="33" t="str">
        <f>IF(A204="","",IFERROR(VLOOKUP(VLOOKUP(VLOOKUP(A204,BILLING!$B:$I,7,FALSE),BOOKINGS!$A:$Q,3,FALSE),CLIENTS!$A:$H,2,FALSE),""))</f>
        <v/>
      </c>
      <c r="C204" s="38" t="str">
        <f>IF(A204="","",IFERROR(VLOOKUP(A204,BILLING!$B:$I,5,FALSE),0))</f>
        <v/>
      </c>
      <c r="D204" s="38"/>
      <c r="E204" s="38" t="str">
        <f t="shared" si="1"/>
        <v/>
      </c>
      <c r="F204" s="39"/>
      <c r="G204" s="33" t="str">
        <f t="shared" si="2"/>
        <v/>
      </c>
      <c r="H204" s="33" t="str">
        <f>IF(OR(A204="",F204=""),"",F204-VLOOKUP(A204,BILLING!$B:$I,7,FALSE))</f>
        <v/>
      </c>
      <c r="I204" s="33" t="str">
        <f>IF(A204="","",IF(E204&lt;=0,"Current",IF(TODAY()-VLOOKUP(A204,BILLING!$B:$I,7,FALSE)&lt;=30,"0-30 Days",IF(TODAY()-VLOOKUP(A204,BILLING!$B:$I,7,FALSE)&lt;=60,"31-60 Days","61+ Days"))))</f>
        <v/>
      </c>
    </row>
    <row r="205" ht="15.75" customHeight="1">
      <c r="A205" s="33" t="str">
        <f>IF(BILLING!B205="","",BILLING!B205)</f>
        <v/>
      </c>
      <c r="B205" s="33" t="str">
        <f>IF(A205="","",IFERROR(VLOOKUP(VLOOKUP(VLOOKUP(A205,BILLING!$B:$I,7,FALSE),BOOKINGS!$A:$Q,3,FALSE),CLIENTS!$A:$H,2,FALSE),""))</f>
        <v/>
      </c>
      <c r="C205" s="38" t="str">
        <f>IF(A205="","",IFERROR(VLOOKUP(A205,BILLING!$B:$I,5,FALSE),0))</f>
        <v/>
      </c>
      <c r="D205" s="38"/>
      <c r="E205" s="38" t="str">
        <f t="shared" si="1"/>
        <v/>
      </c>
      <c r="F205" s="39"/>
      <c r="G205" s="33" t="str">
        <f t="shared" si="2"/>
        <v/>
      </c>
      <c r="H205" s="33" t="str">
        <f>IF(OR(A205="",F205=""),"",F205-VLOOKUP(A205,BILLING!$B:$I,7,FALSE))</f>
        <v/>
      </c>
      <c r="I205" s="33" t="str">
        <f>IF(A205="","",IF(E205&lt;=0,"Current",IF(TODAY()-VLOOKUP(A205,BILLING!$B:$I,7,FALSE)&lt;=30,"0-30 Days",IF(TODAY()-VLOOKUP(A205,BILLING!$B:$I,7,FALSE)&lt;=60,"31-60 Days","61+ Days"))))</f>
        <v/>
      </c>
    </row>
    <row r="206" ht="15.75" customHeight="1">
      <c r="A206" s="33" t="str">
        <f>IF(BILLING!B206="","",BILLING!B206)</f>
        <v/>
      </c>
      <c r="B206" s="33" t="str">
        <f>IF(A206="","",IFERROR(VLOOKUP(VLOOKUP(VLOOKUP(A206,BILLING!$B:$I,7,FALSE),BOOKINGS!$A:$Q,3,FALSE),CLIENTS!$A:$H,2,FALSE),""))</f>
        <v/>
      </c>
      <c r="C206" s="38" t="str">
        <f>IF(A206="","",IFERROR(VLOOKUP(A206,BILLING!$B:$I,5,FALSE),0))</f>
        <v/>
      </c>
      <c r="D206" s="38"/>
      <c r="E206" s="38" t="str">
        <f t="shared" si="1"/>
        <v/>
      </c>
      <c r="F206" s="39"/>
      <c r="G206" s="33" t="str">
        <f t="shared" si="2"/>
        <v/>
      </c>
      <c r="H206" s="33" t="str">
        <f>IF(OR(A206="",F206=""),"",F206-VLOOKUP(A206,BILLING!$B:$I,7,FALSE))</f>
        <v/>
      </c>
      <c r="I206" s="33" t="str">
        <f>IF(A206="","",IF(E206&lt;=0,"Current",IF(TODAY()-VLOOKUP(A206,BILLING!$B:$I,7,FALSE)&lt;=30,"0-30 Days",IF(TODAY()-VLOOKUP(A206,BILLING!$B:$I,7,FALSE)&lt;=60,"31-60 Days","61+ Days"))))</f>
        <v/>
      </c>
    </row>
    <row r="207" ht="15.75" customHeight="1">
      <c r="A207" s="33" t="str">
        <f>IF(BILLING!B207="","",BILLING!B207)</f>
        <v/>
      </c>
      <c r="B207" s="33" t="str">
        <f>IF(A207="","",IFERROR(VLOOKUP(VLOOKUP(VLOOKUP(A207,BILLING!$B:$I,7,FALSE),BOOKINGS!$A:$Q,3,FALSE),CLIENTS!$A:$H,2,FALSE),""))</f>
        <v/>
      </c>
      <c r="C207" s="38" t="str">
        <f>IF(A207="","",IFERROR(VLOOKUP(A207,BILLING!$B:$I,5,FALSE),0))</f>
        <v/>
      </c>
      <c r="D207" s="38"/>
      <c r="E207" s="38" t="str">
        <f t="shared" si="1"/>
        <v/>
      </c>
      <c r="F207" s="39"/>
      <c r="G207" s="33" t="str">
        <f t="shared" si="2"/>
        <v/>
      </c>
      <c r="H207" s="33" t="str">
        <f>IF(OR(A207="",F207=""),"",F207-VLOOKUP(A207,BILLING!$B:$I,7,FALSE))</f>
        <v/>
      </c>
      <c r="I207" s="33" t="str">
        <f>IF(A207="","",IF(E207&lt;=0,"Current",IF(TODAY()-VLOOKUP(A207,BILLING!$B:$I,7,FALSE)&lt;=30,"0-30 Days",IF(TODAY()-VLOOKUP(A207,BILLING!$B:$I,7,FALSE)&lt;=60,"31-60 Days","61+ Days"))))</f>
        <v/>
      </c>
    </row>
    <row r="208" ht="15.75" customHeight="1">
      <c r="A208" s="33" t="str">
        <f>IF(BILLING!B208="","",BILLING!B208)</f>
        <v/>
      </c>
      <c r="B208" s="33" t="str">
        <f>IF(A208="","",IFERROR(VLOOKUP(VLOOKUP(VLOOKUP(A208,BILLING!$B:$I,7,FALSE),BOOKINGS!$A:$Q,3,FALSE),CLIENTS!$A:$H,2,FALSE),""))</f>
        <v/>
      </c>
      <c r="C208" s="38" t="str">
        <f>IF(A208="","",IFERROR(VLOOKUP(A208,BILLING!$B:$I,5,FALSE),0))</f>
        <v/>
      </c>
      <c r="D208" s="38"/>
      <c r="E208" s="38" t="str">
        <f t="shared" si="1"/>
        <v/>
      </c>
      <c r="F208" s="39"/>
      <c r="G208" s="33" t="str">
        <f t="shared" si="2"/>
        <v/>
      </c>
      <c r="H208" s="33" t="str">
        <f>IF(OR(A208="",F208=""),"",F208-VLOOKUP(A208,BILLING!$B:$I,7,FALSE))</f>
        <v/>
      </c>
      <c r="I208" s="33" t="str">
        <f>IF(A208="","",IF(E208&lt;=0,"Current",IF(TODAY()-VLOOKUP(A208,BILLING!$B:$I,7,FALSE)&lt;=30,"0-30 Days",IF(TODAY()-VLOOKUP(A208,BILLING!$B:$I,7,FALSE)&lt;=60,"31-60 Days","61+ Days"))))</f>
        <v/>
      </c>
    </row>
    <row r="209" ht="15.75" customHeight="1">
      <c r="A209" s="33" t="str">
        <f>IF(BILLING!B209="","",BILLING!B209)</f>
        <v/>
      </c>
      <c r="B209" s="33" t="str">
        <f>IF(A209="","",IFERROR(VLOOKUP(VLOOKUP(VLOOKUP(A209,BILLING!$B:$I,7,FALSE),BOOKINGS!$A:$Q,3,FALSE),CLIENTS!$A:$H,2,FALSE),""))</f>
        <v/>
      </c>
      <c r="C209" s="38" t="str">
        <f>IF(A209="","",IFERROR(VLOOKUP(A209,BILLING!$B:$I,5,FALSE),0))</f>
        <v/>
      </c>
      <c r="D209" s="38"/>
      <c r="E209" s="38" t="str">
        <f t="shared" si="1"/>
        <v/>
      </c>
      <c r="F209" s="39"/>
      <c r="G209" s="33" t="str">
        <f t="shared" si="2"/>
        <v/>
      </c>
      <c r="H209" s="33" t="str">
        <f>IF(OR(A209="",F209=""),"",F209-VLOOKUP(A209,BILLING!$B:$I,7,FALSE))</f>
        <v/>
      </c>
      <c r="I209" s="33" t="str">
        <f>IF(A209="","",IF(E209&lt;=0,"Current",IF(TODAY()-VLOOKUP(A209,BILLING!$B:$I,7,FALSE)&lt;=30,"0-30 Days",IF(TODAY()-VLOOKUP(A209,BILLING!$B:$I,7,FALSE)&lt;=60,"31-60 Days","61+ Days"))))</f>
        <v/>
      </c>
    </row>
    <row r="210" ht="15.75" customHeight="1">
      <c r="A210" s="33" t="str">
        <f>IF(BILLING!B210="","",BILLING!B210)</f>
        <v/>
      </c>
      <c r="B210" s="33" t="str">
        <f>IF(A210="","",IFERROR(VLOOKUP(VLOOKUP(VLOOKUP(A210,BILLING!$B:$I,7,FALSE),BOOKINGS!$A:$Q,3,FALSE),CLIENTS!$A:$H,2,FALSE),""))</f>
        <v/>
      </c>
      <c r="C210" s="38" t="str">
        <f>IF(A210="","",IFERROR(VLOOKUP(A210,BILLING!$B:$I,5,FALSE),0))</f>
        <v/>
      </c>
      <c r="D210" s="38"/>
      <c r="E210" s="38" t="str">
        <f t="shared" si="1"/>
        <v/>
      </c>
      <c r="F210" s="39"/>
      <c r="G210" s="33" t="str">
        <f t="shared" si="2"/>
        <v/>
      </c>
      <c r="H210" s="33" t="str">
        <f>IF(OR(A210="",F210=""),"",F210-VLOOKUP(A210,BILLING!$B:$I,7,FALSE))</f>
        <v/>
      </c>
      <c r="I210" s="33" t="str">
        <f>IF(A210="","",IF(E210&lt;=0,"Current",IF(TODAY()-VLOOKUP(A210,BILLING!$B:$I,7,FALSE)&lt;=30,"0-30 Days",IF(TODAY()-VLOOKUP(A210,BILLING!$B:$I,7,FALSE)&lt;=60,"31-60 Days","61+ Days"))))</f>
        <v/>
      </c>
    </row>
    <row r="211" ht="15.75" customHeight="1">
      <c r="A211" s="33" t="str">
        <f>IF(BILLING!B211="","",BILLING!B211)</f>
        <v/>
      </c>
      <c r="B211" s="33" t="str">
        <f>IF(A211="","",IFERROR(VLOOKUP(VLOOKUP(VLOOKUP(A211,BILLING!$B:$I,7,FALSE),BOOKINGS!$A:$Q,3,FALSE),CLIENTS!$A:$H,2,FALSE),""))</f>
        <v/>
      </c>
      <c r="C211" s="38" t="str">
        <f>IF(A211="","",IFERROR(VLOOKUP(A211,BILLING!$B:$I,5,FALSE),0))</f>
        <v/>
      </c>
      <c r="D211" s="38"/>
      <c r="E211" s="38" t="str">
        <f t="shared" si="1"/>
        <v/>
      </c>
      <c r="F211" s="39"/>
      <c r="G211" s="33" t="str">
        <f t="shared" si="2"/>
        <v/>
      </c>
      <c r="H211" s="33" t="str">
        <f>IF(OR(A211="",F211=""),"",F211-VLOOKUP(A211,BILLING!$B:$I,7,FALSE))</f>
        <v/>
      </c>
      <c r="I211" s="33" t="str">
        <f>IF(A211="","",IF(E211&lt;=0,"Current",IF(TODAY()-VLOOKUP(A211,BILLING!$B:$I,7,FALSE)&lt;=30,"0-30 Days",IF(TODAY()-VLOOKUP(A211,BILLING!$B:$I,7,FALSE)&lt;=60,"31-60 Days","61+ Days"))))</f>
        <v/>
      </c>
    </row>
    <row r="212" ht="15.75" customHeight="1">
      <c r="A212" s="33" t="str">
        <f>IF(BILLING!B212="","",BILLING!B212)</f>
        <v/>
      </c>
      <c r="B212" s="33" t="str">
        <f>IF(A212="","",IFERROR(VLOOKUP(VLOOKUP(VLOOKUP(A212,BILLING!$B:$I,7,FALSE),BOOKINGS!$A:$Q,3,FALSE),CLIENTS!$A:$H,2,FALSE),""))</f>
        <v/>
      </c>
      <c r="C212" s="38" t="str">
        <f>IF(A212="","",IFERROR(VLOOKUP(A212,BILLING!$B:$I,5,FALSE),0))</f>
        <v/>
      </c>
      <c r="D212" s="38"/>
      <c r="E212" s="38" t="str">
        <f t="shared" si="1"/>
        <v/>
      </c>
      <c r="F212" s="39"/>
      <c r="G212" s="33" t="str">
        <f t="shared" si="2"/>
        <v/>
      </c>
      <c r="H212" s="33" t="str">
        <f>IF(OR(A212="",F212=""),"",F212-VLOOKUP(A212,BILLING!$B:$I,7,FALSE))</f>
        <v/>
      </c>
      <c r="I212" s="33" t="str">
        <f>IF(A212="","",IF(E212&lt;=0,"Current",IF(TODAY()-VLOOKUP(A212,BILLING!$B:$I,7,FALSE)&lt;=30,"0-30 Days",IF(TODAY()-VLOOKUP(A212,BILLING!$B:$I,7,FALSE)&lt;=60,"31-60 Days","61+ Days"))))</f>
        <v/>
      </c>
    </row>
    <row r="213" ht="15.75" customHeight="1">
      <c r="A213" s="33" t="str">
        <f>IF(BILLING!B213="","",BILLING!B213)</f>
        <v/>
      </c>
      <c r="B213" s="33" t="str">
        <f>IF(A213="","",IFERROR(VLOOKUP(VLOOKUP(VLOOKUP(A213,BILLING!$B:$I,7,FALSE),BOOKINGS!$A:$Q,3,FALSE),CLIENTS!$A:$H,2,FALSE),""))</f>
        <v/>
      </c>
      <c r="C213" s="38" t="str">
        <f>IF(A213="","",IFERROR(VLOOKUP(A213,BILLING!$B:$I,5,FALSE),0))</f>
        <v/>
      </c>
      <c r="D213" s="38"/>
      <c r="E213" s="38" t="str">
        <f t="shared" si="1"/>
        <v/>
      </c>
      <c r="F213" s="39"/>
      <c r="G213" s="33" t="str">
        <f t="shared" si="2"/>
        <v/>
      </c>
      <c r="H213" s="33" t="str">
        <f>IF(OR(A213="",F213=""),"",F213-VLOOKUP(A213,BILLING!$B:$I,7,FALSE))</f>
        <v/>
      </c>
      <c r="I213" s="33" t="str">
        <f>IF(A213="","",IF(E213&lt;=0,"Current",IF(TODAY()-VLOOKUP(A213,BILLING!$B:$I,7,FALSE)&lt;=30,"0-30 Days",IF(TODAY()-VLOOKUP(A213,BILLING!$B:$I,7,FALSE)&lt;=60,"31-60 Days","61+ Days"))))</f>
        <v/>
      </c>
    </row>
    <row r="214" ht="15.75" customHeight="1">
      <c r="A214" s="33" t="str">
        <f>IF(BILLING!B214="","",BILLING!B214)</f>
        <v/>
      </c>
      <c r="B214" s="33" t="str">
        <f>IF(A214="","",IFERROR(VLOOKUP(VLOOKUP(VLOOKUP(A214,BILLING!$B:$I,7,FALSE),BOOKINGS!$A:$Q,3,FALSE),CLIENTS!$A:$H,2,FALSE),""))</f>
        <v/>
      </c>
      <c r="C214" s="38" t="str">
        <f>IF(A214="","",IFERROR(VLOOKUP(A214,BILLING!$B:$I,5,FALSE),0))</f>
        <v/>
      </c>
      <c r="D214" s="38"/>
      <c r="E214" s="38" t="str">
        <f t="shared" si="1"/>
        <v/>
      </c>
      <c r="F214" s="39"/>
      <c r="G214" s="33" t="str">
        <f t="shared" si="2"/>
        <v/>
      </c>
      <c r="H214" s="33" t="str">
        <f>IF(OR(A214="",F214=""),"",F214-VLOOKUP(A214,BILLING!$B:$I,7,FALSE))</f>
        <v/>
      </c>
      <c r="I214" s="33" t="str">
        <f>IF(A214="","",IF(E214&lt;=0,"Current",IF(TODAY()-VLOOKUP(A214,BILLING!$B:$I,7,FALSE)&lt;=30,"0-30 Days",IF(TODAY()-VLOOKUP(A214,BILLING!$B:$I,7,FALSE)&lt;=60,"31-60 Days","61+ Days"))))</f>
        <v/>
      </c>
    </row>
    <row r="215" ht="15.75" customHeight="1">
      <c r="A215" s="33" t="str">
        <f>IF(BILLING!B215="","",BILLING!B215)</f>
        <v/>
      </c>
      <c r="B215" s="33" t="str">
        <f>IF(A215="","",IFERROR(VLOOKUP(VLOOKUP(VLOOKUP(A215,BILLING!$B:$I,7,FALSE),BOOKINGS!$A:$Q,3,FALSE),CLIENTS!$A:$H,2,FALSE),""))</f>
        <v/>
      </c>
      <c r="C215" s="38" t="str">
        <f>IF(A215="","",IFERROR(VLOOKUP(A215,BILLING!$B:$I,5,FALSE),0))</f>
        <v/>
      </c>
      <c r="D215" s="38"/>
      <c r="E215" s="38" t="str">
        <f t="shared" si="1"/>
        <v/>
      </c>
      <c r="F215" s="39"/>
      <c r="G215" s="33" t="str">
        <f t="shared" si="2"/>
        <v/>
      </c>
      <c r="H215" s="33" t="str">
        <f>IF(OR(A215="",F215=""),"",F215-VLOOKUP(A215,BILLING!$B:$I,7,FALSE))</f>
        <v/>
      </c>
      <c r="I215" s="33" t="str">
        <f>IF(A215="","",IF(E215&lt;=0,"Current",IF(TODAY()-VLOOKUP(A215,BILLING!$B:$I,7,FALSE)&lt;=30,"0-30 Days",IF(TODAY()-VLOOKUP(A215,BILLING!$B:$I,7,FALSE)&lt;=60,"31-60 Days","61+ Days"))))</f>
        <v/>
      </c>
    </row>
    <row r="216" ht="15.75" customHeight="1">
      <c r="A216" s="33" t="str">
        <f>IF(BILLING!B216="","",BILLING!B216)</f>
        <v/>
      </c>
      <c r="B216" s="33" t="str">
        <f>IF(A216="","",IFERROR(VLOOKUP(VLOOKUP(VLOOKUP(A216,BILLING!$B:$I,7,FALSE),BOOKINGS!$A:$Q,3,FALSE),CLIENTS!$A:$H,2,FALSE),""))</f>
        <v/>
      </c>
      <c r="C216" s="38" t="str">
        <f>IF(A216="","",IFERROR(VLOOKUP(A216,BILLING!$B:$I,5,FALSE),0))</f>
        <v/>
      </c>
      <c r="D216" s="38"/>
      <c r="E216" s="38" t="str">
        <f t="shared" si="1"/>
        <v/>
      </c>
      <c r="F216" s="39"/>
      <c r="G216" s="33" t="str">
        <f t="shared" si="2"/>
        <v/>
      </c>
      <c r="H216" s="33" t="str">
        <f>IF(OR(A216="",F216=""),"",F216-VLOOKUP(A216,BILLING!$B:$I,7,FALSE))</f>
        <v/>
      </c>
      <c r="I216" s="33" t="str">
        <f>IF(A216="","",IF(E216&lt;=0,"Current",IF(TODAY()-VLOOKUP(A216,BILLING!$B:$I,7,FALSE)&lt;=30,"0-30 Days",IF(TODAY()-VLOOKUP(A216,BILLING!$B:$I,7,FALSE)&lt;=60,"31-60 Days","61+ Days"))))</f>
        <v/>
      </c>
    </row>
    <row r="217" ht="15.75" customHeight="1">
      <c r="A217" s="33" t="str">
        <f>IF(BILLING!B217="","",BILLING!B217)</f>
        <v/>
      </c>
      <c r="B217" s="33" t="str">
        <f>IF(A217="","",IFERROR(VLOOKUP(VLOOKUP(VLOOKUP(A217,BILLING!$B:$I,7,FALSE),BOOKINGS!$A:$Q,3,FALSE),CLIENTS!$A:$H,2,FALSE),""))</f>
        <v/>
      </c>
      <c r="C217" s="38" t="str">
        <f>IF(A217="","",IFERROR(VLOOKUP(A217,BILLING!$B:$I,5,FALSE),0))</f>
        <v/>
      </c>
      <c r="D217" s="38"/>
      <c r="E217" s="38" t="str">
        <f t="shared" si="1"/>
        <v/>
      </c>
      <c r="F217" s="39"/>
      <c r="G217" s="33" t="str">
        <f t="shared" si="2"/>
        <v/>
      </c>
      <c r="H217" s="33" t="str">
        <f>IF(OR(A217="",F217=""),"",F217-VLOOKUP(A217,BILLING!$B:$I,7,FALSE))</f>
        <v/>
      </c>
      <c r="I217" s="33" t="str">
        <f>IF(A217="","",IF(E217&lt;=0,"Current",IF(TODAY()-VLOOKUP(A217,BILLING!$B:$I,7,FALSE)&lt;=30,"0-30 Days",IF(TODAY()-VLOOKUP(A217,BILLING!$B:$I,7,FALSE)&lt;=60,"31-60 Days","61+ Days"))))</f>
        <v/>
      </c>
    </row>
    <row r="218" ht="15.75" customHeight="1">
      <c r="A218" s="33" t="str">
        <f>IF(BILLING!B218="","",BILLING!B218)</f>
        <v/>
      </c>
      <c r="B218" s="33" t="str">
        <f>IF(A218="","",IFERROR(VLOOKUP(VLOOKUP(VLOOKUP(A218,BILLING!$B:$I,7,FALSE),BOOKINGS!$A:$Q,3,FALSE),CLIENTS!$A:$H,2,FALSE),""))</f>
        <v/>
      </c>
      <c r="C218" s="38" t="str">
        <f>IF(A218="","",IFERROR(VLOOKUP(A218,BILLING!$B:$I,5,FALSE),0))</f>
        <v/>
      </c>
      <c r="D218" s="38"/>
      <c r="E218" s="38" t="str">
        <f t="shared" si="1"/>
        <v/>
      </c>
      <c r="F218" s="39"/>
      <c r="G218" s="33" t="str">
        <f t="shared" si="2"/>
        <v/>
      </c>
      <c r="H218" s="33" t="str">
        <f>IF(OR(A218="",F218=""),"",F218-VLOOKUP(A218,BILLING!$B:$I,7,FALSE))</f>
        <v/>
      </c>
      <c r="I218" s="33" t="str">
        <f>IF(A218="","",IF(E218&lt;=0,"Current",IF(TODAY()-VLOOKUP(A218,BILLING!$B:$I,7,FALSE)&lt;=30,"0-30 Days",IF(TODAY()-VLOOKUP(A218,BILLING!$B:$I,7,FALSE)&lt;=60,"31-60 Days","61+ Days"))))</f>
        <v/>
      </c>
    </row>
    <row r="219" ht="15.75" customHeight="1">
      <c r="A219" s="33" t="str">
        <f>IF(BILLING!B219="","",BILLING!B219)</f>
        <v/>
      </c>
      <c r="B219" s="33" t="str">
        <f>IF(A219="","",IFERROR(VLOOKUP(VLOOKUP(VLOOKUP(A219,BILLING!$B:$I,7,FALSE),BOOKINGS!$A:$Q,3,FALSE),CLIENTS!$A:$H,2,FALSE),""))</f>
        <v/>
      </c>
      <c r="C219" s="38" t="str">
        <f>IF(A219="","",IFERROR(VLOOKUP(A219,BILLING!$B:$I,5,FALSE),0))</f>
        <v/>
      </c>
      <c r="D219" s="38"/>
      <c r="E219" s="38" t="str">
        <f t="shared" si="1"/>
        <v/>
      </c>
      <c r="F219" s="39"/>
      <c r="G219" s="33" t="str">
        <f t="shared" si="2"/>
        <v/>
      </c>
      <c r="H219" s="33" t="str">
        <f>IF(OR(A219="",F219=""),"",F219-VLOOKUP(A219,BILLING!$B:$I,7,FALSE))</f>
        <v/>
      </c>
      <c r="I219" s="33" t="str">
        <f>IF(A219="","",IF(E219&lt;=0,"Current",IF(TODAY()-VLOOKUP(A219,BILLING!$B:$I,7,FALSE)&lt;=30,"0-30 Days",IF(TODAY()-VLOOKUP(A219,BILLING!$B:$I,7,FALSE)&lt;=60,"31-60 Days","61+ Days"))))</f>
        <v/>
      </c>
    </row>
    <row r="220" ht="15.75" customHeight="1">
      <c r="A220" s="33" t="str">
        <f>IF(BILLING!B220="","",BILLING!B220)</f>
        <v/>
      </c>
      <c r="B220" s="33" t="str">
        <f>IF(A220="","",IFERROR(VLOOKUP(VLOOKUP(VLOOKUP(A220,BILLING!$B:$I,7,FALSE),BOOKINGS!$A:$Q,3,FALSE),CLIENTS!$A:$H,2,FALSE),""))</f>
        <v/>
      </c>
      <c r="C220" s="38" t="str">
        <f>IF(A220="","",IFERROR(VLOOKUP(A220,BILLING!$B:$I,5,FALSE),0))</f>
        <v/>
      </c>
      <c r="D220" s="38"/>
      <c r="E220" s="38" t="str">
        <f t="shared" si="1"/>
        <v/>
      </c>
      <c r="F220" s="39"/>
      <c r="G220" s="33" t="str">
        <f t="shared" si="2"/>
        <v/>
      </c>
      <c r="H220" s="33" t="str">
        <f>IF(OR(A220="",F220=""),"",F220-VLOOKUP(A220,BILLING!$B:$I,7,FALSE))</f>
        <v/>
      </c>
      <c r="I220" s="33" t="str">
        <f>IF(A220="","",IF(E220&lt;=0,"Current",IF(TODAY()-VLOOKUP(A220,BILLING!$B:$I,7,FALSE)&lt;=30,"0-30 Days",IF(TODAY()-VLOOKUP(A220,BILLING!$B:$I,7,FALSE)&lt;=60,"31-60 Days","61+ Days"))))</f>
        <v/>
      </c>
    </row>
    <row r="221" ht="15.75" customHeight="1">
      <c r="A221" s="33" t="str">
        <f>IF(BILLING!B221="","",BILLING!B221)</f>
        <v/>
      </c>
      <c r="B221" s="33" t="str">
        <f>IF(A221="","",IFERROR(VLOOKUP(VLOOKUP(VLOOKUP(A221,BILLING!$B:$I,7,FALSE),BOOKINGS!$A:$Q,3,FALSE),CLIENTS!$A:$H,2,FALSE),""))</f>
        <v/>
      </c>
      <c r="C221" s="38" t="str">
        <f>IF(A221="","",IFERROR(VLOOKUP(A221,BILLING!$B:$I,5,FALSE),0))</f>
        <v/>
      </c>
      <c r="D221" s="38"/>
      <c r="E221" s="38" t="str">
        <f t="shared" si="1"/>
        <v/>
      </c>
      <c r="F221" s="39"/>
      <c r="G221" s="33" t="str">
        <f t="shared" si="2"/>
        <v/>
      </c>
      <c r="H221" s="33" t="str">
        <f>IF(OR(A221="",F221=""),"",F221-VLOOKUP(A221,BILLING!$B:$I,7,FALSE))</f>
        <v/>
      </c>
      <c r="I221" s="33" t="str">
        <f>IF(A221="","",IF(E221&lt;=0,"Current",IF(TODAY()-VLOOKUP(A221,BILLING!$B:$I,7,FALSE)&lt;=30,"0-30 Days",IF(TODAY()-VLOOKUP(A221,BILLING!$B:$I,7,FALSE)&lt;=60,"31-60 Days","61+ Days"))))</f>
        <v/>
      </c>
    </row>
    <row r="222" ht="15.75" customHeight="1">
      <c r="A222" s="33" t="str">
        <f>IF(BILLING!B222="","",BILLING!B222)</f>
        <v/>
      </c>
      <c r="B222" s="33" t="str">
        <f>IF(A222="","",IFERROR(VLOOKUP(VLOOKUP(VLOOKUP(A222,BILLING!$B:$I,7,FALSE),BOOKINGS!$A:$Q,3,FALSE),CLIENTS!$A:$H,2,FALSE),""))</f>
        <v/>
      </c>
      <c r="C222" s="38" t="str">
        <f>IF(A222="","",IFERROR(VLOOKUP(A222,BILLING!$B:$I,5,FALSE),0))</f>
        <v/>
      </c>
      <c r="D222" s="38"/>
      <c r="E222" s="38" t="str">
        <f t="shared" si="1"/>
        <v/>
      </c>
      <c r="F222" s="39"/>
      <c r="G222" s="33" t="str">
        <f t="shared" si="2"/>
        <v/>
      </c>
      <c r="H222" s="33" t="str">
        <f>IF(OR(A222="",F222=""),"",F222-VLOOKUP(A222,BILLING!$B:$I,7,FALSE))</f>
        <v/>
      </c>
      <c r="I222" s="33" t="str">
        <f>IF(A222="","",IF(E222&lt;=0,"Current",IF(TODAY()-VLOOKUP(A222,BILLING!$B:$I,7,FALSE)&lt;=30,"0-30 Days",IF(TODAY()-VLOOKUP(A222,BILLING!$B:$I,7,FALSE)&lt;=60,"31-60 Days","61+ Days"))))</f>
        <v/>
      </c>
    </row>
    <row r="223" ht="15.75" customHeight="1">
      <c r="A223" s="33" t="str">
        <f>IF(BILLING!B223="","",BILLING!B223)</f>
        <v/>
      </c>
      <c r="B223" s="33" t="str">
        <f>IF(A223="","",IFERROR(VLOOKUP(VLOOKUP(VLOOKUP(A223,BILLING!$B:$I,7,FALSE),BOOKINGS!$A:$Q,3,FALSE),CLIENTS!$A:$H,2,FALSE),""))</f>
        <v/>
      </c>
      <c r="C223" s="38" t="str">
        <f>IF(A223="","",IFERROR(VLOOKUP(A223,BILLING!$B:$I,5,FALSE),0))</f>
        <v/>
      </c>
      <c r="D223" s="38"/>
      <c r="E223" s="38" t="str">
        <f t="shared" si="1"/>
        <v/>
      </c>
      <c r="F223" s="39"/>
      <c r="G223" s="33" t="str">
        <f t="shared" si="2"/>
        <v/>
      </c>
      <c r="H223" s="33" t="str">
        <f>IF(OR(A223="",F223=""),"",F223-VLOOKUP(A223,BILLING!$B:$I,7,FALSE))</f>
        <v/>
      </c>
      <c r="I223" s="33" t="str">
        <f>IF(A223="","",IF(E223&lt;=0,"Current",IF(TODAY()-VLOOKUP(A223,BILLING!$B:$I,7,FALSE)&lt;=30,"0-30 Days",IF(TODAY()-VLOOKUP(A223,BILLING!$B:$I,7,FALSE)&lt;=60,"31-60 Days","61+ Days"))))</f>
        <v/>
      </c>
    </row>
    <row r="224" ht="15.75" customHeight="1">
      <c r="A224" s="33" t="str">
        <f>IF(BILLING!B224="","",BILLING!B224)</f>
        <v/>
      </c>
      <c r="B224" s="33" t="str">
        <f>IF(A224="","",IFERROR(VLOOKUP(VLOOKUP(VLOOKUP(A224,BILLING!$B:$I,7,FALSE),BOOKINGS!$A:$Q,3,FALSE),CLIENTS!$A:$H,2,FALSE),""))</f>
        <v/>
      </c>
      <c r="C224" s="38" t="str">
        <f>IF(A224="","",IFERROR(VLOOKUP(A224,BILLING!$B:$I,5,FALSE),0))</f>
        <v/>
      </c>
      <c r="D224" s="38"/>
      <c r="E224" s="38" t="str">
        <f t="shared" si="1"/>
        <v/>
      </c>
      <c r="F224" s="39"/>
      <c r="G224" s="33" t="str">
        <f t="shared" si="2"/>
        <v/>
      </c>
      <c r="H224" s="33" t="str">
        <f>IF(OR(A224="",F224=""),"",F224-VLOOKUP(A224,BILLING!$B:$I,7,FALSE))</f>
        <v/>
      </c>
      <c r="I224" s="33" t="str">
        <f>IF(A224="","",IF(E224&lt;=0,"Current",IF(TODAY()-VLOOKUP(A224,BILLING!$B:$I,7,FALSE)&lt;=30,"0-30 Days",IF(TODAY()-VLOOKUP(A224,BILLING!$B:$I,7,FALSE)&lt;=60,"31-60 Days","61+ Days"))))</f>
        <v/>
      </c>
    </row>
    <row r="225" ht="15.75" customHeight="1">
      <c r="A225" s="33" t="str">
        <f>IF(BILLING!B225="","",BILLING!B225)</f>
        <v/>
      </c>
      <c r="B225" s="33" t="str">
        <f>IF(A225="","",IFERROR(VLOOKUP(VLOOKUP(VLOOKUP(A225,BILLING!$B:$I,7,FALSE),BOOKINGS!$A:$Q,3,FALSE),CLIENTS!$A:$H,2,FALSE),""))</f>
        <v/>
      </c>
      <c r="C225" s="38" t="str">
        <f>IF(A225="","",IFERROR(VLOOKUP(A225,BILLING!$B:$I,5,FALSE),0))</f>
        <v/>
      </c>
      <c r="D225" s="38"/>
      <c r="E225" s="38" t="str">
        <f t="shared" si="1"/>
        <v/>
      </c>
      <c r="F225" s="39"/>
      <c r="G225" s="33" t="str">
        <f t="shared" si="2"/>
        <v/>
      </c>
      <c r="H225" s="33" t="str">
        <f>IF(OR(A225="",F225=""),"",F225-VLOOKUP(A225,BILLING!$B:$I,7,FALSE))</f>
        <v/>
      </c>
      <c r="I225" s="33" t="str">
        <f>IF(A225="","",IF(E225&lt;=0,"Current",IF(TODAY()-VLOOKUP(A225,BILLING!$B:$I,7,FALSE)&lt;=30,"0-30 Days",IF(TODAY()-VLOOKUP(A225,BILLING!$B:$I,7,FALSE)&lt;=60,"31-60 Days","61+ Days"))))</f>
        <v/>
      </c>
    </row>
    <row r="226" ht="15.75" customHeight="1">
      <c r="A226" s="33" t="str">
        <f>IF(BILLING!B226="","",BILLING!B226)</f>
        <v/>
      </c>
      <c r="B226" s="33" t="str">
        <f>IF(A226="","",IFERROR(VLOOKUP(VLOOKUP(VLOOKUP(A226,BILLING!$B:$I,7,FALSE),BOOKINGS!$A:$Q,3,FALSE),CLIENTS!$A:$H,2,FALSE),""))</f>
        <v/>
      </c>
      <c r="C226" s="38" t="str">
        <f>IF(A226="","",IFERROR(VLOOKUP(A226,BILLING!$B:$I,5,FALSE),0))</f>
        <v/>
      </c>
      <c r="D226" s="38"/>
      <c r="E226" s="38" t="str">
        <f t="shared" si="1"/>
        <v/>
      </c>
      <c r="F226" s="39"/>
      <c r="G226" s="33" t="str">
        <f t="shared" si="2"/>
        <v/>
      </c>
      <c r="H226" s="33" t="str">
        <f>IF(OR(A226="",F226=""),"",F226-VLOOKUP(A226,BILLING!$B:$I,7,FALSE))</f>
        <v/>
      </c>
      <c r="I226" s="33" t="str">
        <f>IF(A226="","",IF(E226&lt;=0,"Current",IF(TODAY()-VLOOKUP(A226,BILLING!$B:$I,7,FALSE)&lt;=30,"0-30 Days",IF(TODAY()-VLOOKUP(A226,BILLING!$B:$I,7,FALSE)&lt;=60,"31-60 Days","61+ Days"))))</f>
        <v/>
      </c>
    </row>
    <row r="227" ht="15.75" customHeight="1">
      <c r="A227" s="33" t="str">
        <f>IF(BILLING!B227="","",BILLING!B227)</f>
        <v/>
      </c>
      <c r="B227" s="33" t="str">
        <f>IF(A227="","",IFERROR(VLOOKUP(VLOOKUP(VLOOKUP(A227,BILLING!$B:$I,7,FALSE),BOOKINGS!$A:$Q,3,FALSE),CLIENTS!$A:$H,2,FALSE),""))</f>
        <v/>
      </c>
      <c r="C227" s="38" t="str">
        <f>IF(A227="","",IFERROR(VLOOKUP(A227,BILLING!$B:$I,5,FALSE),0))</f>
        <v/>
      </c>
      <c r="D227" s="38"/>
      <c r="E227" s="38" t="str">
        <f t="shared" si="1"/>
        <v/>
      </c>
      <c r="F227" s="39"/>
      <c r="G227" s="33" t="str">
        <f t="shared" si="2"/>
        <v/>
      </c>
      <c r="H227" s="33" t="str">
        <f>IF(OR(A227="",F227=""),"",F227-VLOOKUP(A227,BILLING!$B:$I,7,FALSE))</f>
        <v/>
      </c>
      <c r="I227" s="33" t="str">
        <f>IF(A227="","",IF(E227&lt;=0,"Current",IF(TODAY()-VLOOKUP(A227,BILLING!$B:$I,7,FALSE)&lt;=30,"0-30 Days",IF(TODAY()-VLOOKUP(A227,BILLING!$B:$I,7,FALSE)&lt;=60,"31-60 Days","61+ Days"))))</f>
        <v/>
      </c>
    </row>
    <row r="228" ht="15.75" customHeight="1">
      <c r="A228" s="33" t="str">
        <f>IF(BILLING!B228="","",BILLING!B228)</f>
        <v/>
      </c>
      <c r="B228" s="33" t="str">
        <f>IF(A228="","",IFERROR(VLOOKUP(VLOOKUP(VLOOKUP(A228,BILLING!$B:$I,7,FALSE),BOOKINGS!$A:$Q,3,FALSE),CLIENTS!$A:$H,2,FALSE),""))</f>
        <v/>
      </c>
      <c r="C228" s="38" t="str">
        <f>IF(A228="","",IFERROR(VLOOKUP(A228,BILLING!$B:$I,5,FALSE),0))</f>
        <v/>
      </c>
      <c r="D228" s="38"/>
      <c r="E228" s="38" t="str">
        <f t="shared" si="1"/>
        <v/>
      </c>
      <c r="F228" s="39"/>
      <c r="G228" s="33" t="str">
        <f t="shared" si="2"/>
        <v/>
      </c>
      <c r="H228" s="33" t="str">
        <f>IF(OR(A228="",F228=""),"",F228-VLOOKUP(A228,BILLING!$B:$I,7,FALSE))</f>
        <v/>
      </c>
      <c r="I228" s="33" t="str">
        <f>IF(A228="","",IF(E228&lt;=0,"Current",IF(TODAY()-VLOOKUP(A228,BILLING!$B:$I,7,FALSE)&lt;=30,"0-30 Days",IF(TODAY()-VLOOKUP(A228,BILLING!$B:$I,7,FALSE)&lt;=60,"31-60 Days","61+ Days"))))</f>
        <v/>
      </c>
    </row>
    <row r="229" ht="15.75" customHeight="1">
      <c r="A229" s="33" t="str">
        <f>IF(BILLING!B229="","",BILLING!B229)</f>
        <v/>
      </c>
      <c r="B229" s="33" t="str">
        <f>IF(A229="","",IFERROR(VLOOKUP(VLOOKUP(VLOOKUP(A229,BILLING!$B:$I,7,FALSE),BOOKINGS!$A:$Q,3,FALSE),CLIENTS!$A:$H,2,FALSE),""))</f>
        <v/>
      </c>
      <c r="C229" s="38" t="str">
        <f>IF(A229="","",IFERROR(VLOOKUP(A229,BILLING!$B:$I,5,FALSE),0))</f>
        <v/>
      </c>
      <c r="D229" s="38"/>
      <c r="E229" s="38" t="str">
        <f t="shared" si="1"/>
        <v/>
      </c>
      <c r="F229" s="39"/>
      <c r="G229" s="33" t="str">
        <f t="shared" si="2"/>
        <v/>
      </c>
      <c r="H229" s="33" t="str">
        <f>IF(OR(A229="",F229=""),"",F229-VLOOKUP(A229,BILLING!$B:$I,7,FALSE))</f>
        <v/>
      </c>
      <c r="I229" s="33" t="str">
        <f>IF(A229="","",IF(E229&lt;=0,"Current",IF(TODAY()-VLOOKUP(A229,BILLING!$B:$I,7,FALSE)&lt;=30,"0-30 Days",IF(TODAY()-VLOOKUP(A229,BILLING!$B:$I,7,FALSE)&lt;=60,"31-60 Days","61+ Days"))))</f>
        <v/>
      </c>
    </row>
    <row r="230" ht="15.75" customHeight="1">
      <c r="A230" s="33" t="str">
        <f>IF(BILLING!B230="","",BILLING!B230)</f>
        <v/>
      </c>
      <c r="B230" s="33" t="str">
        <f>IF(A230="","",IFERROR(VLOOKUP(VLOOKUP(VLOOKUP(A230,BILLING!$B:$I,7,FALSE),BOOKINGS!$A:$Q,3,FALSE),CLIENTS!$A:$H,2,FALSE),""))</f>
        <v/>
      </c>
      <c r="C230" s="38" t="str">
        <f>IF(A230="","",IFERROR(VLOOKUP(A230,BILLING!$B:$I,5,FALSE),0))</f>
        <v/>
      </c>
      <c r="D230" s="38"/>
      <c r="E230" s="38" t="str">
        <f t="shared" si="1"/>
        <v/>
      </c>
      <c r="F230" s="39"/>
      <c r="G230" s="33" t="str">
        <f t="shared" si="2"/>
        <v/>
      </c>
      <c r="H230" s="33" t="str">
        <f>IF(OR(A230="",F230=""),"",F230-VLOOKUP(A230,BILLING!$B:$I,7,FALSE))</f>
        <v/>
      </c>
      <c r="I230" s="33" t="str">
        <f>IF(A230="","",IF(E230&lt;=0,"Current",IF(TODAY()-VLOOKUP(A230,BILLING!$B:$I,7,FALSE)&lt;=30,"0-30 Days",IF(TODAY()-VLOOKUP(A230,BILLING!$B:$I,7,FALSE)&lt;=60,"31-60 Days","61+ Days"))))</f>
        <v/>
      </c>
    </row>
    <row r="231" ht="15.75" customHeight="1">
      <c r="A231" s="33" t="str">
        <f>IF(BILLING!B231="","",BILLING!B231)</f>
        <v/>
      </c>
      <c r="B231" s="33" t="str">
        <f>IF(A231="","",IFERROR(VLOOKUP(VLOOKUP(VLOOKUP(A231,BILLING!$B:$I,7,FALSE),BOOKINGS!$A:$Q,3,FALSE),CLIENTS!$A:$H,2,FALSE),""))</f>
        <v/>
      </c>
      <c r="C231" s="38" t="str">
        <f>IF(A231="","",IFERROR(VLOOKUP(A231,BILLING!$B:$I,5,FALSE),0))</f>
        <v/>
      </c>
      <c r="D231" s="38"/>
      <c r="E231" s="38" t="str">
        <f t="shared" si="1"/>
        <v/>
      </c>
      <c r="F231" s="39"/>
      <c r="G231" s="33" t="str">
        <f t="shared" si="2"/>
        <v/>
      </c>
      <c r="H231" s="33" t="str">
        <f>IF(OR(A231="",F231=""),"",F231-VLOOKUP(A231,BILLING!$B:$I,7,FALSE))</f>
        <v/>
      </c>
      <c r="I231" s="33" t="str">
        <f>IF(A231="","",IF(E231&lt;=0,"Current",IF(TODAY()-VLOOKUP(A231,BILLING!$B:$I,7,FALSE)&lt;=30,"0-30 Days",IF(TODAY()-VLOOKUP(A231,BILLING!$B:$I,7,FALSE)&lt;=60,"31-60 Days","61+ Days"))))</f>
        <v/>
      </c>
    </row>
    <row r="232" ht="15.75" customHeight="1">
      <c r="A232" s="33" t="str">
        <f>IF(BILLING!B232="","",BILLING!B232)</f>
        <v/>
      </c>
      <c r="B232" s="33" t="str">
        <f>IF(A232="","",IFERROR(VLOOKUP(VLOOKUP(VLOOKUP(A232,BILLING!$B:$I,7,FALSE),BOOKINGS!$A:$Q,3,FALSE),CLIENTS!$A:$H,2,FALSE),""))</f>
        <v/>
      </c>
      <c r="C232" s="38" t="str">
        <f>IF(A232="","",IFERROR(VLOOKUP(A232,BILLING!$B:$I,5,FALSE),0))</f>
        <v/>
      </c>
      <c r="D232" s="38"/>
      <c r="E232" s="38" t="str">
        <f t="shared" si="1"/>
        <v/>
      </c>
      <c r="F232" s="39"/>
      <c r="G232" s="33" t="str">
        <f t="shared" si="2"/>
        <v/>
      </c>
      <c r="H232" s="33" t="str">
        <f>IF(OR(A232="",F232=""),"",F232-VLOOKUP(A232,BILLING!$B:$I,7,FALSE))</f>
        <v/>
      </c>
      <c r="I232" s="33" t="str">
        <f>IF(A232="","",IF(E232&lt;=0,"Current",IF(TODAY()-VLOOKUP(A232,BILLING!$B:$I,7,FALSE)&lt;=30,"0-30 Days",IF(TODAY()-VLOOKUP(A232,BILLING!$B:$I,7,FALSE)&lt;=60,"31-60 Days","61+ Days"))))</f>
        <v/>
      </c>
    </row>
    <row r="233" ht="15.75" customHeight="1">
      <c r="A233" s="33" t="str">
        <f>IF(BILLING!B233="","",BILLING!B233)</f>
        <v/>
      </c>
      <c r="B233" s="33" t="str">
        <f>IF(A233="","",IFERROR(VLOOKUP(VLOOKUP(VLOOKUP(A233,BILLING!$B:$I,7,FALSE),BOOKINGS!$A:$Q,3,FALSE),CLIENTS!$A:$H,2,FALSE),""))</f>
        <v/>
      </c>
      <c r="C233" s="38" t="str">
        <f>IF(A233="","",IFERROR(VLOOKUP(A233,BILLING!$B:$I,5,FALSE),0))</f>
        <v/>
      </c>
      <c r="D233" s="38"/>
      <c r="E233" s="38" t="str">
        <f t="shared" si="1"/>
        <v/>
      </c>
      <c r="F233" s="39"/>
      <c r="G233" s="33" t="str">
        <f t="shared" si="2"/>
        <v/>
      </c>
      <c r="H233" s="33" t="str">
        <f>IF(OR(A233="",F233=""),"",F233-VLOOKUP(A233,BILLING!$B:$I,7,FALSE))</f>
        <v/>
      </c>
      <c r="I233" s="33" t="str">
        <f>IF(A233="","",IF(E233&lt;=0,"Current",IF(TODAY()-VLOOKUP(A233,BILLING!$B:$I,7,FALSE)&lt;=30,"0-30 Days",IF(TODAY()-VLOOKUP(A233,BILLING!$B:$I,7,FALSE)&lt;=60,"31-60 Days","61+ Days"))))</f>
        <v/>
      </c>
    </row>
    <row r="234" ht="15.75" customHeight="1">
      <c r="A234" s="33" t="str">
        <f>IF(BILLING!B234="","",BILLING!B234)</f>
        <v/>
      </c>
      <c r="B234" s="33" t="str">
        <f>IF(A234="","",IFERROR(VLOOKUP(VLOOKUP(VLOOKUP(A234,BILLING!$B:$I,7,FALSE),BOOKINGS!$A:$Q,3,FALSE),CLIENTS!$A:$H,2,FALSE),""))</f>
        <v/>
      </c>
      <c r="C234" s="38" t="str">
        <f>IF(A234="","",IFERROR(VLOOKUP(A234,BILLING!$B:$I,5,FALSE),0))</f>
        <v/>
      </c>
      <c r="D234" s="38"/>
      <c r="E234" s="38" t="str">
        <f t="shared" si="1"/>
        <v/>
      </c>
      <c r="F234" s="39"/>
      <c r="G234" s="33" t="str">
        <f t="shared" si="2"/>
        <v/>
      </c>
      <c r="H234" s="33" t="str">
        <f>IF(OR(A234="",F234=""),"",F234-VLOOKUP(A234,BILLING!$B:$I,7,FALSE))</f>
        <v/>
      </c>
      <c r="I234" s="33" t="str">
        <f>IF(A234="","",IF(E234&lt;=0,"Current",IF(TODAY()-VLOOKUP(A234,BILLING!$B:$I,7,FALSE)&lt;=30,"0-30 Days",IF(TODAY()-VLOOKUP(A234,BILLING!$B:$I,7,FALSE)&lt;=60,"31-60 Days","61+ Days"))))</f>
        <v/>
      </c>
    </row>
    <row r="235" ht="15.75" customHeight="1">
      <c r="A235" s="33" t="str">
        <f>IF(BILLING!B235="","",BILLING!B235)</f>
        <v/>
      </c>
      <c r="B235" s="33" t="str">
        <f>IF(A235="","",IFERROR(VLOOKUP(VLOOKUP(VLOOKUP(A235,BILLING!$B:$I,7,FALSE),BOOKINGS!$A:$Q,3,FALSE),CLIENTS!$A:$H,2,FALSE),""))</f>
        <v/>
      </c>
      <c r="C235" s="38" t="str">
        <f>IF(A235="","",IFERROR(VLOOKUP(A235,BILLING!$B:$I,5,FALSE),0))</f>
        <v/>
      </c>
      <c r="D235" s="38"/>
      <c r="E235" s="38" t="str">
        <f t="shared" si="1"/>
        <v/>
      </c>
      <c r="F235" s="39"/>
      <c r="G235" s="33" t="str">
        <f t="shared" si="2"/>
        <v/>
      </c>
      <c r="H235" s="33" t="str">
        <f>IF(OR(A235="",F235=""),"",F235-VLOOKUP(A235,BILLING!$B:$I,7,FALSE))</f>
        <v/>
      </c>
      <c r="I235" s="33" t="str">
        <f>IF(A235="","",IF(E235&lt;=0,"Current",IF(TODAY()-VLOOKUP(A235,BILLING!$B:$I,7,FALSE)&lt;=30,"0-30 Days",IF(TODAY()-VLOOKUP(A235,BILLING!$B:$I,7,FALSE)&lt;=60,"31-60 Days","61+ Days"))))</f>
        <v/>
      </c>
    </row>
    <row r="236" ht="15.75" customHeight="1">
      <c r="A236" s="33" t="str">
        <f>IF(BILLING!B236="","",BILLING!B236)</f>
        <v/>
      </c>
      <c r="B236" s="33" t="str">
        <f>IF(A236="","",IFERROR(VLOOKUP(VLOOKUP(VLOOKUP(A236,BILLING!$B:$I,7,FALSE),BOOKINGS!$A:$Q,3,FALSE),CLIENTS!$A:$H,2,FALSE),""))</f>
        <v/>
      </c>
      <c r="C236" s="38" t="str">
        <f>IF(A236="","",IFERROR(VLOOKUP(A236,BILLING!$B:$I,5,FALSE),0))</f>
        <v/>
      </c>
      <c r="D236" s="38"/>
      <c r="E236" s="38" t="str">
        <f t="shared" si="1"/>
        <v/>
      </c>
      <c r="F236" s="39"/>
      <c r="G236" s="33" t="str">
        <f t="shared" si="2"/>
        <v/>
      </c>
      <c r="H236" s="33" t="str">
        <f>IF(OR(A236="",F236=""),"",F236-VLOOKUP(A236,BILLING!$B:$I,7,FALSE))</f>
        <v/>
      </c>
      <c r="I236" s="33" t="str">
        <f>IF(A236="","",IF(E236&lt;=0,"Current",IF(TODAY()-VLOOKUP(A236,BILLING!$B:$I,7,FALSE)&lt;=30,"0-30 Days",IF(TODAY()-VLOOKUP(A236,BILLING!$B:$I,7,FALSE)&lt;=60,"31-60 Days","61+ Days"))))</f>
        <v/>
      </c>
    </row>
    <row r="237" ht="15.75" customHeight="1">
      <c r="A237" s="33" t="str">
        <f>IF(BILLING!B237="","",BILLING!B237)</f>
        <v/>
      </c>
      <c r="B237" s="33" t="str">
        <f>IF(A237="","",IFERROR(VLOOKUP(VLOOKUP(VLOOKUP(A237,BILLING!$B:$I,7,FALSE),BOOKINGS!$A:$Q,3,FALSE),CLIENTS!$A:$H,2,FALSE),""))</f>
        <v/>
      </c>
      <c r="C237" s="38" t="str">
        <f>IF(A237="","",IFERROR(VLOOKUP(A237,BILLING!$B:$I,5,FALSE),0))</f>
        <v/>
      </c>
      <c r="D237" s="38"/>
      <c r="E237" s="38" t="str">
        <f t="shared" si="1"/>
        <v/>
      </c>
      <c r="F237" s="39"/>
      <c r="G237" s="33" t="str">
        <f t="shared" si="2"/>
        <v/>
      </c>
      <c r="H237" s="33" t="str">
        <f>IF(OR(A237="",F237=""),"",F237-VLOOKUP(A237,BILLING!$B:$I,7,FALSE))</f>
        <v/>
      </c>
      <c r="I237" s="33" t="str">
        <f>IF(A237="","",IF(E237&lt;=0,"Current",IF(TODAY()-VLOOKUP(A237,BILLING!$B:$I,7,FALSE)&lt;=30,"0-30 Days",IF(TODAY()-VLOOKUP(A237,BILLING!$B:$I,7,FALSE)&lt;=60,"31-60 Days","61+ Days"))))</f>
        <v/>
      </c>
    </row>
    <row r="238" ht="15.75" customHeight="1">
      <c r="A238" s="33" t="str">
        <f>IF(BILLING!B238="","",BILLING!B238)</f>
        <v/>
      </c>
      <c r="B238" s="33" t="str">
        <f>IF(A238="","",IFERROR(VLOOKUP(VLOOKUP(VLOOKUP(A238,BILLING!$B:$I,7,FALSE),BOOKINGS!$A:$Q,3,FALSE),CLIENTS!$A:$H,2,FALSE),""))</f>
        <v/>
      </c>
      <c r="C238" s="38" t="str">
        <f>IF(A238="","",IFERROR(VLOOKUP(A238,BILLING!$B:$I,5,FALSE),0))</f>
        <v/>
      </c>
      <c r="D238" s="38"/>
      <c r="E238" s="38" t="str">
        <f t="shared" si="1"/>
        <v/>
      </c>
      <c r="F238" s="39"/>
      <c r="G238" s="33" t="str">
        <f t="shared" si="2"/>
        <v/>
      </c>
      <c r="H238" s="33" t="str">
        <f>IF(OR(A238="",F238=""),"",F238-VLOOKUP(A238,BILLING!$B:$I,7,FALSE))</f>
        <v/>
      </c>
      <c r="I238" s="33" t="str">
        <f>IF(A238="","",IF(E238&lt;=0,"Current",IF(TODAY()-VLOOKUP(A238,BILLING!$B:$I,7,FALSE)&lt;=30,"0-30 Days",IF(TODAY()-VLOOKUP(A238,BILLING!$B:$I,7,FALSE)&lt;=60,"31-60 Days","61+ Days"))))</f>
        <v/>
      </c>
    </row>
    <row r="239" ht="15.75" customHeight="1">
      <c r="A239" s="33" t="str">
        <f>IF(BILLING!B239="","",BILLING!B239)</f>
        <v/>
      </c>
      <c r="B239" s="33" t="str">
        <f>IF(A239="","",IFERROR(VLOOKUP(VLOOKUP(VLOOKUP(A239,BILLING!$B:$I,7,FALSE),BOOKINGS!$A:$Q,3,FALSE),CLIENTS!$A:$H,2,FALSE),""))</f>
        <v/>
      </c>
      <c r="C239" s="38" t="str">
        <f>IF(A239="","",IFERROR(VLOOKUP(A239,BILLING!$B:$I,5,FALSE),0))</f>
        <v/>
      </c>
      <c r="D239" s="38"/>
      <c r="E239" s="38" t="str">
        <f t="shared" si="1"/>
        <v/>
      </c>
      <c r="F239" s="39"/>
      <c r="G239" s="33" t="str">
        <f t="shared" si="2"/>
        <v/>
      </c>
      <c r="H239" s="33" t="str">
        <f>IF(OR(A239="",F239=""),"",F239-VLOOKUP(A239,BILLING!$B:$I,7,FALSE))</f>
        <v/>
      </c>
      <c r="I239" s="33" t="str">
        <f>IF(A239="","",IF(E239&lt;=0,"Current",IF(TODAY()-VLOOKUP(A239,BILLING!$B:$I,7,FALSE)&lt;=30,"0-30 Days",IF(TODAY()-VLOOKUP(A239,BILLING!$B:$I,7,FALSE)&lt;=60,"31-60 Days","61+ Days"))))</f>
        <v/>
      </c>
    </row>
    <row r="240" ht="15.75" customHeight="1">
      <c r="A240" s="33" t="str">
        <f>IF(BILLING!B240="","",BILLING!B240)</f>
        <v/>
      </c>
      <c r="B240" s="33" t="str">
        <f>IF(A240="","",IFERROR(VLOOKUP(VLOOKUP(VLOOKUP(A240,BILLING!$B:$I,7,FALSE),BOOKINGS!$A:$Q,3,FALSE),CLIENTS!$A:$H,2,FALSE),""))</f>
        <v/>
      </c>
      <c r="C240" s="38" t="str">
        <f>IF(A240="","",IFERROR(VLOOKUP(A240,BILLING!$B:$I,5,FALSE),0))</f>
        <v/>
      </c>
      <c r="D240" s="38"/>
      <c r="E240" s="38" t="str">
        <f t="shared" si="1"/>
        <v/>
      </c>
      <c r="F240" s="39"/>
      <c r="G240" s="33" t="str">
        <f t="shared" si="2"/>
        <v/>
      </c>
      <c r="H240" s="33" t="str">
        <f>IF(OR(A240="",F240=""),"",F240-VLOOKUP(A240,BILLING!$B:$I,7,FALSE))</f>
        <v/>
      </c>
      <c r="I240" s="33" t="str">
        <f>IF(A240="","",IF(E240&lt;=0,"Current",IF(TODAY()-VLOOKUP(A240,BILLING!$B:$I,7,FALSE)&lt;=30,"0-30 Days",IF(TODAY()-VLOOKUP(A240,BILLING!$B:$I,7,FALSE)&lt;=60,"31-60 Days","61+ Days"))))</f>
        <v/>
      </c>
    </row>
    <row r="241" ht="15.75" customHeight="1">
      <c r="A241" s="33" t="str">
        <f>IF(BILLING!B241="","",BILLING!B241)</f>
        <v/>
      </c>
      <c r="B241" s="33" t="str">
        <f>IF(A241="","",IFERROR(VLOOKUP(VLOOKUP(VLOOKUP(A241,BILLING!$B:$I,7,FALSE),BOOKINGS!$A:$Q,3,FALSE),CLIENTS!$A:$H,2,FALSE),""))</f>
        <v/>
      </c>
      <c r="C241" s="38" t="str">
        <f>IF(A241="","",IFERROR(VLOOKUP(A241,BILLING!$B:$I,5,FALSE),0))</f>
        <v/>
      </c>
      <c r="D241" s="38"/>
      <c r="E241" s="38" t="str">
        <f t="shared" si="1"/>
        <v/>
      </c>
      <c r="F241" s="39"/>
      <c r="G241" s="33" t="str">
        <f t="shared" si="2"/>
        <v/>
      </c>
      <c r="H241" s="33" t="str">
        <f>IF(OR(A241="",F241=""),"",F241-VLOOKUP(A241,BILLING!$B:$I,7,FALSE))</f>
        <v/>
      </c>
      <c r="I241" s="33" t="str">
        <f>IF(A241="","",IF(E241&lt;=0,"Current",IF(TODAY()-VLOOKUP(A241,BILLING!$B:$I,7,FALSE)&lt;=30,"0-30 Days",IF(TODAY()-VLOOKUP(A241,BILLING!$B:$I,7,FALSE)&lt;=60,"31-60 Days","61+ Days"))))</f>
        <v/>
      </c>
    </row>
    <row r="242" ht="15.75" customHeight="1">
      <c r="A242" s="33" t="str">
        <f>IF(BILLING!B242="","",BILLING!B242)</f>
        <v/>
      </c>
      <c r="B242" s="33" t="str">
        <f>IF(A242="","",IFERROR(VLOOKUP(VLOOKUP(VLOOKUP(A242,BILLING!$B:$I,7,FALSE),BOOKINGS!$A:$Q,3,FALSE),CLIENTS!$A:$H,2,FALSE),""))</f>
        <v/>
      </c>
      <c r="C242" s="38" t="str">
        <f>IF(A242="","",IFERROR(VLOOKUP(A242,BILLING!$B:$I,5,FALSE),0))</f>
        <v/>
      </c>
      <c r="D242" s="38"/>
      <c r="E242" s="38" t="str">
        <f t="shared" si="1"/>
        <v/>
      </c>
      <c r="F242" s="39"/>
      <c r="G242" s="33" t="str">
        <f t="shared" si="2"/>
        <v/>
      </c>
      <c r="H242" s="33" t="str">
        <f>IF(OR(A242="",F242=""),"",F242-VLOOKUP(A242,BILLING!$B:$I,7,FALSE))</f>
        <v/>
      </c>
      <c r="I242" s="33" t="str">
        <f>IF(A242="","",IF(E242&lt;=0,"Current",IF(TODAY()-VLOOKUP(A242,BILLING!$B:$I,7,FALSE)&lt;=30,"0-30 Days",IF(TODAY()-VLOOKUP(A242,BILLING!$B:$I,7,FALSE)&lt;=60,"31-60 Days","61+ Days"))))</f>
        <v/>
      </c>
    </row>
    <row r="243" ht="15.75" customHeight="1">
      <c r="A243" s="33" t="str">
        <f>IF(BILLING!B243="","",BILLING!B243)</f>
        <v/>
      </c>
      <c r="B243" s="33" t="str">
        <f>IF(A243="","",IFERROR(VLOOKUP(VLOOKUP(VLOOKUP(A243,BILLING!$B:$I,7,FALSE),BOOKINGS!$A:$Q,3,FALSE),CLIENTS!$A:$H,2,FALSE),""))</f>
        <v/>
      </c>
      <c r="C243" s="38" t="str">
        <f>IF(A243="","",IFERROR(VLOOKUP(A243,BILLING!$B:$I,5,FALSE),0))</f>
        <v/>
      </c>
      <c r="D243" s="38"/>
      <c r="E243" s="38" t="str">
        <f t="shared" si="1"/>
        <v/>
      </c>
      <c r="F243" s="39"/>
      <c r="G243" s="33" t="str">
        <f t="shared" si="2"/>
        <v/>
      </c>
      <c r="H243" s="33" t="str">
        <f>IF(OR(A243="",F243=""),"",F243-VLOOKUP(A243,BILLING!$B:$I,7,FALSE))</f>
        <v/>
      </c>
      <c r="I243" s="33" t="str">
        <f>IF(A243="","",IF(E243&lt;=0,"Current",IF(TODAY()-VLOOKUP(A243,BILLING!$B:$I,7,FALSE)&lt;=30,"0-30 Days",IF(TODAY()-VLOOKUP(A243,BILLING!$B:$I,7,FALSE)&lt;=60,"31-60 Days","61+ Days"))))</f>
        <v/>
      </c>
    </row>
    <row r="244" ht="15.75" customHeight="1">
      <c r="A244" s="33" t="str">
        <f>IF(BILLING!B244="","",BILLING!B244)</f>
        <v/>
      </c>
      <c r="B244" s="33" t="str">
        <f>IF(A244="","",IFERROR(VLOOKUP(VLOOKUP(VLOOKUP(A244,BILLING!$B:$I,7,FALSE),BOOKINGS!$A:$Q,3,FALSE),CLIENTS!$A:$H,2,FALSE),""))</f>
        <v/>
      </c>
      <c r="C244" s="38" t="str">
        <f>IF(A244="","",IFERROR(VLOOKUP(A244,BILLING!$B:$I,5,FALSE),0))</f>
        <v/>
      </c>
      <c r="D244" s="38"/>
      <c r="E244" s="38" t="str">
        <f t="shared" si="1"/>
        <v/>
      </c>
      <c r="F244" s="39"/>
      <c r="G244" s="33" t="str">
        <f t="shared" si="2"/>
        <v/>
      </c>
      <c r="H244" s="33" t="str">
        <f>IF(OR(A244="",F244=""),"",F244-VLOOKUP(A244,BILLING!$B:$I,7,FALSE))</f>
        <v/>
      </c>
      <c r="I244" s="33" t="str">
        <f>IF(A244="","",IF(E244&lt;=0,"Current",IF(TODAY()-VLOOKUP(A244,BILLING!$B:$I,7,FALSE)&lt;=30,"0-30 Days",IF(TODAY()-VLOOKUP(A244,BILLING!$B:$I,7,FALSE)&lt;=60,"31-60 Days","61+ Days"))))</f>
        <v/>
      </c>
    </row>
    <row r="245" ht="15.75" customHeight="1">
      <c r="A245" s="33" t="str">
        <f>IF(BILLING!B245="","",BILLING!B245)</f>
        <v/>
      </c>
      <c r="B245" s="33" t="str">
        <f>IF(A245="","",IFERROR(VLOOKUP(VLOOKUP(VLOOKUP(A245,BILLING!$B:$I,7,FALSE),BOOKINGS!$A:$Q,3,FALSE),CLIENTS!$A:$H,2,FALSE),""))</f>
        <v/>
      </c>
      <c r="C245" s="38" t="str">
        <f>IF(A245="","",IFERROR(VLOOKUP(A245,BILLING!$B:$I,5,FALSE),0))</f>
        <v/>
      </c>
      <c r="D245" s="38"/>
      <c r="E245" s="38" t="str">
        <f t="shared" si="1"/>
        <v/>
      </c>
      <c r="F245" s="39"/>
      <c r="G245" s="33" t="str">
        <f t="shared" si="2"/>
        <v/>
      </c>
      <c r="H245" s="33" t="str">
        <f>IF(OR(A245="",F245=""),"",F245-VLOOKUP(A245,BILLING!$B:$I,7,FALSE))</f>
        <v/>
      </c>
      <c r="I245" s="33" t="str">
        <f>IF(A245="","",IF(E245&lt;=0,"Current",IF(TODAY()-VLOOKUP(A245,BILLING!$B:$I,7,FALSE)&lt;=30,"0-30 Days",IF(TODAY()-VLOOKUP(A245,BILLING!$B:$I,7,FALSE)&lt;=60,"31-60 Days","61+ Days"))))</f>
        <v/>
      </c>
    </row>
    <row r="246" ht="15.75" customHeight="1">
      <c r="A246" s="33" t="str">
        <f>IF(BILLING!B246="","",BILLING!B246)</f>
        <v/>
      </c>
      <c r="B246" s="33" t="str">
        <f>IF(A246="","",IFERROR(VLOOKUP(VLOOKUP(VLOOKUP(A246,BILLING!$B:$I,7,FALSE),BOOKINGS!$A:$Q,3,FALSE),CLIENTS!$A:$H,2,FALSE),""))</f>
        <v/>
      </c>
      <c r="C246" s="38" t="str">
        <f>IF(A246="","",IFERROR(VLOOKUP(A246,BILLING!$B:$I,5,FALSE),0))</f>
        <v/>
      </c>
      <c r="D246" s="38"/>
      <c r="E246" s="38" t="str">
        <f t="shared" si="1"/>
        <v/>
      </c>
      <c r="F246" s="39"/>
      <c r="G246" s="33" t="str">
        <f t="shared" si="2"/>
        <v/>
      </c>
      <c r="H246" s="33" t="str">
        <f>IF(OR(A246="",F246=""),"",F246-VLOOKUP(A246,BILLING!$B:$I,7,FALSE))</f>
        <v/>
      </c>
      <c r="I246" s="33" t="str">
        <f>IF(A246="","",IF(E246&lt;=0,"Current",IF(TODAY()-VLOOKUP(A246,BILLING!$B:$I,7,FALSE)&lt;=30,"0-30 Days",IF(TODAY()-VLOOKUP(A246,BILLING!$B:$I,7,FALSE)&lt;=60,"31-60 Days","61+ Days"))))</f>
        <v/>
      </c>
    </row>
    <row r="247" ht="15.75" customHeight="1">
      <c r="A247" s="33" t="str">
        <f>IF(BILLING!B247="","",BILLING!B247)</f>
        <v/>
      </c>
      <c r="B247" s="33" t="str">
        <f>IF(A247="","",IFERROR(VLOOKUP(VLOOKUP(VLOOKUP(A247,BILLING!$B:$I,7,FALSE),BOOKINGS!$A:$Q,3,FALSE),CLIENTS!$A:$H,2,FALSE),""))</f>
        <v/>
      </c>
      <c r="C247" s="38" t="str">
        <f>IF(A247="","",IFERROR(VLOOKUP(A247,BILLING!$B:$I,5,FALSE),0))</f>
        <v/>
      </c>
      <c r="D247" s="38"/>
      <c r="E247" s="38" t="str">
        <f t="shared" si="1"/>
        <v/>
      </c>
      <c r="F247" s="39"/>
      <c r="G247" s="33" t="str">
        <f t="shared" si="2"/>
        <v/>
      </c>
      <c r="H247" s="33" t="str">
        <f>IF(OR(A247="",F247=""),"",F247-VLOOKUP(A247,BILLING!$B:$I,7,FALSE))</f>
        <v/>
      </c>
      <c r="I247" s="33" t="str">
        <f>IF(A247="","",IF(E247&lt;=0,"Current",IF(TODAY()-VLOOKUP(A247,BILLING!$B:$I,7,FALSE)&lt;=30,"0-30 Days",IF(TODAY()-VLOOKUP(A247,BILLING!$B:$I,7,FALSE)&lt;=60,"31-60 Days","61+ Days"))))</f>
        <v/>
      </c>
    </row>
    <row r="248" ht="15.75" customHeight="1">
      <c r="A248" s="33" t="str">
        <f>IF(BILLING!B248="","",BILLING!B248)</f>
        <v/>
      </c>
      <c r="B248" s="33" t="str">
        <f>IF(A248="","",IFERROR(VLOOKUP(VLOOKUP(VLOOKUP(A248,BILLING!$B:$I,7,FALSE),BOOKINGS!$A:$Q,3,FALSE),CLIENTS!$A:$H,2,FALSE),""))</f>
        <v/>
      </c>
      <c r="C248" s="38" t="str">
        <f>IF(A248="","",IFERROR(VLOOKUP(A248,BILLING!$B:$I,5,FALSE),0))</f>
        <v/>
      </c>
      <c r="D248" s="38"/>
      <c r="E248" s="38" t="str">
        <f t="shared" si="1"/>
        <v/>
      </c>
      <c r="F248" s="39"/>
      <c r="G248" s="33" t="str">
        <f t="shared" si="2"/>
        <v/>
      </c>
      <c r="H248" s="33" t="str">
        <f>IF(OR(A248="",F248=""),"",F248-VLOOKUP(A248,BILLING!$B:$I,7,FALSE))</f>
        <v/>
      </c>
      <c r="I248" s="33" t="str">
        <f>IF(A248="","",IF(E248&lt;=0,"Current",IF(TODAY()-VLOOKUP(A248,BILLING!$B:$I,7,FALSE)&lt;=30,"0-30 Days",IF(TODAY()-VLOOKUP(A248,BILLING!$B:$I,7,FALSE)&lt;=60,"31-60 Days","61+ Days"))))</f>
        <v/>
      </c>
    </row>
    <row r="249" ht="15.75" customHeight="1">
      <c r="A249" s="33" t="str">
        <f>IF(BILLING!B249="","",BILLING!B249)</f>
        <v/>
      </c>
      <c r="B249" s="33" t="str">
        <f>IF(A249="","",IFERROR(VLOOKUP(VLOOKUP(VLOOKUP(A249,BILLING!$B:$I,7,FALSE),BOOKINGS!$A:$Q,3,FALSE),CLIENTS!$A:$H,2,FALSE),""))</f>
        <v/>
      </c>
      <c r="C249" s="38" t="str">
        <f>IF(A249="","",IFERROR(VLOOKUP(A249,BILLING!$B:$I,5,FALSE),0))</f>
        <v/>
      </c>
      <c r="D249" s="38"/>
      <c r="E249" s="38" t="str">
        <f t="shared" si="1"/>
        <v/>
      </c>
      <c r="F249" s="39"/>
      <c r="G249" s="33" t="str">
        <f t="shared" si="2"/>
        <v/>
      </c>
      <c r="H249" s="33" t="str">
        <f>IF(OR(A249="",F249=""),"",F249-VLOOKUP(A249,BILLING!$B:$I,7,FALSE))</f>
        <v/>
      </c>
      <c r="I249" s="33" t="str">
        <f>IF(A249="","",IF(E249&lt;=0,"Current",IF(TODAY()-VLOOKUP(A249,BILLING!$B:$I,7,FALSE)&lt;=30,"0-30 Days",IF(TODAY()-VLOOKUP(A249,BILLING!$B:$I,7,FALSE)&lt;=60,"31-60 Days","61+ Days"))))</f>
        <v/>
      </c>
    </row>
    <row r="250" ht="15.75" customHeight="1">
      <c r="A250" s="33" t="str">
        <f>IF(BILLING!B250="","",BILLING!B250)</f>
        <v/>
      </c>
      <c r="B250" s="33" t="str">
        <f>IF(A250="","",IFERROR(VLOOKUP(VLOOKUP(VLOOKUP(A250,BILLING!$B:$I,7,FALSE),BOOKINGS!$A:$Q,3,FALSE),CLIENTS!$A:$H,2,FALSE),""))</f>
        <v/>
      </c>
      <c r="C250" s="38" t="str">
        <f>IF(A250="","",IFERROR(VLOOKUP(A250,BILLING!$B:$I,5,FALSE),0))</f>
        <v/>
      </c>
      <c r="D250" s="38"/>
      <c r="E250" s="38" t="str">
        <f t="shared" si="1"/>
        <v/>
      </c>
      <c r="F250" s="39"/>
      <c r="G250" s="33" t="str">
        <f t="shared" si="2"/>
        <v/>
      </c>
      <c r="H250" s="33" t="str">
        <f>IF(OR(A250="",F250=""),"",F250-VLOOKUP(A250,BILLING!$B:$I,7,FALSE))</f>
        <v/>
      </c>
      <c r="I250" s="33" t="str">
        <f>IF(A250="","",IF(E250&lt;=0,"Current",IF(TODAY()-VLOOKUP(A250,BILLING!$B:$I,7,FALSE)&lt;=30,"0-30 Days",IF(TODAY()-VLOOKUP(A250,BILLING!$B:$I,7,FALSE)&lt;=60,"31-60 Days","61+ Days"))))</f>
        <v/>
      </c>
    </row>
    <row r="251" ht="15.75" customHeight="1">
      <c r="A251" s="33" t="str">
        <f>IF(BILLING!B251="","",BILLING!B251)</f>
        <v/>
      </c>
      <c r="B251" s="33" t="str">
        <f>IF(A251="","",IFERROR(VLOOKUP(VLOOKUP(VLOOKUP(A251,BILLING!$B:$I,7,FALSE),BOOKINGS!$A:$Q,3,FALSE),CLIENTS!$A:$H,2,FALSE),""))</f>
        <v/>
      </c>
      <c r="C251" s="38" t="str">
        <f>IF(A251="","",IFERROR(VLOOKUP(A251,BILLING!$B:$I,5,FALSE),0))</f>
        <v/>
      </c>
      <c r="D251" s="38"/>
      <c r="E251" s="38" t="str">
        <f t="shared" si="1"/>
        <v/>
      </c>
      <c r="F251" s="39"/>
      <c r="G251" s="33" t="str">
        <f t="shared" si="2"/>
        <v/>
      </c>
      <c r="H251" s="33" t="str">
        <f>IF(OR(A251="",F251=""),"",F251-VLOOKUP(A251,BILLING!$B:$I,7,FALSE))</f>
        <v/>
      </c>
      <c r="I251" s="33" t="str">
        <f>IF(A251="","",IF(E251&lt;=0,"Current",IF(TODAY()-VLOOKUP(A251,BILLING!$B:$I,7,FALSE)&lt;=30,"0-30 Days",IF(TODAY()-VLOOKUP(A251,BILLING!$B:$I,7,FALSE)&lt;=60,"31-60 Days","61+ Days"))))</f>
        <v/>
      </c>
    </row>
    <row r="252" ht="15.75" customHeight="1">
      <c r="A252" s="33" t="str">
        <f>IF(BILLING!B252="","",BILLING!B252)</f>
        <v/>
      </c>
      <c r="B252" s="33" t="str">
        <f>IF(A252="","",IFERROR(VLOOKUP(VLOOKUP(VLOOKUP(A252,BILLING!$B:$I,7,FALSE),BOOKINGS!$A:$Q,3,FALSE),CLIENTS!$A:$H,2,FALSE),""))</f>
        <v/>
      </c>
      <c r="C252" s="38" t="str">
        <f>IF(A252="","",IFERROR(VLOOKUP(A252,BILLING!$B:$I,5,FALSE),0))</f>
        <v/>
      </c>
      <c r="D252" s="38"/>
      <c r="E252" s="38" t="str">
        <f t="shared" si="1"/>
        <v/>
      </c>
      <c r="F252" s="39"/>
      <c r="G252" s="33" t="str">
        <f t="shared" si="2"/>
        <v/>
      </c>
      <c r="H252" s="33" t="str">
        <f>IF(OR(A252="",F252=""),"",F252-VLOOKUP(A252,BILLING!$B:$I,7,FALSE))</f>
        <v/>
      </c>
      <c r="I252" s="33" t="str">
        <f>IF(A252="","",IF(E252&lt;=0,"Current",IF(TODAY()-VLOOKUP(A252,BILLING!$B:$I,7,FALSE)&lt;=30,"0-30 Days",IF(TODAY()-VLOOKUP(A252,BILLING!$B:$I,7,FALSE)&lt;=60,"31-60 Days","61+ Days"))))</f>
        <v/>
      </c>
    </row>
    <row r="253" ht="15.75" customHeight="1">
      <c r="A253" s="33" t="str">
        <f>IF(BILLING!B253="","",BILLING!B253)</f>
        <v/>
      </c>
      <c r="B253" s="33" t="str">
        <f>IF(A253="","",IFERROR(VLOOKUP(VLOOKUP(VLOOKUP(A253,BILLING!$B:$I,7,FALSE),BOOKINGS!$A:$Q,3,FALSE),CLIENTS!$A:$H,2,FALSE),""))</f>
        <v/>
      </c>
      <c r="C253" s="38" t="str">
        <f>IF(A253="","",IFERROR(VLOOKUP(A253,BILLING!$B:$I,5,FALSE),0))</f>
        <v/>
      </c>
      <c r="D253" s="38"/>
      <c r="E253" s="38" t="str">
        <f t="shared" si="1"/>
        <v/>
      </c>
      <c r="F253" s="39"/>
      <c r="G253" s="33" t="str">
        <f t="shared" si="2"/>
        <v/>
      </c>
      <c r="H253" s="33" t="str">
        <f>IF(OR(A253="",F253=""),"",F253-VLOOKUP(A253,BILLING!$B:$I,7,FALSE))</f>
        <v/>
      </c>
      <c r="I253" s="33" t="str">
        <f>IF(A253="","",IF(E253&lt;=0,"Current",IF(TODAY()-VLOOKUP(A253,BILLING!$B:$I,7,FALSE)&lt;=30,"0-30 Days",IF(TODAY()-VLOOKUP(A253,BILLING!$B:$I,7,FALSE)&lt;=60,"31-60 Days","61+ Days"))))</f>
        <v/>
      </c>
    </row>
    <row r="254" ht="15.75" customHeight="1">
      <c r="A254" s="33" t="str">
        <f>IF(BILLING!B254="","",BILLING!B254)</f>
        <v/>
      </c>
      <c r="B254" s="33" t="str">
        <f>IF(A254="","",IFERROR(VLOOKUP(VLOOKUP(VLOOKUP(A254,BILLING!$B:$I,7,FALSE),BOOKINGS!$A:$Q,3,FALSE),CLIENTS!$A:$H,2,FALSE),""))</f>
        <v/>
      </c>
      <c r="C254" s="38" t="str">
        <f>IF(A254="","",IFERROR(VLOOKUP(A254,BILLING!$B:$I,5,FALSE),0))</f>
        <v/>
      </c>
      <c r="D254" s="38"/>
      <c r="E254" s="38" t="str">
        <f t="shared" si="1"/>
        <v/>
      </c>
      <c r="F254" s="39"/>
      <c r="G254" s="33" t="str">
        <f t="shared" si="2"/>
        <v/>
      </c>
      <c r="H254" s="33" t="str">
        <f>IF(OR(A254="",F254=""),"",F254-VLOOKUP(A254,BILLING!$B:$I,7,FALSE))</f>
        <v/>
      </c>
      <c r="I254" s="33" t="str">
        <f>IF(A254="","",IF(E254&lt;=0,"Current",IF(TODAY()-VLOOKUP(A254,BILLING!$B:$I,7,FALSE)&lt;=30,"0-30 Days",IF(TODAY()-VLOOKUP(A254,BILLING!$B:$I,7,FALSE)&lt;=60,"31-60 Days","61+ Days"))))</f>
        <v/>
      </c>
    </row>
    <row r="255" ht="15.75" customHeight="1">
      <c r="A255" s="33" t="str">
        <f>IF(BILLING!B255="","",BILLING!B255)</f>
        <v/>
      </c>
      <c r="B255" s="33" t="str">
        <f>IF(A255="","",IFERROR(VLOOKUP(VLOOKUP(VLOOKUP(A255,BILLING!$B:$I,7,FALSE),BOOKINGS!$A:$Q,3,FALSE),CLIENTS!$A:$H,2,FALSE),""))</f>
        <v/>
      </c>
      <c r="C255" s="38" t="str">
        <f>IF(A255="","",IFERROR(VLOOKUP(A255,BILLING!$B:$I,5,FALSE),0))</f>
        <v/>
      </c>
      <c r="D255" s="38"/>
      <c r="E255" s="38" t="str">
        <f t="shared" si="1"/>
        <v/>
      </c>
      <c r="F255" s="39"/>
      <c r="G255" s="33" t="str">
        <f t="shared" si="2"/>
        <v/>
      </c>
      <c r="H255" s="33" t="str">
        <f>IF(OR(A255="",F255=""),"",F255-VLOOKUP(A255,BILLING!$B:$I,7,FALSE))</f>
        <v/>
      </c>
      <c r="I255" s="33" t="str">
        <f>IF(A255="","",IF(E255&lt;=0,"Current",IF(TODAY()-VLOOKUP(A255,BILLING!$B:$I,7,FALSE)&lt;=30,"0-30 Days",IF(TODAY()-VLOOKUP(A255,BILLING!$B:$I,7,FALSE)&lt;=60,"31-60 Days","61+ Days"))))</f>
        <v/>
      </c>
    </row>
    <row r="256" ht="15.75" customHeight="1">
      <c r="A256" s="33" t="str">
        <f>IF(BILLING!B256="","",BILLING!B256)</f>
        <v/>
      </c>
      <c r="B256" s="33" t="str">
        <f>IF(A256="","",IFERROR(VLOOKUP(VLOOKUP(VLOOKUP(A256,BILLING!$B:$I,7,FALSE),BOOKINGS!$A:$Q,3,FALSE),CLIENTS!$A:$H,2,FALSE),""))</f>
        <v/>
      </c>
      <c r="C256" s="38" t="str">
        <f>IF(A256="","",IFERROR(VLOOKUP(A256,BILLING!$B:$I,5,FALSE),0))</f>
        <v/>
      </c>
      <c r="D256" s="38"/>
      <c r="E256" s="38" t="str">
        <f t="shared" si="1"/>
        <v/>
      </c>
      <c r="F256" s="39"/>
      <c r="G256" s="33" t="str">
        <f t="shared" si="2"/>
        <v/>
      </c>
      <c r="H256" s="33" t="str">
        <f>IF(OR(A256="",F256=""),"",F256-VLOOKUP(A256,BILLING!$B:$I,7,FALSE))</f>
        <v/>
      </c>
      <c r="I256" s="33" t="str">
        <f>IF(A256="","",IF(E256&lt;=0,"Current",IF(TODAY()-VLOOKUP(A256,BILLING!$B:$I,7,FALSE)&lt;=30,"0-30 Days",IF(TODAY()-VLOOKUP(A256,BILLING!$B:$I,7,FALSE)&lt;=60,"31-60 Days","61+ Days"))))</f>
        <v/>
      </c>
    </row>
    <row r="257" ht="15.75" customHeight="1">
      <c r="A257" s="33" t="str">
        <f>IF(BILLING!B257="","",BILLING!B257)</f>
        <v/>
      </c>
      <c r="B257" s="33" t="str">
        <f>IF(A257="","",IFERROR(VLOOKUP(VLOOKUP(VLOOKUP(A257,BILLING!$B:$I,7,FALSE),BOOKINGS!$A:$Q,3,FALSE),CLIENTS!$A:$H,2,FALSE),""))</f>
        <v/>
      </c>
      <c r="C257" s="38" t="str">
        <f>IF(A257="","",IFERROR(VLOOKUP(A257,BILLING!$B:$I,5,FALSE),0))</f>
        <v/>
      </c>
      <c r="D257" s="38"/>
      <c r="E257" s="38" t="str">
        <f t="shared" si="1"/>
        <v/>
      </c>
      <c r="F257" s="39"/>
      <c r="G257" s="33" t="str">
        <f t="shared" si="2"/>
        <v/>
      </c>
      <c r="H257" s="33" t="str">
        <f>IF(OR(A257="",F257=""),"",F257-VLOOKUP(A257,BILLING!$B:$I,7,FALSE))</f>
        <v/>
      </c>
      <c r="I257" s="33" t="str">
        <f>IF(A257="","",IF(E257&lt;=0,"Current",IF(TODAY()-VLOOKUP(A257,BILLING!$B:$I,7,FALSE)&lt;=30,"0-30 Days",IF(TODAY()-VLOOKUP(A257,BILLING!$B:$I,7,FALSE)&lt;=60,"31-60 Days","61+ Days"))))</f>
        <v/>
      </c>
    </row>
    <row r="258" ht="15.75" customHeight="1">
      <c r="A258" s="33" t="str">
        <f>IF(BILLING!B258="","",BILLING!B258)</f>
        <v/>
      </c>
      <c r="B258" s="33" t="str">
        <f>IF(A258="","",IFERROR(VLOOKUP(VLOOKUP(VLOOKUP(A258,BILLING!$B:$I,7,FALSE),BOOKINGS!$A:$Q,3,FALSE),CLIENTS!$A:$H,2,FALSE),""))</f>
        <v/>
      </c>
      <c r="C258" s="38" t="str">
        <f>IF(A258="","",IFERROR(VLOOKUP(A258,BILLING!$B:$I,5,FALSE),0))</f>
        <v/>
      </c>
      <c r="D258" s="38"/>
      <c r="E258" s="38" t="str">
        <f t="shared" si="1"/>
        <v/>
      </c>
      <c r="F258" s="39"/>
      <c r="G258" s="33" t="str">
        <f t="shared" si="2"/>
        <v/>
      </c>
      <c r="H258" s="33" t="str">
        <f>IF(OR(A258="",F258=""),"",F258-VLOOKUP(A258,BILLING!$B:$I,7,FALSE))</f>
        <v/>
      </c>
      <c r="I258" s="33" t="str">
        <f>IF(A258="","",IF(E258&lt;=0,"Current",IF(TODAY()-VLOOKUP(A258,BILLING!$B:$I,7,FALSE)&lt;=30,"0-30 Days",IF(TODAY()-VLOOKUP(A258,BILLING!$B:$I,7,FALSE)&lt;=60,"31-60 Days","61+ Days"))))</f>
        <v/>
      </c>
    </row>
    <row r="259" ht="15.75" customHeight="1">
      <c r="A259" s="33" t="str">
        <f>IF(BILLING!B259="","",BILLING!B259)</f>
        <v/>
      </c>
      <c r="B259" s="33" t="str">
        <f>IF(A259="","",IFERROR(VLOOKUP(VLOOKUP(VLOOKUP(A259,BILLING!$B:$I,7,FALSE),BOOKINGS!$A:$Q,3,FALSE),CLIENTS!$A:$H,2,FALSE),""))</f>
        <v/>
      </c>
      <c r="C259" s="38" t="str">
        <f>IF(A259="","",IFERROR(VLOOKUP(A259,BILLING!$B:$I,5,FALSE),0))</f>
        <v/>
      </c>
      <c r="D259" s="38"/>
      <c r="E259" s="38" t="str">
        <f t="shared" si="1"/>
        <v/>
      </c>
      <c r="F259" s="39"/>
      <c r="G259" s="33" t="str">
        <f t="shared" si="2"/>
        <v/>
      </c>
      <c r="H259" s="33" t="str">
        <f>IF(OR(A259="",F259=""),"",F259-VLOOKUP(A259,BILLING!$B:$I,7,FALSE))</f>
        <v/>
      </c>
      <c r="I259" s="33" t="str">
        <f>IF(A259="","",IF(E259&lt;=0,"Current",IF(TODAY()-VLOOKUP(A259,BILLING!$B:$I,7,FALSE)&lt;=30,"0-30 Days",IF(TODAY()-VLOOKUP(A259,BILLING!$B:$I,7,FALSE)&lt;=60,"31-60 Days","61+ Days"))))</f>
        <v/>
      </c>
    </row>
    <row r="260" ht="15.75" customHeight="1">
      <c r="A260" s="33" t="str">
        <f>IF(BILLING!B260="","",BILLING!B260)</f>
        <v/>
      </c>
      <c r="B260" s="33" t="str">
        <f>IF(A260="","",IFERROR(VLOOKUP(VLOOKUP(VLOOKUP(A260,BILLING!$B:$I,7,FALSE),BOOKINGS!$A:$Q,3,FALSE),CLIENTS!$A:$H,2,FALSE),""))</f>
        <v/>
      </c>
      <c r="C260" s="38" t="str">
        <f>IF(A260="","",IFERROR(VLOOKUP(A260,BILLING!$B:$I,5,FALSE),0))</f>
        <v/>
      </c>
      <c r="D260" s="38"/>
      <c r="E260" s="38" t="str">
        <f t="shared" si="1"/>
        <v/>
      </c>
      <c r="F260" s="39"/>
      <c r="G260" s="33" t="str">
        <f t="shared" si="2"/>
        <v/>
      </c>
      <c r="H260" s="33" t="str">
        <f>IF(OR(A260="",F260=""),"",F260-VLOOKUP(A260,BILLING!$B:$I,7,FALSE))</f>
        <v/>
      </c>
      <c r="I260" s="33" t="str">
        <f>IF(A260="","",IF(E260&lt;=0,"Current",IF(TODAY()-VLOOKUP(A260,BILLING!$B:$I,7,FALSE)&lt;=30,"0-30 Days",IF(TODAY()-VLOOKUP(A260,BILLING!$B:$I,7,FALSE)&lt;=60,"31-60 Days","61+ Days"))))</f>
        <v/>
      </c>
    </row>
    <row r="261" ht="15.75" customHeight="1">
      <c r="A261" s="33" t="str">
        <f>IF(BILLING!B261="","",BILLING!B261)</f>
        <v/>
      </c>
      <c r="B261" s="33" t="str">
        <f>IF(A261="","",IFERROR(VLOOKUP(VLOOKUP(VLOOKUP(A261,BILLING!$B:$I,7,FALSE),BOOKINGS!$A:$Q,3,FALSE),CLIENTS!$A:$H,2,FALSE),""))</f>
        <v/>
      </c>
      <c r="C261" s="38" t="str">
        <f>IF(A261="","",IFERROR(VLOOKUP(A261,BILLING!$B:$I,5,FALSE),0))</f>
        <v/>
      </c>
      <c r="D261" s="38"/>
      <c r="E261" s="38" t="str">
        <f t="shared" si="1"/>
        <v/>
      </c>
      <c r="F261" s="39"/>
      <c r="G261" s="33" t="str">
        <f t="shared" si="2"/>
        <v/>
      </c>
      <c r="H261" s="33" t="str">
        <f>IF(OR(A261="",F261=""),"",F261-VLOOKUP(A261,BILLING!$B:$I,7,FALSE))</f>
        <v/>
      </c>
      <c r="I261" s="33" t="str">
        <f>IF(A261="","",IF(E261&lt;=0,"Current",IF(TODAY()-VLOOKUP(A261,BILLING!$B:$I,7,FALSE)&lt;=30,"0-30 Days",IF(TODAY()-VLOOKUP(A261,BILLING!$B:$I,7,FALSE)&lt;=60,"31-60 Days","61+ Days"))))</f>
        <v/>
      </c>
    </row>
    <row r="262" ht="15.75" customHeight="1">
      <c r="A262" s="33" t="str">
        <f>IF(BILLING!B262="","",BILLING!B262)</f>
        <v/>
      </c>
      <c r="B262" s="33" t="str">
        <f>IF(A262="","",IFERROR(VLOOKUP(VLOOKUP(VLOOKUP(A262,BILLING!$B:$I,7,FALSE),BOOKINGS!$A:$Q,3,FALSE),CLIENTS!$A:$H,2,FALSE),""))</f>
        <v/>
      </c>
      <c r="C262" s="38" t="str">
        <f>IF(A262="","",IFERROR(VLOOKUP(A262,BILLING!$B:$I,5,FALSE),0))</f>
        <v/>
      </c>
      <c r="D262" s="38"/>
      <c r="E262" s="38" t="str">
        <f t="shared" si="1"/>
        <v/>
      </c>
      <c r="F262" s="39"/>
      <c r="G262" s="33" t="str">
        <f t="shared" si="2"/>
        <v/>
      </c>
      <c r="H262" s="33" t="str">
        <f>IF(OR(A262="",F262=""),"",F262-VLOOKUP(A262,BILLING!$B:$I,7,FALSE))</f>
        <v/>
      </c>
      <c r="I262" s="33" t="str">
        <f>IF(A262="","",IF(E262&lt;=0,"Current",IF(TODAY()-VLOOKUP(A262,BILLING!$B:$I,7,FALSE)&lt;=30,"0-30 Days",IF(TODAY()-VLOOKUP(A262,BILLING!$B:$I,7,FALSE)&lt;=60,"31-60 Days","61+ Days"))))</f>
        <v/>
      </c>
    </row>
    <row r="263" ht="15.75" customHeight="1">
      <c r="A263" s="33" t="str">
        <f>IF(BILLING!B263="","",BILLING!B263)</f>
        <v/>
      </c>
      <c r="B263" s="33" t="str">
        <f>IF(A263="","",IFERROR(VLOOKUP(VLOOKUP(VLOOKUP(A263,BILLING!$B:$I,7,FALSE),BOOKINGS!$A:$Q,3,FALSE),CLIENTS!$A:$H,2,FALSE),""))</f>
        <v/>
      </c>
      <c r="C263" s="38" t="str">
        <f>IF(A263="","",IFERROR(VLOOKUP(A263,BILLING!$B:$I,5,FALSE),0))</f>
        <v/>
      </c>
      <c r="D263" s="38"/>
      <c r="E263" s="38" t="str">
        <f t="shared" si="1"/>
        <v/>
      </c>
      <c r="F263" s="39"/>
      <c r="G263" s="33" t="str">
        <f t="shared" si="2"/>
        <v/>
      </c>
      <c r="H263" s="33" t="str">
        <f>IF(OR(A263="",F263=""),"",F263-VLOOKUP(A263,BILLING!$B:$I,7,FALSE))</f>
        <v/>
      </c>
      <c r="I263" s="33" t="str">
        <f>IF(A263="","",IF(E263&lt;=0,"Current",IF(TODAY()-VLOOKUP(A263,BILLING!$B:$I,7,FALSE)&lt;=30,"0-30 Days",IF(TODAY()-VLOOKUP(A263,BILLING!$B:$I,7,FALSE)&lt;=60,"31-60 Days","61+ Days"))))</f>
        <v/>
      </c>
    </row>
    <row r="264" ht="15.75" customHeight="1">
      <c r="A264" s="33" t="str">
        <f>IF(BILLING!B264="","",BILLING!B264)</f>
        <v/>
      </c>
      <c r="B264" s="33" t="str">
        <f>IF(A264="","",IFERROR(VLOOKUP(VLOOKUP(VLOOKUP(A264,BILLING!$B:$I,7,FALSE),BOOKINGS!$A:$Q,3,FALSE),CLIENTS!$A:$H,2,FALSE),""))</f>
        <v/>
      </c>
      <c r="C264" s="38" t="str">
        <f>IF(A264="","",IFERROR(VLOOKUP(A264,BILLING!$B:$I,5,FALSE),0))</f>
        <v/>
      </c>
      <c r="D264" s="38"/>
      <c r="E264" s="38" t="str">
        <f t="shared" si="1"/>
        <v/>
      </c>
      <c r="F264" s="39"/>
      <c r="G264" s="33" t="str">
        <f t="shared" si="2"/>
        <v/>
      </c>
      <c r="H264" s="33" t="str">
        <f>IF(OR(A264="",F264=""),"",F264-VLOOKUP(A264,BILLING!$B:$I,7,FALSE))</f>
        <v/>
      </c>
      <c r="I264" s="33" t="str">
        <f>IF(A264="","",IF(E264&lt;=0,"Current",IF(TODAY()-VLOOKUP(A264,BILLING!$B:$I,7,FALSE)&lt;=30,"0-30 Days",IF(TODAY()-VLOOKUP(A264,BILLING!$B:$I,7,FALSE)&lt;=60,"31-60 Days","61+ Days"))))</f>
        <v/>
      </c>
    </row>
    <row r="265" ht="15.75" customHeight="1">
      <c r="A265" s="33" t="str">
        <f>IF(BILLING!B265="","",BILLING!B265)</f>
        <v/>
      </c>
      <c r="B265" s="33" t="str">
        <f>IF(A265="","",IFERROR(VLOOKUP(VLOOKUP(VLOOKUP(A265,BILLING!$B:$I,7,FALSE),BOOKINGS!$A:$Q,3,FALSE),CLIENTS!$A:$H,2,FALSE),""))</f>
        <v/>
      </c>
      <c r="C265" s="38" t="str">
        <f>IF(A265="","",IFERROR(VLOOKUP(A265,BILLING!$B:$I,5,FALSE),0))</f>
        <v/>
      </c>
      <c r="D265" s="38"/>
      <c r="E265" s="38" t="str">
        <f t="shared" si="1"/>
        <v/>
      </c>
      <c r="F265" s="39"/>
      <c r="G265" s="33" t="str">
        <f t="shared" si="2"/>
        <v/>
      </c>
      <c r="H265" s="33" t="str">
        <f>IF(OR(A265="",F265=""),"",F265-VLOOKUP(A265,BILLING!$B:$I,7,FALSE))</f>
        <v/>
      </c>
      <c r="I265" s="33" t="str">
        <f>IF(A265="","",IF(E265&lt;=0,"Current",IF(TODAY()-VLOOKUP(A265,BILLING!$B:$I,7,FALSE)&lt;=30,"0-30 Days",IF(TODAY()-VLOOKUP(A265,BILLING!$B:$I,7,FALSE)&lt;=60,"31-60 Days","61+ Days"))))</f>
        <v/>
      </c>
    </row>
    <row r="266" ht="15.75" customHeight="1">
      <c r="A266" s="33" t="str">
        <f>IF(BILLING!B266="","",BILLING!B266)</f>
        <v/>
      </c>
      <c r="B266" s="33" t="str">
        <f>IF(A266="","",IFERROR(VLOOKUP(VLOOKUP(VLOOKUP(A266,BILLING!$B:$I,7,FALSE),BOOKINGS!$A:$Q,3,FALSE),CLIENTS!$A:$H,2,FALSE),""))</f>
        <v/>
      </c>
      <c r="C266" s="38" t="str">
        <f>IF(A266="","",IFERROR(VLOOKUP(A266,BILLING!$B:$I,5,FALSE),0))</f>
        <v/>
      </c>
      <c r="D266" s="38"/>
      <c r="E266" s="38" t="str">
        <f t="shared" si="1"/>
        <v/>
      </c>
      <c r="F266" s="39"/>
      <c r="G266" s="33" t="str">
        <f t="shared" si="2"/>
        <v/>
      </c>
      <c r="H266" s="33" t="str">
        <f>IF(OR(A266="",F266=""),"",F266-VLOOKUP(A266,BILLING!$B:$I,7,FALSE))</f>
        <v/>
      </c>
      <c r="I266" s="33" t="str">
        <f>IF(A266="","",IF(E266&lt;=0,"Current",IF(TODAY()-VLOOKUP(A266,BILLING!$B:$I,7,FALSE)&lt;=30,"0-30 Days",IF(TODAY()-VLOOKUP(A266,BILLING!$B:$I,7,FALSE)&lt;=60,"31-60 Days","61+ Days"))))</f>
        <v/>
      </c>
    </row>
    <row r="267" ht="15.75" customHeight="1">
      <c r="A267" s="33" t="str">
        <f>IF(BILLING!B267="","",BILLING!B267)</f>
        <v/>
      </c>
      <c r="B267" s="33" t="str">
        <f>IF(A267="","",IFERROR(VLOOKUP(VLOOKUP(VLOOKUP(A267,BILLING!$B:$I,7,FALSE),BOOKINGS!$A:$Q,3,FALSE),CLIENTS!$A:$H,2,FALSE),""))</f>
        <v/>
      </c>
      <c r="C267" s="38" t="str">
        <f>IF(A267="","",IFERROR(VLOOKUP(A267,BILLING!$B:$I,5,FALSE),0))</f>
        <v/>
      </c>
      <c r="D267" s="38"/>
      <c r="E267" s="38" t="str">
        <f t="shared" si="1"/>
        <v/>
      </c>
      <c r="F267" s="39"/>
      <c r="G267" s="33" t="str">
        <f t="shared" si="2"/>
        <v/>
      </c>
      <c r="H267" s="33" t="str">
        <f>IF(OR(A267="",F267=""),"",F267-VLOOKUP(A267,BILLING!$B:$I,7,FALSE))</f>
        <v/>
      </c>
      <c r="I267" s="33" t="str">
        <f>IF(A267="","",IF(E267&lt;=0,"Current",IF(TODAY()-VLOOKUP(A267,BILLING!$B:$I,7,FALSE)&lt;=30,"0-30 Days",IF(TODAY()-VLOOKUP(A267,BILLING!$B:$I,7,FALSE)&lt;=60,"31-60 Days","61+ Days"))))</f>
        <v/>
      </c>
    </row>
    <row r="268" ht="15.75" customHeight="1">
      <c r="A268" s="33" t="str">
        <f>IF(BILLING!B268="","",BILLING!B268)</f>
        <v/>
      </c>
      <c r="B268" s="33" t="str">
        <f>IF(A268="","",IFERROR(VLOOKUP(VLOOKUP(VLOOKUP(A268,BILLING!$B:$I,7,FALSE),BOOKINGS!$A:$Q,3,FALSE),CLIENTS!$A:$H,2,FALSE),""))</f>
        <v/>
      </c>
      <c r="C268" s="38" t="str">
        <f>IF(A268="","",IFERROR(VLOOKUP(A268,BILLING!$B:$I,5,FALSE),0))</f>
        <v/>
      </c>
      <c r="D268" s="38"/>
      <c r="E268" s="38" t="str">
        <f t="shared" si="1"/>
        <v/>
      </c>
      <c r="F268" s="39"/>
      <c r="G268" s="33" t="str">
        <f t="shared" si="2"/>
        <v/>
      </c>
      <c r="H268" s="33" t="str">
        <f>IF(OR(A268="",F268=""),"",F268-VLOOKUP(A268,BILLING!$B:$I,7,FALSE))</f>
        <v/>
      </c>
      <c r="I268" s="33" t="str">
        <f>IF(A268="","",IF(E268&lt;=0,"Current",IF(TODAY()-VLOOKUP(A268,BILLING!$B:$I,7,FALSE)&lt;=30,"0-30 Days",IF(TODAY()-VLOOKUP(A268,BILLING!$B:$I,7,FALSE)&lt;=60,"31-60 Days","61+ Days"))))</f>
        <v/>
      </c>
    </row>
    <row r="269" ht="15.75" customHeight="1">
      <c r="A269" s="33" t="str">
        <f>IF(BILLING!B269="","",BILLING!B269)</f>
        <v/>
      </c>
      <c r="B269" s="33" t="str">
        <f>IF(A269="","",IFERROR(VLOOKUP(VLOOKUP(VLOOKUP(A269,BILLING!$B:$I,7,FALSE),BOOKINGS!$A:$Q,3,FALSE),CLIENTS!$A:$H,2,FALSE),""))</f>
        <v/>
      </c>
      <c r="C269" s="38" t="str">
        <f>IF(A269="","",IFERROR(VLOOKUP(A269,BILLING!$B:$I,5,FALSE),0))</f>
        <v/>
      </c>
      <c r="D269" s="38"/>
      <c r="E269" s="38" t="str">
        <f t="shared" si="1"/>
        <v/>
      </c>
      <c r="F269" s="39"/>
      <c r="G269" s="33" t="str">
        <f t="shared" si="2"/>
        <v/>
      </c>
      <c r="H269" s="33" t="str">
        <f>IF(OR(A269="",F269=""),"",F269-VLOOKUP(A269,BILLING!$B:$I,7,FALSE))</f>
        <v/>
      </c>
      <c r="I269" s="33" t="str">
        <f>IF(A269="","",IF(E269&lt;=0,"Current",IF(TODAY()-VLOOKUP(A269,BILLING!$B:$I,7,FALSE)&lt;=30,"0-30 Days",IF(TODAY()-VLOOKUP(A269,BILLING!$B:$I,7,FALSE)&lt;=60,"31-60 Days","61+ Days"))))</f>
        <v/>
      </c>
    </row>
    <row r="270" ht="15.75" customHeight="1">
      <c r="A270" s="33" t="str">
        <f>IF(BILLING!B270="","",BILLING!B270)</f>
        <v/>
      </c>
      <c r="B270" s="33" t="str">
        <f>IF(A270="","",IFERROR(VLOOKUP(VLOOKUP(VLOOKUP(A270,BILLING!$B:$I,7,FALSE),BOOKINGS!$A:$Q,3,FALSE),CLIENTS!$A:$H,2,FALSE),""))</f>
        <v/>
      </c>
      <c r="C270" s="38" t="str">
        <f>IF(A270="","",IFERROR(VLOOKUP(A270,BILLING!$B:$I,5,FALSE),0))</f>
        <v/>
      </c>
      <c r="D270" s="38"/>
      <c r="E270" s="38" t="str">
        <f t="shared" si="1"/>
        <v/>
      </c>
      <c r="F270" s="39"/>
      <c r="G270" s="33" t="str">
        <f t="shared" si="2"/>
        <v/>
      </c>
      <c r="H270" s="33" t="str">
        <f>IF(OR(A270="",F270=""),"",F270-VLOOKUP(A270,BILLING!$B:$I,7,FALSE))</f>
        <v/>
      </c>
      <c r="I270" s="33" t="str">
        <f>IF(A270="","",IF(E270&lt;=0,"Current",IF(TODAY()-VLOOKUP(A270,BILLING!$B:$I,7,FALSE)&lt;=30,"0-30 Days",IF(TODAY()-VLOOKUP(A270,BILLING!$B:$I,7,FALSE)&lt;=60,"31-60 Days","61+ Days"))))</f>
        <v/>
      </c>
    </row>
    <row r="271" ht="15.75" customHeight="1">
      <c r="A271" s="33" t="str">
        <f>IF(BILLING!B271="","",BILLING!B271)</f>
        <v/>
      </c>
      <c r="B271" s="33" t="str">
        <f>IF(A271="","",IFERROR(VLOOKUP(VLOOKUP(VLOOKUP(A271,BILLING!$B:$I,7,FALSE),BOOKINGS!$A:$Q,3,FALSE),CLIENTS!$A:$H,2,FALSE),""))</f>
        <v/>
      </c>
      <c r="C271" s="38" t="str">
        <f>IF(A271="","",IFERROR(VLOOKUP(A271,BILLING!$B:$I,5,FALSE),0))</f>
        <v/>
      </c>
      <c r="D271" s="38"/>
      <c r="E271" s="38" t="str">
        <f t="shared" si="1"/>
        <v/>
      </c>
      <c r="F271" s="39"/>
      <c r="G271" s="33" t="str">
        <f t="shared" si="2"/>
        <v/>
      </c>
      <c r="H271" s="33" t="str">
        <f>IF(OR(A271="",F271=""),"",F271-VLOOKUP(A271,BILLING!$B:$I,7,FALSE))</f>
        <v/>
      </c>
      <c r="I271" s="33" t="str">
        <f>IF(A271="","",IF(E271&lt;=0,"Current",IF(TODAY()-VLOOKUP(A271,BILLING!$B:$I,7,FALSE)&lt;=30,"0-30 Days",IF(TODAY()-VLOOKUP(A271,BILLING!$B:$I,7,FALSE)&lt;=60,"31-60 Days","61+ Days"))))</f>
        <v/>
      </c>
    </row>
    <row r="272" ht="15.75" customHeight="1">
      <c r="A272" s="33" t="str">
        <f>IF(BILLING!B272="","",BILLING!B272)</f>
        <v/>
      </c>
      <c r="B272" s="33" t="str">
        <f>IF(A272="","",IFERROR(VLOOKUP(VLOOKUP(VLOOKUP(A272,BILLING!$B:$I,7,FALSE),BOOKINGS!$A:$Q,3,FALSE),CLIENTS!$A:$H,2,FALSE),""))</f>
        <v/>
      </c>
      <c r="C272" s="38" t="str">
        <f>IF(A272="","",IFERROR(VLOOKUP(A272,BILLING!$B:$I,5,FALSE),0))</f>
        <v/>
      </c>
      <c r="D272" s="38"/>
      <c r="E272" s="38" t="str">
        <f t="shared" si="1"/>
        <v/>
      </c>
      <c r="F272" s="39"/>
      <c r="G272" s="33" t="str">
        <f t="shared" si="2"/>
        <v/>
      </c>
      <c r="H272" s="33" t="str">
        <f>IF(OR(A272="",F272=""),"",F272-VLOOKUP(A272,BILLING!$B:$I,7,FALSE))</f>
        <v/>
      </c>
      <c r="I272" s="33" t="str">
        <f>IF(A272="","",IF(E272&lt;=0,"Current",IF(TODAY()-VLOOKUP(A272,BILLING!$B:$I,7,FALSE)&lt;=30,"0-30 Days",IF(TODAY()-VLOOKUP(A272,BILLING!$B:$I,7,FALSE)&lt;=60,"31-60 Days","61+ Days"))))</f>
        <v/>
      </c>
    </row>
    <row r="273" ht="15.75" customHeight="1">
      <c r="A273" s="33" t="str">
        <f>IF(BILLING!B273="","",BILLING!B273)</f>
        <v/>
      </c>
      <c r="B273" s="33" t="str">
        <f>IF(A273="","",IFERROR(VLOOKUP(VLOOKUP(VLOOKUP(A273,BILLING!$B:$I,7,FALSE),BOOKINGS!$A:$Q,3,FALSE),CLIENTS!$A:$H,2,FALSE),""))</f>
        <v/>
      </c>
      <c r="C273" s="38" t="str">
        <f>IF(A273="","",IFERROR(VLOOKUP(A273,BILLING!$B:$I,5,FALSE),0))</f>
        <v/>
      </c>
      <c r="D273" s="38"/>
      <c r="E273" s="38" t="str">
        <f t="shared" si="1"/>
        <v/>
      </c>
      <c r="F273" s="39"/>
      <c r="G273" s="33" t="str">
        <f t="shared" si="2"/>
        <v/>
      </c>
      <c r="H273" s="33" t="str">
        <f>IF(OR(A273="",F273=""),"",F273-VLOOKUP(A273,BILLING!$B:$I,7,FALSE))</f>
        <v/>
      </c>
      <c r="I273" s="33" t="str">
        <f>IF(A273="","",IF(E273&lt;=0,"Current",IF(TODAY()-VLOOKUP(A273,BILLING!$B:$I,7,FALSE)&lt;=30,"0-30 Days",IF(TODAY()-VLOOKUP(A273,BILLING!$B:$I,7,FALSE)&lt;=60,"31-60 Days","61+ Days"))))</f>
        <v/>
      </c>
    </row>
    <row r="274" ht="15.75" customHeight="1">
      <c r="A274" s="33" t="str">
        <f>IF(BILLING!B274="","",BILLING!B274)</f>
        <v/>
      </c>
      <c r="B274" s="33" t="str">
        <f>IF(A274="","",IFERROR(VLOOKUP(VLOOKUP(VLOOKUP(A274,BILLING!$B:$I,7,FALSE),BOOKINGS!$A:$Q,3,FALSE),CLIENTS!$A:$H,2,FALSE),""))</f>
        <v/>
      </c>
      <c r="C274" s="38" t="str">
        <f>IF(A274="","",IFERROR(VLOOKUP(A274,BILLING!$B:$I,5,FALSE),0))</f>
        <v/>
      </c>
      <c r="D274" s="38"/>
      <c r="E274" s="38" t="str">
        <f t="shared" si="1"/>
        <v/>
      </c>
      <c r="F274" s="39"/>
      <c r="G274" s="33" t="str">
        <f t="shared" si="2"/>
        <v/>
      </c>
      <c r="H274" s="33" t="str">
        <f>IF(OR(A274="",F274=""),"",F274-VLOOKUP(A274,BILLING!$B:$I,7,FALSE))</f>
        <v/>
      </c>
      <c r="I274" s="33" t="str">
        <f>IF(A274="","",IF(E274&lt;=0,"Current",IF(TODAY()-VLOOKUP(A274,BILLING!$B:$I,7,FALSE)&lt;=30,"0-30 Days",IF(TODAY()-VLOOKUP(A274,BILLING!$B:$I,7,FALSE)&lt;=60,"31-60 Days","61+ Days"))))</f>
        <v/>
      </c>
    </row>
    <row r="275" ht="15.75" customHeight="1">
      <c r="A275" s="33" t="str">
        <f>IF(BILLING!B275="","",BILLING!B275)</f>
        <v/>
      </c>
      <c r="B275" s="33" t="str">
        <f>IF(A275="","",IFERROR(VLOOKUP(VLOOKUP(VLOOKUP(A275,BILLING!$B:$I,7,FALSE),BOOKINGS!$A:$Q,3,FALSE),CLIENTS!$A:$H,2,FALSE),""))</f>
        <v/>
      </c>
      <c r="C275" s="38" t="str">
        <f>IF(A275="","",IFERROR(VLOOKUP(A275,BILLING!$B:$I,5,FALSE),0))</f>
        <v/>
      </c>
      <c r="D275" s="38"/>
      <c r="E275" s="38" t="str">
        <f t="shared" si="1"/>
        <v/>
      </c>
      <c r="F275" s="39"/>
      <c r="G275" s="33" t="str">
        <f t="shared" si="2"/>
        <v/>
      </c>
      <c r="H275" s="33" t="str">
        <f>IF(OR(A275="",F275=""),"",F275-VLOOKUP(A275,BILLING!$B:$I,7,FALSE))</f>
        <v/>
      </c>
      <c r="I275" s="33" t="str">
        <f>IF(A275="","",IF(E275&lt;=0,"Current",IF(TODAY()-VLOOKUP(A275,BILLING!$B:$I,7,FALSE)&lt;=30,"0-30 Days",IF(TODAY()-VLOOKUP(A275,BILLING!$B:$I,7,FALSE)&lt;=60,"31-60 Days","61+ Days"))))</f>
        <v/>
      </c>
    </row>
    <row r="276" ht="15.75" customHeight="1">
      <c r="A276" s="33" t="str">
        <f>IF(BILLING!B276="","",BILLING!B276)</f>
        <v/>
      </c>
      <c r="B276" s="33" t="str">
        <f>IF(A276="","",IFERROR(VLOOKUP(VLOOKUP(VLOOKUP(A276,BILLING!$B:$I,7,FALSE),BOOKINGS!$A:$Q,3,FALSE),CLIENTS!$A:$H,2,FALSE),""))</f>
        <v/>
      </c>
      <c r="C276" s="38" t="str">
        <f>IF(A276="","",IFERROR(VLOOKUP(A276,BILLING!$B:$I,5,FALSE),0))</f>
        <v/>
      </c>
      <c r="D276" s="38"/>
      <c r="E276" s="38" t="str">
        <f t="shared" si="1"/>
        <v/>
      </c>
      <c r="F276" s="39"/>
      <c r="G276" s="33" t="str">
        <f t="shared" si="2"/>
        <v/>
      </c>
      <c r="H276" s="33" t="str">
        <f>IF(OR(A276="",F276=""),"",F276-VLOOKUP(A276,BILLING!$B:$I,7,FALSE))</f>
        <v/>
      </c>
      <c r="I276" s="33" t="str">
        <f>IF(A276="","",IF(E276&lt;=0,"Current",IF(TODAY()-VLOOKUP(A276,BILLING!$B:$I,7,FALSE)&lt;=30,"0-30 Days",IF(TODAY()-VLOOKUP(A276,BILLING!$B:$I,7,FALSE)&lt;=60,"31-60 Days","61+ Days"))))</f>
        <v/>
      </c>
    </row>
    <row r="277" ht="15.75" customHeight="1">
      <c r="A277" s="33" t="str">
        <f>IF(BILLING!B277="","",BILLING!B277)</f>
        <v/>
      </c>
      <c r="B277" s="33" t="str">
        <f>IF(A277="","",IFERROR(VLOOKUP(VLOOKUP(VLOOKUP(A277,BILLING!$B:$I,7,FALSE),BOOKINGS!$A:$Q,3,FALSE),CLIENTS!$A:$H,2,FALSE),""))</f>
        <v/>
      </c>
      <c r="C277" s="38" t="str">
        <f>IF(A277="","",IFERROR(VLOOKUP(A277,BILLING!$B:$I,5,FALSE),0))</f>
        <v/>
      </c>
      <c r="D277" s="38"/>
      <c r="E277" s="38" t="str">
        <f t="shared" si="1"/>
        <v/>
      </c>
      <c r="F277" s="39"/>
      <c r="G277" s="33" t="str">
        <f t="shared" si="2"/>
        <v/>
      </c>
      <c r="H277" s="33" t="str">
        <f>IF(OR(A277="",F277=""),"",F277-VLOOKUP(A277,BILLING!$B:$I,7,FALSE))</f>
        <v/>
      </c>
      <c r="I277" s="33" t="str">
        <f>IF(A277="","",IF(E277&lt;=0,"Current",IF(TODAY()-VLOOKUP(A277,BILLING!$B:$I,7,FALSE)&lt;=30,"0-30 Days",IF(TODAY()-VLOOKUP(A277,BILLING!$B:$I,7,FALSE)&lt;=60,"31-60 Days","61+ Days"))))</f>
        <v/>
      </c>
    </row>
    <row r="278" ht="15.75" customHeight="1">
      <c r="A278" s="33" t="str">
        <f>IF(BILLING!B278="","",BILLING!B278)</f>
        <v/>
      </c>
      <c r="B278" s="33" t="str">
        <f>IF(A278="","",IFERROR(VLOOKUP(VLOOKUP(VLOOKUP(A278,BILLING!$B:$I,7,FALSE),BOOKINGS!$A:$Q,3,FALSE),CLIENTS!$A:$H,2,FALSE),""))</f>
        <v/>
      </c>
      <c r="C278" s="38" t="str">
        <f>IF(A278="","",IFERROR(VLOOKUP(A278,BILLING!$B:$I,5,FALSE),0))</f>
        <v/>
      </c>
      <c r="D278" s="38"/>
      <c r="E278" s="38" t="str">
        <f t="shared" si="1"/>
        <v/>
      </c>
      <c r="F278" s="39"/>
      <c r="G278" s="33" t="str">
        <f t="shared" si="2"/>
        <v/>
      </c>
      <c r="H278" s="33" t="str">
        <f>IF(OR(A278="",F278=""),"",F278-VLOOKUP(A278,BILLING!$B:$I,7,FALSE))</f>
        <v/>
      </c>
      <c r="I278" s="33" t="str">
        <f>IF(A278="","",IF(E278&lt;=0,"Current",IF(TODAY()-VLOOKUP(A278,BILLING!$B:$I,7,FALSE)&lt;=30,"0-30 Days",IF(TODAY()-VLOOKUP(A278,BILLING!$B:$I,7,FALSE)&lt;=60,"31-60 Days","61+ Days"))))</f>
        <v/>
      </c>
    </row>
    <row r="279" ht="15.75" customHeight="1">
      <c r="A279" s="33" t="str">
        <f>IF(BILLING!B279="","",BILLING!B279)</f>
        <v/>
      </c>
      <c r="B279" s="33" t="str">
        <f>IF(A279="","",IFERROR(VLOOKUP(VLOOKUP(VLOOKUP(A279,BILLING!$B:$I,7,FALSE),BOOKINGS!$A:$Q,3,FALSE),CLIENTS!$A:$H,2,FALSE),""))</f>
        <v/>
      </c>
      <c r="C279" s="38" t="str">
        <f>IF(A279="","",IFERROR(VLOOKUP(A279,BILLING!$B:$I,5,FALSE),0))</f>
        <v/>
      </c>
      <c r="D279" s="38"/>
      <c r="E279" s="38" t="str">
        <f t="shared" si="1"/>
        <v/>
      </c>
      <c r="F279" s="39"/>
      <c r="G279" s="33" t="str">
        <f t="shared" si="2"/>
        <v/>
      </c>
      <c r="H279" s="33" t="str">
        <f>IF(OR(A279="",F279=""),"",F279-VLOOKUP(A279,BILLING!$B:$I,7,FALSE))</f>
        <v/>
      </c>
      <c r="I279" s="33" t="str">
        <f>IF(A279="","",IF(E279&lt;=0,"Current",IF(TODAY()-VLOOKUP(A279,BILLING!$B:$I,7,FALSE)&lt;=30,"0-30 Days",IF(TODAY()-VLOOKUP(A279,BILLING!$B:$I,7,FALSE)&lt;=60,"31-60 Days","61+ Days"))))</f>
        <v/>
      </c>
    </row>
    <row r="280" ht="15.75" customHeight="1">
      <c r="A280" s="33" t="str">
        <f>IF(BILLING!B280="","",BILLING!B280)</f>
        <v/>
      </c>
      <c r="B280" s="33" t="str">
        <f>IF(A280="","",IFERROR(VLOOKUP(VLOOKUP(VLOOKUP(A280,BILLING!$B:$I,7,FALSE),BOOKINGS!$A:$Q,3,FALSE),CLIENTS!$A:$H,2,FALSE),""))</f>
        <v/>
      </c>
      <c r="C280" s="38" t="str">
        <f>IF(A280="","",IFERROR(VLOOKUP(A280,BILLING!$B:$I,5,FALSE),0))</f>
        <v/>
      </c>
      <c r="D280" s="38"/>
      <c r="E280" s="38" t="str">
        <f t="shared" si="1"/>
        <v/>
      </c>
      <c r="F280" s="39"/>
      <c r="G280" s="33" t="str">
        <f t="shared" si="2"/>
        <v/>
      </c>
      <c r="H280" s="33" t="str">
        <f>IF(OR(A280="",F280=""),"",F280-VLOOKUP(A280,BILLING!$B:$I,7,FALSE))</f>
        <v/>
      </c>
      <c r="I280" s="33" t="str">
        <f>IF(A280="","",IF(E280&lt;=0,"Current",IF(TODAY()-VLOOKUP(A280,BILLING!$B:$I,7,FALSE)&lt;=30,"0-30 Days",IF(TODAY()-VLOOKUP(A280,BILLING!$B:$I,7,FALSE)&lt;=60,"31-60 Days","61+ Days"))))</f>
        <v/>
      </c>
    </row>
    <row r="281" ht="15.75" customHeight="1">
      <c r="A281" s="33" t="str">
        <f>IF(BILLING!B281="","",BILLING!B281)</f>
        <v/>
      </c>
      <c r="B281" s="33" t="str">
        <f>IF(A281="","",IFERROR(VLOOKUP(VLOOKUP(VLOOKUP(A281,BILLING!$B:$I,7,FALSE),BOOKINGS!$A:$Q,3,FALSE),CLIENTS!$A:$H,2,FALSE),""))</f>
        <v/>
      </c>
      <c r="C281" s="38" t="str">
        <f>IF(A281="","",IFERROR(VLOOKUP(A281,BILLING!$B:$I,5,FALSE),0))</f>
        <v/>
      </c>
      <c r="D281" s="38"/>
      <c r="E281" s="38" t="str">
        <f t="shared" si="1"/>
        <v/>
      </c>
      <c r="F281" s="39"/>
      <c r="G281" s="33" t="str">
        <f t="shared" si="2"/>
        <v/>
      </c>
      <c r="H281" s="33" t="str">
        <f>IF(OR(A281="",F281=""),"",F281-VLOOKUP(A281,BILLING!$B:$I,7,FALSE))</f>
        <v/>
      </c>
      <c r="I281" s="33" t="str">
        <f>IF(A281="","",IF(E281&lt;=0,"Current",IF(TODAY()-VLOOKUP(A281,BILLING!$B:$I,7,FALSE)&lt;=30,"0-30 Days",IF(TODAY()-VLOOKUP(A281,BILLING!$B:$I,7,FALSE)&lt;=60,"31-60 Days","61+ Days"))))</f>
        <v/>
      </c>
    </row>
    <row r="282" ht="15.75" customHeight="1">
      <c r="A282" s="33" t="str">
        <f>IF(BILLING!B282="","",BILLING!B282)</f>
        <v/>
      </c>
      <c r="B282" s="33" t="str">
        <f>IF(A282="","",IFERROR(VLOOKUP(VLOOKUP(VLOOKUP(A282,BILLING!$B:$I,7,FALSE),BOOKINGS!$A:$Q,3,FALSE),CLIENTS!$A:$H,2,FALSE),""))</f>
        <v/>
      </c>
      <c r="C282" s="38" t="str">
        <f>IF(A282="","",IFERROR(VLOOKUP(A282,BILLING!$B:$I,5,FALSE),0))</f>
        <v/>
      </c>
      <c r="D282" s="38"/>
      <c r="E282" s="38" t="str">
        <f t="shared" si="1"/>
        <v/>
      </c>
      <c r="F282" s="39"/>
      <c r="G282" s="33" t="str">
        <f t="shared" si="2"/>
        <v/>
      </c>
      <c r="H282" s="33" t="str">
        <f>IF(OR(A282="",F282=""),"",F282-VLOOKUP(A282,BILLING!$B:$I,7,FALSE))</f>
        <v/>
      </c>
      <c r="I282" s="33" t="str">
        <f>IF(A282="","",IF(E282&lt;=0,"Current",IF(TODAY()-VLOOKUP(A282,BILLING!$B:$I,7,FALSE)&lt;=30,"0-30 Days",IF(TODAY()-VLOOKUP(A282,BILLING!$B:$I,7,FALSE)&lt;=60,"31-60 Days","61+ Days"))))</f>
        <v/>
      </c>
    </row>
    <row r="283" ht="15.75" customHeight="1">
      <c r="A283" s="33" t="str">
        <f>IF(BILLING!B283="","",BILLING!B283)</f>
        <v/>
      </c>
      <c r="B283" s="33" t="str">
        <f>IF(A283="","",IFERROR(VLOOKUP(VLOOKUP(VLOOKUP(A283,BILLING!$B:$I,7,FALSE),BOOKINGS!$A:$Q,3,FALSE),CLIENTS!$A:$H,2,FALSE),""))</f>
        <v/>
      </c>
      <c r="C283" s="38" t="str">
        <f>IF(A283="","",IFERROR(VLOOKUP(A283,BILLING!$B:$I,5,FALSE),0))</f>
        <v/>
      </c>
      <c r="D283" s="38"/>
      <c r="E283" s="38" t="str">
        <f t="shared" si="1"/>
        <v/>
      </c>
      <c r="F283" s="39"/>
      <c r="G283" s="33" t="str">
        <f t="shared" si="2"/>
        <v/>
      </c>
      <c r="H283" s="33" t="str">
        <f>IF(OR(A283="",F283=""),"",F283-VLOOKUP(A283,BILLING!$B:$I,7,FALSE))</f>
        <v/>
      </c>
      <c r="I283" s="33" t="str">
        <f>IF(A283="","",IF(E283&lt;=0,"Current",IF(TODAY()-VLOOKUP(A283,BILLING!$B:$I,7,FALSE)&lt;=30,"0-30 Days",IF(TODAY()-VLOOKUP(A283,BILLING!$B:$I,7,FALSE)&lt;=60,"31-60 Days","61+ Days"))))</f>
        <v/>
      </c>
    </row>
    <row r="284" ht="15.75" customHeight="1">
      <c r="A284" s="33" t="str">
        <f>IF(BILLING!B284="","",BILLING!B284)</f>
        <v/>
      </c>
      <c r="B284" s="33" t="str">
        <f>IF(A284="","",IFERROR(VLOOKUP(VLOOKUP(VLOOKUP(A284,BILLING!$B:$I,7,FALSE),BOOKINGS!$A:$Q,3,FALSE),CLIENTS!$A:$H,2,FALSE),""))</f>
        <v/>
      </c>
      <c r="C284" s="38" t="str">
        <f>IF(A284="","",IFERROR(VLOOKUP(A284,BILLING!$B:$I,5,FALSE),0))</f>
        <v/>
      </c>
      <c r="D284" s="38"/>
      <c r="E284" s="38" t="str">
        <f t="shared" si="1"/>
        <v/>
      </c>
      <c r="F284" s="39"/>
      <c r="G284" s="33" t="str">
        <f t="shared" si="2"/>
        <v/>
      </c>
      <c r="H284" s="33" t="str">
        <f>IF(OR(A284="",F284=""),"",F284-VLOOKUP(A284,BILLING!$B:$I,7,FALSE))</f>
        <v/>
      </c>
      <c r="I284" s="33" t="str">
        <f>IF(A284="","",IF(E284&lt;=0,"Current",IF(TODAY()-VLOOKUP(A284,BILLING!$B:$I,7,FALSE)&lt;=30,"0-30 Days",IF(TODAY()-VLOOKUP(A284,BILLING!$B:$I,7,FALSE)&lt;=60,"31-60 Days","61+ Days"))))</f>
        <v/>
      </c>
    </row>
    <row r="285" ht="15.75" customHeight="1">
      <c r="A285" s="33" t="str">
        <f>IF(BILLING!B285="","",BILLING!B285)</f>
        <v/>
      </c>
      <c r="B285" s="33" t="str">
        <f>IF(A285="","",IFERROR(VLOOKUP(VLOOKUP(VLOOKUP(A285,BILLING!$B:$I,7,FALSE),BOOKINGS!$A:$Q,3,FALSE),CLIENTS!$A:$H,2,FALSE),""))</f>
        <v/>
      </c>
      <c r="C285" s="38" t="str">
        <f>IF(A285="","",IFERROR(VLOOKUP(A285,BILLING!$B:$I,5,FALSE),0))</f>
        <v/>
      </c>
      <c r="D285" s="38"/>
      <c r="E285" s="38" t="str">
        <f t="shared" si="1"/>
        <v/>
      </c>
      <c r="F285" s="39"/>
      <c r="G285" s="33" t="str">
        <f t="shared" si="2"/>
        <v/>
      </c>
      <c r="H285" s="33" t="str">
        <f>IF(OR(A285="",F285=""),"",F285-VLOOKUP(A285,BILLING!$B:$I,7,FALSE))</f>
        <v/>
      </c>
      <c r="I285" s="33" t="str">
        <f>IF(A285="","",IF(E285&lt;=0,"Current",IF(TODAY()-VLOOKUP(A285,BILLING!$B:$I,7,FALSE)&lt;=30,"0-30 Days",IF(TODAY()-VLOOKUP(A285,BILLING!$B:$I,7,FALSE)&lt;=60,"31-60 Days","61+ Days"))))</f>
        <v/>
      </c>
    </row>
    <row r="286" ht="15.75" customHeight="1">
      <c r="A286" s="33" t="str">
        <f>IF(BILLING!B286="","",BILLING!B286)</f>
        <v/>
      </c>
      <c r="B286" s="33" t="str">
        <f>IF(A286="","",IFERROR(VLOOKUP(VLOOKUP(VLOOKUP(A286,BILLING!$B:$I,7,FALSE),BOOKINGS!$A:$Q,3,FALSE),CLIENTS!$A:$H,2,FALSE),""))</f>
        <v/>
      </c>
      <c r="C286" s="38" t="str">
        <f>IF(A286="","",IFERROR(VLOOKUP(A286,BILLING!$B:$I,5,FALSE),0))</f>
        <v/>
      </c>
      <c r="D286" s="38"/>
      <c r="E286" s="38" t="str">
        <f t="shared" si="1"/>
        <v/>
      </c>
      <c r="F286" s="39"/>
      <c r="G286" s="33" t="str">
        <f t="shared" si="2"/>
        <v/>
      </c>
      <c r="H286" s="33" t="str">
        <f>IF(OR(A286="",F286=""),"",F286-VLOOKUP(A286,BILLING!$B:$I,7,FALSE))</f>
        <v/>
      </c>
      <c r="I286" s="33" t="str">
        <f>IF(A286="","",IF(E286&lt;=0,"Current",IF(TODAY()-VLOOKUP(A286,BILLING!$B:$I,7,FALSE)&lt;=30,"0-30 Days",IF(TODAY()-VLOOKUP(A286,BILLING!$B:$I,7,FALSE)&lt;=60,"31-60 Days","61+ Days"))))</f>
        <v/>
      </c>
    </row>
    <row r="287" ht="15.75" customHeight="1">
      <c r="A287" s="33" t="str">
        <f>IF(BILLING!B287="","",BILLING!B287)</f>
        <v/>
      </c>
      <c r="B287" s="33" t="str">
        <f>IF(A287="","",IFERROR(VLOOKUP(VLOOKUP(VLOOKUP(A287,BILLING!$B:$I,7,FALSE),BOOKINGS!$A:$Q,3,FALSE),CLIENTS!$A:$H,2,FALSE),""))</f>
        <v/>
      </c>
      <c r="C287" s="38" t="str">
        <f>IF(A287="","",IFERROR(VLOOKUP(A287,BILLING!$B:$I,5,FALSE),0))</f>
        <v/>
      </c>
      <c r="D287" s="38"/>
      <c r="E287" s="38" t="str">
        <f t="shared" si="1"/>
        <v/>
      </c>
      <c r="F287" s="39"/>
      <c r="G287" s="33" t="str">
        <f t="shared" si="2"/>
        <v/>
      </c>
      <c r="H287" s="33" t="str">
        <f>IF(OR(A287="",F287=""),"",F287-VLOOKUP(A287,BILLING!$B:$I,7,FALSE))</f>
        <v/>
      </c>
      <c r="I287" s="33" t="str">
        <f>IF(A287="","",IF(E287&lt;=0,"Current",IF(TODAY()-VLOOKUP(A287,BILLING!$B:$I,7,FALSE)&lt;=30,"0-30 Days",IF(TODAY()-VLOOKUP(A287,BILLING!$B:$I,7,FALSE)&lt;=60,"31-60 Days","61+ Days"))))</f>
        <v/>
      </c>
    </row>
    <row r="288" ht="15.75" customHeight="1">
      <c r="A288" s="33" t="str">
        <f>IF(BILLING!B288="","",BILLING!B288)</f>
        <v/>
      </c>
      <c r="B288" s="33" t="str">
        <f>IF(A288="","",IFERROR(VLOOKUP(VLOOKUP(VLOOKUP(A288,BILLING!$B:$I,7,FALSE),BOOKINGS!$A:$Q,3,FALSE),CLIENTS!$A:$H,2,FALSE),""))</f>
        <v/>
      </c>
      <c r="C288" s="38" t="str">
        <f>IF(A288="","",IFERROR(VLOOKUP(A288,BILLING!$B:$I,5,FALSE),0))</f>
        <v/>
      </c>
      <c r="D288" s="38"/>
      <c r="E288" s="38" t="str">
        <f t="shared" si="1"/>
        <v/>
      </c>
      <c r="F288" s="39"/>
      <c r="G288" s="33" t="str">
        <f t="shared" si="2"/>
        <v/>
      </c>
      <c r="H288" s="33" t="str">
        <f>IF(OR(A288="",F288=""),"",F288-VLOOKUP(A288,BILLING!$B:$I,7,FALSE))</f>
        <v/>
      </c>
      <c r="I288" s="33" t="str">
        <f>IF(A288="","",IF(E288&lt;=0,"Current",IF(TODAY()-VLOOKUP(A288,BILLING!$B:$I,7,FALSE)&lt;=30,"0-30 Days",IF(TODAY()-VLOOKUP(A288,BILLING!$B:$I,7,FALSE)&lt;=60,"31-60 Days","61+ Days"))))</f>
        <v/>
      </c>
    </row>
    <row r="289" ht="15.75" customHeight="1">
      <c r="A289" s="33" t="str">
        <f>IF(BILLING!B289="","",BILLING!B289)</f>
        <v/>
      </c>
      <c r="B289" s="33" t="str">
        <f>IF(A289="","",IFERROR(VLOOKUP(VLOOKUP(VLOOKUP(A289,BILLING!$B:$I,7,FALSE),BOOKINGS!$A:$Q,3,FALSE),CLIENTS!$A:$H,2,FALSE),""))</f>
        <v/>
      </c>
      <c r="C289" s="38" t="str">
        <f>IF(A289="","",IFERROR(VLOOKUP(A289,BILLING!$B:$I,5,FALSE),0))</f>
        <v/>
      </c>
      <c r="D289" s="38"/>
      <c r="E289" s="38" t="str">
        <f t="shared" si="1"/>
        <v/>
      </c>
      <c r="F289" s="39"/>
      <c r="G289" s="33" t="str">
        <f t="shared" si="2"/>
        <v/>
      </c>
      <c r="H289" s="33" t="str">
        <f>IF(OR(A289="",F289=""),"",F289-VLOOKUP(A289,BILLING!$B:$I,7,FALSE))</f>
        <v/>
      </c>
      <c r="I289" s="33" t="str">
        <f>IF(A289="","",IF(E289&lt;=0,"Current",IF(TODAY()-VLOOKUP(A289,BILLING!$B:$I,7,FALSE)&lt;=30,"0-30 Days",IF(TODAY()-VLOOKUP(A289,BILLING!$B:$I,7,FALSE)&lt;=60,"31-60 Days","61+ Days"))))</f>
        <v/>
      </c>
    </row>
    <row r="290" ht="15.75" customHeight="1">
      <c r="A290" s="33" t="str">
        <f>IF(BILLING!B290="","",BILLING!B290)</f>
        <v/>
      </c>
      <c r="B290" s="33" t="str">
        <f>IF(A290="","",IFERROR(VLOOKUP(VLOOKUP(VLOOKUP(A290,BILLING!$B:$I,7,FALSE),BOOKINGS!$A:$Q,3,FALSE),CLIENTS!$A:$H,2,FALSE),""))</f>
        <v/>
      </c>
      <c r="C290" s="38" t="str">
        <f>IF(A290="","",IFERROR(VLOOKUP(A290,BILLING!$B:$I,5,FALSE),0))</f>
        <v/>
      </c>
      <c r="D290" s="38"/>
      <c r="E290" s="38" t="str">
        <f t="shared" si="1"/>
        <v/>
      </c>
      <c r="F290" s="39"/>
      <c r="G290" s="33" t="str">
        <f t="shared" si="2"/>
        <v/>
      </c>
      <c r="H290" s="33" t="str">
        <f>IF(OR(A290="",F290=""),"",F290-VLOOKUP(A290,BILLING!$B:$I,7,FALSE))</f>
        <v/>
      </c>
      <c r="I290" s="33" t="str">
        <f>IF(A290="","",IF(E290&lt;=0,"Current",IF(TODAY()-VLOOKUP(A290,BILLING!$B:$I,7,FALSE)&lt;=30,"0-30 Days",IF(TODAY()-VLOOKUP(A290,BILLING!$B:$I,7,FALSE)&lt;=60,"31-60 Days","61+ Days"))))</f>
        <v/>
      </c>
    </row>
    <row r="291" ht="15.75" customHeight="1">
      <c r="A291" s="33" t="str">
        <f>IF(BILLING!B291="","",BILLING!B291)</f>
        <v/>
      </c>
      <c r="B291" s="33" t="str">
        <f>IF(A291="","",IFERROR(VLOOKUP(VLOOKUP(VLOOKUP(A291,BILLING!$B:$I,7,FALSE),BOOKINGS!$A:$Q,3,FALSE),CLIENTS!$A:$H,2,FALSE),""))</f>
        <v/>
      </c>
      <c r="C291" s="38" t="str">
        <f>IF(A291="","",IFERROR(VLOOKUP(A291,BILLING!$B:$I,5,FALSE),0))</f>
        <v/>
      </c>
      <c r="D291" s="38"/>
      <c r="E291" s="38" t="str">
        <f t="shared" si="1"/>
        <v/>
      </c>
      <c r="F291" s="39"/>
      <c r="G291" s="33" t="str">
        <f t="shared" si="2"/>
        <v/>
      </c>
      <c r="H291" s="33" t="str">
        <f>IF(OR(A291="",F291=""),"",F291-VLOOKUP(A291,BILLING!$B:$I,7,FALSE))</f>
        <v/>
      </c>
      <c r="I291" s="33" t="str">
        <f>IF(A291="","",IF(E291&lt;=0,"Current",IF(TODAY()-VLOOKUP(A291,BILLING!$B:$I,7,FALSE)&lt;=30,"0-30 Days",IF(TODAY()-VLOOKUP(A291,BILLING!$B:$I,7,FALSE)&lt;=60,"31-60 Days","61+ Days"))))</f>
        <v/>
      </c>
    </row>
    <row r="292" ht="15.75" customHeight="1">
      <c r="A292" s="33" t="str">
        <f>IF(BILLING!B292="","",BILLING!B292)</f>
        <v/>
      </c>
      <c r="B292" s="33" t="str">
        <f>IF(A292="","",IFERROR(VLOOKUP(VLOOKUP(VLOOKUP(A292,BILLING!$B:$I,7,FALSE),BOOKINGS!$A:$Q,3,FALSE),CLIENTS!$A:$H,2,FALSE),""))</f>
        <v/>
      </c>
      <c r="C292" s="38" t="str">
        <f>IF(A292="","",IFERROR(VLOOKUP(A292,BILLING!$B:$I,5,FALSE),0))</f>
        <v/>
      </c>
      <c r="D292" s="38"/>
      <c r="E292" s="38" t="str">
        <f t="shared" si="1"/>
        <v/>
      </c>
      <c r="F292" s="39"/>
      <c r="G292" s="33" t="str">
        <f t="shared" si="2"/>
        <v/>
      </c>
      <c r="H292" s="33" t="str">
        <f>IF(OR(A292="",F292=""),"",F292-VLOOKUP(A292,BILLING!$B:$I,7,FALSE))</f>
        <v/>
      </c>
      <c r="I292" s="33" t="str">
        <f>IF(A292="","",IF(E292&lt;=0,"Current",IF(TODAY()-VLOOKUP(A292,BILLING!$B:$I,7,FALSE)&lt;=30,"0-30 Days",IF(TODAY()-VLOOKUP(A292,BILLING!$B:$I,7,FALSE)&lt;=60,"31-60 Days","61+ Days"))))</f>
        <v/>
      </c>
    </row>
    <row r="293" ht="15.75" customHeight="1">
      <c r="A293" s="33" t="str">
        <f>IF(BILLING!B293="","",BILLING!B293)</f>
        <v/>
      </c>
      <c r="B293" s="33" t="str">
        <f>IF(A293="","",IFERROR(VLOOKUP(VLOOKUP(VLOOKUP(A293,BILLING!$B:$I,7,FALSE),BOOKINGS!$A:$Q,3,FALSE),CLIENTS!$A:$H,2,FALSE),""))</f>
        <v/>
      </c>
      <c r="C293" s="38" t="str">
        <f>IF(A293="","",IFERROR(VLOOKUP(A293,BILLING!$B:$I,5,FALSE),0))</f>
        <v/>
      </c>
      <c r="D293" s="38"/>
      <c r="E293" s="38" t="str">
        <f t="shared" si="1"/>
        <v/>
      </c>
      <c r="F293" s="39"/>
      <c r="G293" s="33" t="str">
        <f t="shared" si="2"/>
        <v/>
      </c>
      <c r="H293" s="33" t="str">
        <f>IF(OR(A293="",F293=""),"",F293-VLOOKUP(A293,BILLING!$B:$I,7,FALSE))</f>
        <v/>
      </c>
      <c r="I293" s="33" t="str">
        <f>IF(A293="","",IF(E293&lt;=0,"Current",IF(TODAY()-VLOOKUP(A293,BILLING!$B:$I,7,FALSE)&lt;=30,"0-30 Days",IF(TODAY()-VLOOKUP(A293,BILLING!$B:$I,7,FALSE)&lt;=60,"31-60 Days","61+ Days"))))</f>
        <v/>
      </c>
    </row>
    <row r="294" ht="15.75" customHeight="1">
      <c r="A294" s="33" t="str">
        <f>IF(BILLING!B294="","",BILLING!B294)</f>
        <v/>
      </c>
      <c r="B294" s="33" t="str">
        <f>IF(A294="","",IFERROR(VLOOKUP(VLOOKUP(VLOOKUP(A294,BILLING!$B:$I,7,FALSE),BOOKINGS!$A:$Q,3,FALSE),CLIENTS!$A:$H,2,FALSE),""))</f>
        <v/>
      </c>
      <c r="C294" s="38" t="str">
        <f>IF(A294="","",IFERROR(VLOOKUP(A294,BILLING!$B:$I,5,FALSE),0))</f>
        <v/>
      </c>
      <c r="D294" s="38"/>
      <c r="E294" s="38" t="str">
        <f t="shared" si="1"/>
        <v/>
      </c>
      <c r="F294" s="39"/>
      <c r="G294" s="33" t="str">
        <f t="shared" si="2"/>
        <v/>
      </c>
      <c r="H294" s="33" t="str">
        <f>IF(OR(A294="",F294=""),"",F294-VLOOKUP(A294,BILLING!$B:$I,7,FALSE))</f>
        <v/>
      </c>
      <c r="I294" s="33" t="str">
        <f>IF(A294="","",IF(E294&lt;=0,"Current",IF(TODAY()-VLOOKUP(A294,BILLING!$B:$I,7,FALSE)&lt;=30,"0-30 Days",IF(TODAY()-VLOOKUP(A294,BILLING!$B:$I,7,FALSE)&lt;=60,"31-60 Days","61+ Days"))))</f>
        <v/>
      </c>
    </row>
    <row r="295" ht="15.75" customHeight="1">
      <c r="A295" s="33" t="str">
        <f>IF(BILLING!B295="","",BILLING!B295)</f>
        <v/>
      </c>
      <c r="B295" s="33" t="str">
        <f>IF(A295="","",IFERROR(VLOOKUP(VLOOKUP(VLOOKUP(A295,BILLING!$B:$I,7,FALSE),BOOKINGS!$A:$Q,3,FALSE),CLIENTS!$A:$H,2,FALSE),""))</f>
        <v/>
      </c>
      <c r="C295" s="38" t="str">
        <f>IF(A295="","",IFERROR(VLOOKUP(A295,BILLING!$B:$I,5,FALSE),0))</f>
        <v/>
      </c>
      <c r="D295" s="38"/>
      <c r="E295" s="38" t="str">
        <f t="shared" si="1"/>
        <v/>
      </c>
      <c r="F295" s="39"/>
      <c r="G295" s="33" t="str">
        <f t="shared" si="2"/>
        <v/>
      </c>
      <c r="H295" s="33" t="str">
        <f>IF(OR(A295="",F295=""),"",F295-VLOOKUP(A295,BILLING!$B:$I,7,FALSE))</f>
        <v/>
      </c>
      <c r="I295" s="33" t="str">
        <f>IF(A295="","",IF(E295&lt;=0,"Current",IF(TODAY()-VLOOKUP(A295,BILLING!$B:$I,7,FALSE)&lt;=30,"0-30 Days",IF(TODAY()-VLOOKUP(A295,BILLING!$B:$I,7,FALSE)&lt;=60,"31-60 Days","61+ Days"))))</f>
        <v/>
      </c>
    </row>
    <row r="296" ht="15.75" customHeight="1">
      <c r="A296" s="33" t="str">
        <f>IF(BILLING!B296="","",BILLING!B296)</f>
        <v/>
      </c>
      <c r="B296" s="33" t="str">
        <f>IF(A296="","",IFERROR(VLOOKUP(VLOOKUP(VLOOKUP(A296,BILLING!$B:$I,7,FALSE),BOOKINGS!$A:$Q,3,FALSE),CLIENTS!$A:$H,2,FALSE),""))</f>
        <v/>
      </c>
      <c r="C296" s="38" t="str">
        <f>IF(A296="","",IFERROR(VLOOKUP(A296,BILLING!$B:$I,5,FALSE),0))</f>
        <v/>
      </c>
      <c r="D296" s="38"/>
      <c r="E296" s="38" t="str">
        <f t="shared" si="1"/>
        <v/>
      </c>
      <c r="F296" s="39"/>
      <c r="G296" s="33" t="str">
        <f t="shared" si="2"/>
        <v/>
      </c>
      <c r="H296" s="33" t="str">
        <f>IF(OR(A296="",F296=""),"",F296-VLOOKUP(A296,BILLING!$B:$I,7,FALSE))</f>
        <v/>
      </c>
      <c r="I296" s="33" t="str">
        <f>IF(A296="","",IF(E296&lt;=0,"Current",IF(TODAY()-VLOOKUP(A296,BILLING!$B:$I,7,FALSE)&lt;=30,"0-30 Days",IF(TODAY()-VLOOKUP(A296,BILLING!$B:$I,7,FALSE)&lt;=60,"31-60 Days","61+ Days"))))</f>
        <v/>
      </c>
    </row>
    <row r="297" ht="15.75" customHeight="1">
      <c r="A297" s="33" t="str">
        <f>IF(BILLING!B297="","",BILLING!B297)</f>
        <v/>
      </c>
      <c r="B297" s="33" t="str">
        <f>IF(A297="","",IFERROR(VLOOKUP(VLOOKUP(VLOOKUP(A297,BILLING!$B:$I,7,FALSE),BOOKINGS!$A:$Q,3,FALSE),CLIENTS!$A:$H,2,FALSE),""))</f>
        <v/>
      </c>
      <c r="C297" s="38" t="str">
        <f>IF(A297="","",IFERROR(VLOOKUP(A297,BILLING!$B:$I,5,FALSE),0))</f>
        <v/>
      </c>
      <c r="D297" s="38"/>
      <c r="E297" s="38" t="str">
        <f t="shared" si="1"/>
        <v/>
      </c>
      <c r="F297" s="39"/>
      <c r="G297" s="33" t="str">
        <f t="shared" si="2"/>
        <v/>
      </c>
      <c r="H297" s="33" t="str">
        <f>IF(OR(A297="",F297=""),"",F297-VLOOKUP(A297,BILLING!$B:$I,7,FALSE))</f>
        <v/>
      </c>
      <c r="I297" s="33" t="str">
        <f>IF(A297="","",IF(E297&lt;=0,"Current",IF(TODAY()-VLOOKUP(A297,BILLING!$B:$I,7,FALSE)&lt;=30,"0-30 Days",IF(TODAY()-VLOOKUP(A297,BILLING!$B:$I,7,FALSE)&lt;=60,"31-60 Days","61+ Days"))))</f>
        <v/>
      </c>
    </row>
    <row r="298" ht="15.75" customHeight="1">
      <c r="A298" s="33" t="str">
        <f>IF(BILLING!B298="","",BILLING!B298)</f>
        <v/>
      </c>
      <c r="B298" s="33" t="str">
        <f>IF(A298="","",IFERROR(VLOOKUP(VLOOKUP(VLOOKUP(A298,BILLING!$B:$I,7,FALSE),BOOKINGS!$A:$Q,3,FALSE),CLIENTS!$A:$H,2,FALSE),""))</f>
        <v/>
      </c>
      <c r="C298" s="38" t="str">
        <f>IF(A298="","",IFERROR(VLOOKUP(A298,BILLING!$B:$I,5,FALSE),0))</f>
        <v/>
      </c>
      <c r="D298" s="38"/>
      <c r="E298" s="38" t="str">
        <f t="shared" si="1"/>
        <v/>
      </c>
      <c r="F298" s="39"/>
      <c r="G298" s="33" t="str">
        <f t="shared" si="2"/>
        <v/>
      </c>
      <c r="H298" s="33" t="str">
        <f>IF(OR(A298="",F298=""),"",F298-VLOOKUP(A298,BILLING!$B:$I,7,FALSE))</f>
        <v/>
      </c>
      <c r="I298" s="33" t="str">
        <f>IF(A298="","",IF(E298&lt;=0,"Current",IF(TODAY()-VLOOKUP(A298,BILLING!$B:$I,7,FALSE)&lt;=30,"0-30 Days",IF(TODAY()-VLOOKUP(A298,BILLING!$B:$I,7,FALSE)&lt;=60,"31-60 Days","61+ Days"))))</f>
        <v/>
      </c>
    </row>
    <row r="299" ht="15.75" customHeight="1">
      <c r="A299" s="33" t="str">
        <f>IF(BILLING!B299="","",BILLING!B299)</f>
        <v/>
      </c>
      <c r="B299" s="33" t="str">
        <f>IF(A299="","",IFERROR(VLOOKUP(VLOOKUP(VLOOKUP(A299,BILLING!$B:$I,7,FALSE),BOOKINGS!$A:$Q,3,FALSE),CLIENTS!$A:$H,2,FALSE),""))</f>
        <v/>
      </c>
      <c r="C299" s="38" t="str">
        <f>IF(A299="","",IFERROR(VLOOKUP(A299,BILLING!$B:$I,5,FALSE),0))</f>
        <v/>
      </c>
      <c r="D299" s="38"/>
      <c r="E299" s="38" t="str">
        <f t="shared" si="1"/>
        <v/>
      </c>
      <c r="F299" s="39"/>
      <c r="G299" s="33" t="str">
        <f t="shared" si="2"/>
        <v/>
      </c>
      <c r="H299" s="33" t="str">
        <f>IF(OR(A299="",F299=""),"",F299-VLOOKUP(A299,BILLING!$B:$I,7,FALSE))</f>
        <v/>
      </c>
      <c r="I299" s="33" t="str">
        <f>IF(A299="","",IF(E299&lt;=0,"Current",IF(TODAY()-VLOOKUP(A299,BILLING!$B:$I,7,FALSE)&lt;=30,"0-30 Days",IF(TODAY()-VLOOKUP(A299,BILLING!$B:$I,7,FALSE)&lt;=60,"31-60 Days","61+ Days"))))</f>
        <v/>
      </c>
    </row>
    <row r="300" ht="15.75" customHeight="1">
      <c r="A300" s="33" t="str">
        <f>IF(BILLING!B300="","",BILLING!B300)</f>
        <v/>
      </c>
      <c r="B300" s="33" t="str">
        <f>IF(A300="","",IFERROR(VLOOKUP(VLOOKUP(VLOOKUP(A300,BILLING!$B:$I,7,FALSE),BOOKINGS!$A:$Q,3,FALSE),CLIENTS!$A:$H,2,FALSE),""))</f>
        <v/>
      </c>
      <c r="C300" s="38" t="str">
        <f>IF(A300="","",IFERROR(VLOOKUP(A300,BILLING!$B:$I,5,FALSE),0))</f>
        <v/>
      </c>
      <c r="D300" s="38"/>
      <c r="E300" s="38" t="str">
        <f t="shared" si="1"/>
        <v/>
      </c>
      <c r="F300" s="39"/>
      <c r="G300" s="33" t="str">
        <f t="shared" si="2"/>
        <v/>
      </c>
      <c r="H300" s="33" t="str">
        <f>IF(OR(A300="",F300=""),"",F300-VLOOKUP(A300,BILLING!$B:$I,7,FALSE))</f>
        <v/>
      </c>
      <c r="I300" s="33" t="str">
        <f>IF(A300="","",IF(E300&lt;=0,"Current",IF(TODAY()-VLOOKUP(A300,BILLING!$B:$I,7,FALSE)&lt;=30,"0-30 Days",IF(TODAY()-VLOOKUP(A300,BILLING!$B:$I,7,FALSE)&lt;=60,"31-60 Days","61+ Days"))))</f>
        <v/>
      </c>
    </row>
    <row r="301" ht="15.75" customHeight="1">
      <c r="A301" s="33" t="str">
        <f>IF(BILLING!B301="","",BILLING!B301)</f>
        <v/>
      </c>
      <c r="B301" s="33" t="str">
        <f>IF(A301="","",IFERROR(VLOOKUP(VLOOKUP(VLOOKUP(A301,BILLING!$B:$I,7,FALSE),BOOKINGS!$A:$Q,3,FALSE),CLIENTS!$A:$H,2,FALSE),""))</f>
        <v/>
      </c>
      <c r="C301" s="38" t="str">
        <f>IF(A301="","",IFERROR(VLOOKUP(A301,BILLING!$B:$I,5,FALSE),0))</f>
        <v/>
      </c>
      <c r="D301" s="38"/>
      <c r="E301" s="38" t="str">
        <f t="shared" si="1"/>
        <v/>
      </c>
      <c r="F301" s="39"/>
      <c r="G301" s="33" t="str">
        <f t="shared" si="2"/>
        <v/>
      </c>
      <c r="H301" s="33" t="str">
        <f>IF(OR(A301="",F301=""),"",F301-VLOOKUP(A301,BILLING!$B:$I,7,FALSE))</f>
        <v/>
      </c>
      <c r="I301" s="33" t="str">
        <f>IF(A301="","",IF(E301&lt;=0,"Current",IF(TODAY()-VLOOKUP(A301,BILLING!$B:$I,7,FALSE)&lt;=30,"0-30 Days",IF(TODAY()-VLOOKUP(A301,BILLING!$B:$I,7,FALSE)&lt;=60,"31-60 Days","61+ Days"))))</f>
        <v/>
      </c>
    </row>
    <row r="302" ht="15.75" customHeight="1">
      <c r="A302" s="33" t="str">
        <f>IF(BILLING!B302="","",BILLING!B302)</f>
        <v/>
      </c>
      <c r="B302" s="33" t="str">
        <f>IF(A302="","",IFERROR(VLOOKUP(VLOOKUP(VLOOKUP(A302,BILLING!$B:$I,7,FALSE),BOOKINGS!$A:$Q,3,FALSE),CLIENTS!$A:$H,2,FALSE),""))</f>
        <v/>
      </c>
      <c r="C302" s="38" t="str">
        <f>IF(A302="","",IFERROR(VLOOKUP(A302,BILLING!$B:$I,5,FALSE),0))</f>
        <v/>
      </c>
      <c r="D302" s="38"/>
      <c r="E302" s="38" t="str">
        <f t="shared" si="1"/>
        <v/>
      </c>
      <c r="F302" s="39"/>
      <c r="G302" s="33" t="str">
        <f t="shared" si="2"/>
        <v/>
      </c>
      <c r="H302" s="33" t="str">
        <f>IF(OR(A302="",F302=""),"",F302-VLOOKUP(A302,BILLING!$B:$I,7,FALSE))</f>
        <v/>
      </c>
      <c r="I302" s="33" t="str">
        <f>IF(A302="","",IF(E302&lt;=0,"Current",IF(TODAY()-VLOOKUP(A302,BILLING!$B:$I,7,FALSE)&lt;=30,"0-30 Days",IF(TODAY()-VLOOKUP(A302,BILLING!$B:$I,7,FALSE)&lt;=60,"31-60 Days","61+ Days"))))</f>
        <v/>
      </c>
    </row>
    <row r="303" ht="15.75" customHeight="1">
      <c r="A303" s="33" t="str">
        <f>IF(BILLING!B303="","",BILLING!B303)</f>
        <v/>
      </c>
      <c r="B303" s="33" t="str">
        <f>IF(A303="","",IFERROR(VLOOKUP(VLOOKUP(VLOOKUP(A303,BILLING!$B:$I,7,FALSE),BOOKINGS!$A:$Q,3,FALSE),CLIENTS!$A:$H,2,FALSE),""))</f>
        <v/>
      </c>
      <c r="C303" s="38" t="str">
        <f>IF(A303="","",IFERROR(VLOOKUP(A303,BILLING!$B:$I,5,FALSE),0))</f>
        <v/>
      </c>
      <c r="D303" s="38"/>
      <c r="E303" s="38" t="str">
        <f t="shared" si="1"/>
        <v/>
      </c>
      <c r="F303" s="39"/>
      <c r="G303" s="33" t="str">
        <f t="shared" si="2"/>
        <v/>
      </c>
      <c r="H303" s="33" t="str">
        <f>IF(OR(A303="",F303=""),"",F303-VLOOKUP(A303,BILLING!$B:$I,7,FALSE))</f>
        <v/>
      </c>
      <c r="I303" s="33" t="str">
        <f>IF(A303="","",IF(E303&lt;=0,"Current",IF(TODAY()-VLOOKUP(A303,BILLING!$B:$I,7,FALSE)&lt;=30,"0-30 Days",IF(TODAY()-VLOOKUP(A303,BILLING!$B:$I,7,FALSE)&lt;=60,"31-60 Days","61+ Days"))))</f>
        <v/>
      </c>
    </row>
    <row r="304" ht="15.75" customHeight="1">
      <c r="A304" s="33" t="str">
        <f>IF(BILLING!B304="","",BILLING!B304)</f>
        <v/>
      </c>
      <c r="B304" s="33" t="str">
        <f>IF(A304="","",IFERROR(VLOOKUP(VLOOKUP(VLOOKUP(A304,BILLING!$B:$I,7,FALSE),BOOKINGS!$A:$Q,3,FALSE),CLIENTS!$A:$H,2,FALSE),""))</f>
        <v/>
      </c>
      <c r="C304" s="38" t="str">
        <f>IF(A304="","",IFERROR(VLOOKUP(A304,BILLING!$B:$I,5,FALSE),0))</f>
        <v/>
      </c>
      <c r="D304" s="38"/>
      <c r="E304" s="38" t="str">
        <f t="shared" si="1"/>
        <v/>
      </c>
      <c r="F304" s="39"/>
      <c r="G304" s="33" t="str">
        <f t="shared" si="2"/>
        <v/>
      </c>
      <c r="H304" s="33" t="str">
        <f>IF(OR(A304="",F304=""),"",F304-VLOOKUP(A304,BILLING!$B:$I,7,FALSE))</f>
        <v/>
      </c>
      <c r="I304" s="33" t="str">
        <f>IF(A304="","",IF(E304&lt;=0,"Current",IF(TODAY()-VLOOKUP(A304,BILLING!$B:$I,7,FALSE)&lt;=30,"0-30 Days",IF(TODAY()-VLOOKUP(A304,BILLING!$B:$I,7,FALSE)&lt;=60,"31-60 Days","61+ Days"))))</f>
        <v/>
      </c>
    </row>
    <row r="305" ht="15.75" customHeight="1">
      <c r="A305" s="33" t="str">
        <f>IF(BILLING!B305="","",BILLING!B305)</f>
        <v/>
      </c>
      <c r="B305" s="33" t="str">
        <f>IF(A305="","",IFERROR(VLOOKUP(VLOOKUP(VLOOKUP(A305,BILLING!$B:$I,7,FALSE),BOOKINGS!$A:$Q,3,FALSE),CLIENTS!$A:$H,2,FALSE),""))</f>
        <v/>
      </c>
      <c r="C305" s="38" t="str">
        <f>IF(A305="","",IFERROR(VLOOKUP(A305,BILLING!$B:$I,5,FALSE),0))</f>
        <v/>
      </c>
      <c r="D305" s="38"/>
      <c r="E305" s="38" t="str">
        <f t="shared" si="1"/>
        <v/>
      </c>
      <c r="F305" s="39"/>
      <c r="G305" s="33" t="str">
        <f t="shared" si="2"/>
        <v/>
      </c>
      <c r="H305" s="33" t="str">
        <f>IF(OR(A305="",F305=""),"",F305-VLOOKUP(A305,BILLING!$B:$I,7,FALSE))</f>
        <v/>
      </c>
      <c r="I305" s="33" t="str">
        <f>IF(A305="","",IF(E305&lt;=0,"Current",IF(TODAY()-VLOOKUP(A305,BILLING!$B:$I,7,FALSE)&lt;=30,"0-30 Days",IF(TODAY()-VLOOKUP(A305,BILLING!$B:$I,7,FALSE)&lt;=60,"31-60 Days","61+ Days"))))</f>
        <v/>
      </c>
    </row>
    <row r="306" ht="15.75" customHeight="1">
      <c r="A306" s="33" t="str">
        <f>IF(BILLING!B306="","",BILLING!B306)</f>
        <v/>
      </c>
      <c r="B306" s="33" t="str">
        <f>IF(A306="","",IFERROR(VLOOKUP(VLOOKUP(VLOOKUP(A306,BILLING!$B:$I,7,FALSE),BOOKINGS!$A:$Q,3,FALSE),CLIENTS!$A:$H,2,FALSE),""))</f>
        <v/>
      </c>
      <c r="C306" s="38" t="str">
        <f>IF(A306="","",IFERROR(VLOOKUP(A306,BILLING!$B:$I,5,FALSE),0))</f>
        <v/>
      </c>
      <c r="D306" s="38"/>
      <c r="E306" s="38" t="str">
        <f t="shared" si="1"/>
        <v/>
      </c>
      <c r="F306" s="39"/>
      <c r="G306" s="33" t="str">
        <f t="shared" si="2"/>
        <v/>
      </c>
      <c r="H306" s="33" t="str">
        <f>IF(OR(A306="",F306=""),"",F306-VLOOKUP(A306,BILLING!$B:$I,7,FALSE))</f>
        <v/>
      </c>
      <c r="I306" s="33" t="str">
        <f>IF(A306="","",IF(E306&lt;=0,"Current",IF(TODAY()-VLOOKUP(A306,BILLING!$B:$I,7,FALSE)&lt;=30,"0-30 Days",IF(TODAY()-VLOOKUP(A306,BILLING!$B:$I,7,FALSE)&lt;=60,"31-60 Days","61+ Days"))))</f>
        <v/>
      </c>
    </row>
    <row r="307" ht="15.75" customHeight="1">
      <c r="A307" s="33" t="str">
        <f>IF(BILLING!B307="","",BILLING!B307)</f>
        <v/>
      </c>
      <c r="B307" s="33" t="str">
        <f>IF(A307="","",IFERROR(VLOOKUP(VLOOKUP(VLOOKUP(A307,BILLING!$B:$I,7,FALSE),BOOKINGS!$A:$Q,3,FALSE),CLIENTS!$A:$H,2,FALSE),""))</f>
        <v/>
      </c>
      <c r="C307" s="38" t="str">
        <f>IF(A307="","",IFERROR(VLOOKUP(A307,BILLING!$B:$I,5,FALSE),0))</f>
        <v/>
      </c>
      <c r="D307" s="38"/>
      <c r="E307" s="38" t="str">
        <f t="shared" si="1"/>
        <v/>
      </c>
      <c r="F307" s="39"/>
      <c r="G307" s="33" t="str">
        <f t="shared" si="2"/>
        <v/>
      </c>
      <c r="H307" s="33" t="str">
        <f>IF(OR(A307="",F307=""),"",F307-VLOOKUP(A307,BILLING!$B:$I,7,FALSE))</f>
        <v/>
      </c>
      <c r="I307" s="33" t="str">
        <f>IF(A307="","",IF(E307&lt;=0,"Current",IF(TODAY()-VLOOKUP(A307,BILLING!$B:$I,7,FALSE)&lt;=30,"0-30 Days",IF(TODAY()-VLOOKUP(A307,BILLING!$B:$I,7,FALSE)&lt;=60,"31-60 Days","61+ Days"))))</f>
        <v/>
      </c>
    </row>
    <row r="308" ht="15.75" customHeight="1">
      <c r="A308" s="33" t="str">
        <f>IF(BILLING!B308="","",BILLING!B308)</f>
        <v/>
      </c>
      <c r="B308" s="33" t="str">
        <f>IF(A308="","",IFERROR(VLOOKUP(VLOOKUP(VLOOKUP(A308,BILLING!$B:$I,7,FALSE),BOOKINGS!$A:$Q,3,FALSE),CLIENTS!$A:$H,2,FALSE),""))</f>
        <v/>
      </c>
      <c r="C308" s="38" t="str">
        <f>IF(A308="","",IFERROR(VLOOKUP(A308,BILLING!$B:$I,5,FALSE),0))</f>
        <v/>
      </c>
      <c r="D308" s="38"/>
      <c r="E308" s="38" t="str">
        <f t="shared" si="1"/>
        <v/>
      </c>
      <c r="F308" s="39"/>
      <c r="G308" s="33" t="str">
        <f t="shared" si="2"/>
        <v/>
      </c>
      <c r="H308" s="33" t="str">
        <f>IF(OR(A308="",F308=""),"",F308-VLOOKUP(A308,BILLING!$B:$I,7,FALSE))</f>
        <v/>
      </c>
      <c r="I308" s="33" t="str">
        <f>IF(A308="","",IF(E308&lt;=0,"Current",IF(TODAY()-VLOOKUP(A308,BILLING!$B:$I,7,FALSE)&lt;=30,"0-30 Days",IF(TODAY()-VLOOKUP(A308,BILLING!$B:$I,7,FALSE)&lt;=60,"31-60 Days","61+ Days"))))</f>
        <v/>
      </c>
    </row>
    <row r="309" ht="15.75" customHeight="1">
      <c r="A309" s="33" t="str">
        <f>IF(BILLING!B309="","",BILLING!B309)</f>
        <v/>
      </c>
      <c r="B309" s="33" t="str">
        <f>IF(A309="","",IFERROR(VLOOKUP(VLOOKUP(VLOOKUP(A309,BILLING!$B:$I,7,FALSE),BOOKINGS!$A:$Q,3,FALSE),CLIENTS!$A:$H,2,FALSE),""))</f>
        <v/>
      </c>
      <c r="C309" s="38" t="str">
        <f>IF(A309="","",IFERROR(VLOOKUP(A309,BILLING!$B:$I,5,FALSE),0))</f>
        <v/>
      </c>
      <c r="D309" s="38"/>
      <c r="E309" s="38" t="str">
        <f t="shared" si="1"/>
        <v/>
      </c>
      <c r="F309" s="39"/>
      <c r="G309" s="33" t="str">
        <f t="shared" si="2"/>
        <v/>
      </c>
      <c r="H309" s="33" t="str">
        <f>IF(OR(A309="",F309=""),"",F309-VLOOKUP(A309,BILLING!$B:$I,7,FALSE))</f>
        <v/>
      </c>
      <c r="I309" s="33" t="str">
        <f>IF(A309="","",IF(E309&lt;=0,"Current",IF(TODAY()-VLOOKUP(A309,BILLING!$B:$I,7,FALSE)&lt;=30,"0-30 Days",IF(TODAY()-VLOOKUP(A309,BILLING!$B:$I,7,FALSE)&lt;=60,"31-60 Days","61+ Days"))))</f>
        <v/>
      </c>
    </row>
    <row r="310" ht="15.75" customHeight="1">
      <c r="A310" s="33" t="str">
        <f>IF(BILLING!B310="","",BILLING!B310)</f>
        <v/>
      </c>
      <c r="B310" s="33" t="str">
        <f>IF(A310="","",IFERROR(VLOOKUP(VLOOKUP(VLOOKUP(A310,BILLING!$B:$I,7,FALSE),BOOKINGS!$A:$Q,3,FALSE),CLIENTS!$A:$H,2,FALSE),""))</f>
        <v/>
      </c>
      <c r="C310" s="38" t="str">
        <f>IF(A310="","",IFERROR(VLOOKUP(A310,BILLING!$B:$I,5,FALSE),0))</f>
        <v/>
      </c>
      <c r="D310" s="38"/>
      <c r="E310" s="38" t="str">
        <f t="shared" si="1"/>
        <v/>
      </c>
      <c r="F310" s="39"/>
      <c r="G310" s="33" t="str">
        <f t="shared" si="2"/>
        <v/>
      </c>
      <c r="H310" s="33" t="str">
        <f>IF(OR(A310="",F310=""),"",F310-VLOOKUP(A310,BILLING!$B:$I,7,FALSE))</f>
        <v/>
      </c>
      <c r="I310" s="33" t="str">
        <f>IF(A310="","",IF(E310&lt;=0,"Current",IF(TODAY()-VLOOKUP(A310,BILLING!$B:$I,7,FALSE)&lt;=30,"0-30 Days",IF(TODAY()-VLOOKUP(A310,BILLING!$B:$I,7,FALSE)&lt;=60,"31-60 Days","61+ Days"))))</f>
        <v/>
      </c>
    </row>
    <row r="311" ht="15.75" customHeight="1">
      <c r="A311" s="33" t="str">
        <f>IF(BILLING!B311="","",BILLING!B311)</f>
        <v/>
      </c>
      <c r="B311" s="33" t="str">
        <f>IF(A311="","",IFERROR(VLOOKUP(VLOOKUP(VLOOKUP(A311,BILLING!$B:$I,7,FALSE),BOOKINGS!$A:$Q,3,FALSE),CLIENTS!$A:$H,2,FALSE),""))</f>
        <v/>
      </c>
      <c r="C311" s="38" t="str">
        <f>IF(A311="","",IFERROR(VLOOKUP(A311,BILLING!$B:$I,5,FALSE),0))</f>
        <v/>
      </c>
      <c r="D311" s="38"/>
      <c r="E311" s="38" t="str">
        <f t="shared" si="1"/>
        <v/>
      </c>
      <c r="F311" s="39"/>
      <c r="G311" s="33" t="str">
        <f t="shared" si="2"/>
        <v/>
      </c>
      <c r="H311" s="33" t="str">
        <f>IF(OR(A311="",F311=""),"",F311-VLOOKUP(A311,BILLING!$B:$I,7,FALSE))</f>
        <v/>
      </c>
      <c r="I311" s="33" t="str">
        <f>IF(A311="","",IF(E311&lt;=0,"Current",IF(TODAY()-VLOOKUP(A311,BILLING!$B:$I,7,FALSE)&lt;=30,"0-30 Days",IF(TODAY()-VLOOKUP(A311,BILLING!$B:$I,7,FALSE)&lt;=60,"31-60 Days","61+ Days"))))</f>
        <v/>
      </c>
    </row>
    <row r="312" ht="15.75" customHeight="1">
      <c r="A312" s="33" t="str">
        <f>IF(BILLING!B312="","",BILLING!B312)</f>
        <v/>
      </c>
      <c r="B312" s="33" t="str">
        <f>IF(A312="","",IFERROR(VLOOKUP(VLOOKUP(VLOOKUP(A312,BILLING!$B:$I,7,FALSE),BOOKINGS!$A:$Q,3,FALSE),CLIENTS!$A:$H,2,FALSE),""))</f>
        <v/>
      </c>
      <c r="C312" s="38" t="str">
        <f>IF(A312="","",IFERROR(VLOOKUP(A312,BILLING!$B:$I,5,FALSE),0))</f>
        <v/>
      </c>
      <c r="D312" s="38"/>
      <c r="E312" s="38" t="str">
        <f t="shared" si="1"/>
        <v/>
      </c>
      <c r="F312" s="39"/>
      <c r="G312" s="33" t="str">
        <f t="shared" si="2"/>
        <v/>
      </c>
      <c r="H312" s="33" t="str">
        <f>IF(OR(A312="",F312=""),"",F312-VLOOKUP(A312,BILLING!$B:$I,7,FALSE))</f>
        <v/>
      </c>
      <c r="I312" s="33" t="str">
        <f>IF(A312="","",IF(E312&lt;=0,"Current",IF(TODAY()-VLOOKUP(A312,BILLING!$B:$I,7,FALSE)&lt;=30,"0-30 Days",IF(TODAY()-VLOOKUP(A312,BILLING!$B:$I,7,FALSE)&lt;=60,"31-60 Days","61+ Days"))))</f>
        <v/>
      </c>
    </row>
    <row r="313" ht="15.75" customHeight="1">
      <c r="A313" s="33" t="str">
        <f>IF(BILLING!B313="","",BILLING!B313)</f>
        <v/>
      </c>
      <c r="B313" s="33" t="str">
        <f>IF(A313="","",IFERROR(VLOOKUP(VLOOKUP(VLOOKUP(A313,BILLING!$B:$I,7,FALSE),BOOKINGS!$A:$Q,3,FALSE),CLIENTS!$A:$H,2,FALSE),""))</f>
        <v/>
      </c>
      <c r="C313" s="38" t="str">
        <f>IF(A313="","",IFERROR(VLOOKUP(A313,BILLING!$B:$I,5,FALSE),0))</f>
        <v/>
      </c>
      <c r="D313" s="38"/>
      <c r="E313" s="38" t="str">
        <f t="shared" si="1"/>
        <v/>
      </c>
      <c r="F313" s="39"/>
      <c r="G313" s="33" t="str">
        <f t="shared" si="2"/>
        <v/>
      </c>
      <c r="H313" s="33" t="str">
        <f>IF(OR(A313="",F313=""),"",F313-VLOOKUP(A313,BILLING!$B:$I,7,FALSE))</f>
        <v/>
      </c>
      <c r="I313" s="33" t="str">
        <f>IF(A313="","",IF(E313&lt;=0,"Current",IF(TODAY()-VLOOKUP(A313,BILLING!$B:$I,7,FALSE)&lt;=30,"0-30 Days",IF(TODAY()-VLOOKUP(A313,BILLING!$B:$I,7,FALSE)&lt;=60,"31-60 Days","61+ Days"))))</f>
        <v/>
      </c>
    </row>
    <row r="314" ht="15.75" customHeight="1">
      <c r="A314" s="33" t="str">
        <f>IF(BILLING!B314="","",BILLING!B314)</f>
        <v/>
      </c>
      <c r="B314" s="33" t="str">
        <f>IF(A314="","",IFERROR(VLOOKUP(VLOOKUP(VLOOKUP(A314,BILLING!$B:$I,7,FALSE),BOOKINGS!$A:$Q,3,FALSE),CLIENTS!$A:$H,2,FALSE),""))</f>
        <v/>
      </c>
      <c r="C314" s="38" t="str">
        <f>IF(A314="","",IFERROR(VLOOKUP(A314,BILLING!$B:$I,5,FALSE),0))</f>
        <v/>
      </c>
      <c r="D314" s="38"/>
      <c r="E314" s="38" t="str">
        <f t="shared" si="1"/>
        <v/>
      </c>
      <c r="F314" s="39"/>
      <c r="G314" s="33" t="str">
        <f t="shared" si="2"/>
        <v/>
      </c>
      <c r="H314" s="33" t="str">
        <f>IF(OR(A314="",F314=""),"",F314-VLOOKUP(A314,BILLING!$B:$I,7,FALSE))</f>
        <v/>
      </c>
      <c r="I314" s="33" t="str">
        <f>IF(A314="","",IF(E314&lt;=0,"Current",IF(TODAY()-VLOOKUP(A314,BILLING!$B:$I,7,FALSE)&lt;=30,"0-30 Days",IF(TODAY()-VLOOKUP(A314,BILLING!$B:$I,7,FALSE)&lt;=60,"31-60 Days","61+ Days"))))</f>
        <v/>
      </c>
    </row>
    <row r="315" ht="15.75" customHeight="1">
      <c r="A315" s="33" t="str">
        <f>IF(BILLING!B315="","",BILLING!B315)</f>
        <v/>
      </c>
      <c r="B315" s="33" t="str">
        <f>IF(A315="","",IFERROR(VLOOKUP(VLOOKUP(VLOOKUP(A315,BILLING!$B:$I,7,FALSE),BOOKINGS!$A:$Q,3,FALSE),CLIENTS!$A:$H,2,FALSE),""))</f>
        <v/>
      </c>
      <c r="C315" s="38" t="str">
        <f>IF(A315="","",IFERROR(VLOOKUP(A315,BILLING!$B:$I,5,FALSE),0))</f>
        <v/>
      </c>
      <c r="D315" s="38"/>
      <c r="E315" s="38" t="str">
        <f t="shared" si="1"/>
        <v/>
      </c>
      <c r="F315" s="39"/>
      <c r="G315" s="33" t="str">
        <f t="shared" si="2"/>
        <v/>
      </c>
      <c r="H315" s="33" t="str">
        <f>IF(OR(A315="",F315=""),"",F315-VLOOKUP(A315,BILLING!$B:$I,7,FALSE))</f>
        <v/>
      </c>
      <c r="I315" s="33" t="str">
        <f>IF(A315="","",IF(E315&lt;=0,"Current",IF(TODAY()-VLOOKUP(A315,BILLING!$B:$I,7,FALSE)&lt;=30,"0-30 Days",IF(TODAY()-VLOOKUP(A315,BILLING!$B:$I,7,FALSE)&lt;=60,"31-60 Days","61+ Days"))))</f>
        <v/>
      </c>
    </row>
    <row r="316" ht="15.75" customHeight="1">
      <c r="A316" s="33" t="str">
        <f>IF(BILLING!B316="","",BILLING!B316)</f>
        <v/>
      </c>
      <c r="B316" s="33" t="str">
        <f>IF(A316="","",IFERROR(VLOOKUP(VLOOKUP(VLOOKUP(A316,BILLING!$B:$I,7,FALSE),BOOKINGS!$A:$Q,3,FALSE),CLIENTS!$A:$H,2,FALSE),""))</f>
        <v/>
      </c>
      <c r="C316" s="38" t="str">
        <f>IF(A316="","",IFERROR(VLOOKUP(A316,BILLING!$B:$I,5,FALSE),0))</f>
        <v/>
      </c>
      <c r="D316" s="38"/>
      <c r="E316" s="38" t="str">
        <f t="shared" si="1"/>
        <v/>
      </c>
      <c r="F316" s="39"/>
      <c r="G316" s="33" t="str">
        <f t="shared" si="2"/>
        <v/>
      </c>
      <c r="H316" s="33" t="str">
        <f>IF(OR(A316="",F316=""),"",F316-VLOOKUP(A316,BILLING!$B:$I,7,FALSE))</f>
        <v/>
      </c>
      <c r="I316" s="33" t="str">
        <f>IF(A316="","",IF(E316&lt;=0,"Current",IF(TODAY()-VLOOKUP(A316,BILLING!$B:$I,7,FALSE)&lt;=30,"0-30 Days",IF(TODAY()-VLOOKUP(A316,BILLING!$B:$I,7,FALSE)&lt;=60,"31-60 Days","61+ Days"))))</f>
        <v/>
      </c>
    </row>
    <row r="317" ht="15.75" customHeight="1">
      <c r="A317" s="33" t="str">
        <f>IF(BILLING!B317="","",BILLING!B317)</f>
        <v/>
      </c>
      <c r="B317" s="33" t="str">
        <f>IF(A317="","",IFERROR(VLOOKUP(VLOOKUP(VLOOKUP(A317,BILLING!$B:$I,7,FALSE),BOOKINGS!$A:$Q,3,FALSE),CLIENTS!$A:$H,2,FALSE),""))</f>
        <v/>
      </c>
      <c r="C317" s="38" t="str">
        <f>IF(A317="","",IFERROR(VLOOKUP(A317,BILLING!$B:$I,5,FALSE),0))</f>
        <v/>
      </c>
      <c r="D317" s="38"/>
      <c r="E317" s="38" t="str">
        <f t="shared" si="1"/>
        <v/>
      </c>
      <c r="F317" s="39"/>
      <c r="G317" s="33" t="str">
        <f t="shared" si="2"/>
        <v/>
      </c>
      <c r="H317" s="33" t="str">
        <f>IF(OR(A317="",F317=""),"",F317-VLOOKUP(A317,BILLING!$B:$I,7,FALSE))</f>
        <v/>
      </c>
      <c r="I317" s="33" t="str">
        <f>IF(A317="","",IF(E317&lt;=0,"Current",IF(TODAY()-VLOOKUP(A317,BILLING!$B:$I,7,FALSE)&lt;=30,"0-30 Days",IF(TODAY()-VLOOKUP(A317,BILLING!$B:$I,7,FALSE)&lt;=60,"31-60 Days","61+ Days"))))</f>
        <v/>
      </c>
    </row>
    <row r="318" ht="15.75" customHeight="1">
      <c r="A318" s="33" t="str">
        <f>IF(BILLING!B318="","",BILLING!B318)</f>
        <v/>
      </c>
      <c r="B318" s="33" t="str">
        <f>IF(A318="","",IFERROR(VLOOKUP(VLOOKUP(VLOOKUP(A318,BILLING!$B:$I,7,FALSE),BOOKINGS!$A:$Q,3,FALSE),CLIENTS!$A:$H,2,FALSE),""))</f>
        <v/>
      </c>
      <c r="C318" s="38" t="str">
        <f>IF(A318="","",IFERROR(VLOOKUP(A318,BILLING!$B:$I,5,FALSE),0))</f>
        <v/>
      </c>
      <c r="D318" s="38"/>
      <c r="E318" s="38" t="str">
        <f t="shared" si="1"/>
        <v/>
      </c>
      <c r="F318" s="39"/>
      <c r="G318" s="33" t="str">
        <f t="shared" si="2"/>
        <v/>
      </c>
      <c r="H318" s="33" t="str">
        <f>IF(OR(A318="",F318=""),"",F318-VLOOKUP(A318,BILLING!$B:$I,7,FALSE))</f>
        <v/>
      </c>
      <c r="I318" s="33" t="str">
        <f>IF(A318="","",IF(E318&lt;=0,"Current",IF(TODAY()-VLOOKUP(A318,BILLING!$B:$I,7,FALSE)&lt;=30,"0-30 Days",IF(TODAY()-VLOOKUP(A318,BILLING!$B:$I,7,FALSE)&lt;=60,"31-60 Days","61+ Days"))))</f>
        <v/>
      </c>
    </row>
    <row r="319" ht="15.75" customHeight="1">
      <c r="A319" s="33" t="str">
        <f>IF(BILLING!B319="","",BILLING!B319)</f>
        <v/>
      </c>
      <c r="B319" s="33" t="str">
        <f>IF(A319="","",IFERROR(VLOOKUP(VLOOKUP(VLOOKUP(A319,BILLING!$B:$I,7,FALSE),BOOKINGS!$A:$Q,3,FALSE),CLIENTS!$A:$H,2,FALSE),""))</f>
        <v/>
      </c>
      <c r="C319" s="38" t="str">
        <f>IF(A319="","",IFERROR(VLOOKUP(A319,BILLING!$B:$I,5,FALSE),0))</f>
        <v/>
      </c>
      <c r="D319" s="38"/>
      <c r="E319" s="38" t="str">
        <f t="shared" si="1"/>
        <v/>
      </c>
      <c r="F319" s="39"/>
      <c r="G319" s="33" t="str">
        <f t="shared" si="2"/>
        <v/>
      </c>
      <c r="H319" s="33" t="str">
        <f>IF(OR(A319="",F319=""),"",F319-VLOOKUP(A319,BILLING!$B:$I,7,FALSE))</f>
        <v/>
      </c>
      <c r="I319" s="33" t="str">
        <f>IF(A319="","",IF(E319&lt;=0,"Current",IF(TODAY()-VLOOKUP(A319,BILLING!$B:$I,7,FALSE)&lt;=30,"0-30 Days",IF(TODAY()-VLOOKUP(A319,BILLING!$B:$I,7,FALSE)&lt;=60,"31-60 Days","61+ Days"))))</f>
        <v/>
      </c>
    </row>
    <row r="320" ht="15.75" customHeight="1">
      <c r="A320" s="33" t="str">
        <f>IF(BILLING!B320="","",BILLING!B320)</f>
        <v/>
      </c>
      <c r="B320" s="33" t="str">
        <f>IF(A320="","",IFERROR(VLOOKUP(VLOOKUP(VLOOKUP(A320,BILLING!$B:$I,7,FALSE),BOOKINGS!$A:$Q,3,FALSE),CLIENTS!$A:$H,2,FALSE),""))</f>
        <v/>
      </c>
      <c r="C320" s="38" t="str">
        <f>IF(A320="","",IFERROR(VLOOKUP(A320,BILLING!$B:$I,5,FALSE),0))</f>
        <v/>
      </c>
      <c r="D320" s="38"/>
      <c r="E320" s="38" t="str">
        <f t="shared" si="1"/>
        <v/>
      </c>
      <c r="F320" s="39"/>
      <c r="G320" s="33" t="str">
        <f t="shared" si="2"/>
        <v/>
      </c>
      <c r="H320" s="33" t="str">
        <f>IF(OR(A320="",F320=""),"",F320-VLOOKUP(A320,BILLING!$B:$I,7,FALSE))</f>
        <v/>
      </c>
      <c r="I320" s="33" t="str">
        <f>IF(A320="","",IF(E320&lt;=0,"Current",IF(TODAY()-VLOOKUP(A320,BILLING!$B:$I,7,FALSE)&lt;=30,"0-30 Days",IF(TODAY()-VLOOKUP(A320,BILLING!$B:$I,7,FALSE)&lt;=60,"31-60 Days","61+ Days"))))</f>
        <v/>
      </c>
    </row>
    <row r="321" ht="15.75" customHeight="1">
      <c r="A321" s="33" t="str">
        <f>IF(BILLING!B321="","",BILLING!B321)</f>
        <v/>
      </c>
      <c r="B321" s="33" t="str">
        <f>IF(A321="","",IFERROR(VLOOKUP(VLOOKUP(VLOOKUP(A321,BILLING!$B:$I,7,FALSE),BOOKINGS!$A:$Q,3,FALSE),CLIENTS!$A:$H,2,FALSE),""))</f>
        <v/>
      </c>
      <c r="C321" s="38" t="str">
        <f>IF(A321="","",IFERROR(VLOOKUP(A321,BILLING!$B:$I,5,FALSE),0))</f>
        <v/>
      </c>
      <c r="D321" s="38"/>
      <c r="E321" s="38" t="str">
        <f t="shared" si="1"/>
        <v/>
      </c>
      <c r="F321" s="39"/>
      <c r="G321" s="33" t="str">
        <f t="shared" si="2"/>
        <v/>
      </c>
      <c r="H321" s="33" t="str">
        <f>IF(OR(A321="",F321=""),"",F321-VLOOKUP(A321,BILLING!$B:$I,7,FALSE))</f>
        <v/>
      </c>
      <c r="I321" s="33" t="str">
        <f>IF(A321="","",IF(E321&lt;=0,"Current",IF(TODAY()-VLOOKUP(A321,BILLING!$B:$I,7,FALSE)&lt;=30,"0-30 Days",IF(TODAY()-VLOOKUP(A321,BILLING!$B:$I,7,FALSE)&lt;=60,"31-60 Days","61+ Days"))))</f>
        <v/>
      </c>
    </row>
    <row r="322" ht="15.75" customHeight="1">
      <c r="A322" s="33" t="str">
        <f>IF(BILLING!B322="","",BILLING!B322)</f>
        <v/>
      </c>
      <c r="B322" s="33" t="str">
        <f>IF(A322="","",IFERROR(VLOOKUP(VLOOKUP(VLOOKUP(A322,BILLING!$B:$I,7,FALSE),BOOKINGS!$A:$Q,3,FALSE),CLIENTS!$A:$H,2,FALSE),""))</f>
        <v/>
      </c>
      <c r="C322" s="38" t="str">
        <f>IF(A322="","",IFERROR(VLOOKUP(A322,BILLING!$B:$I,5,FALSE),0))</f>
        <v/>
      </c>
      <c r="D322" s="38"/>
      <c r="E322" s="38" t="str">
        <f t="shared" si="1"/>
        <v/>
      </c>
      <c r="F322" s="39"/>
      <c r="G322" s="33" t="str">
        <f t="shared" si="2"/>
        <v/>
      </c>
      <c r="H322" s="33" t="str">
        <f>IF(OR(A322="",F322=""),"",F322-VLOOKUP(A322,BILLING!$B:$I,7,FALSE))</f>
        <v/>
      </c>
      <c r="I322" s="33" t="str">
        <f>IF(A322="","",IF(E322&lt;=0,"Current",IF(TODAY()-VLOOKUP(A322,BILLING!$B:$I,7,FALSE)&lt;=30,"0-30 Days",IF(TODAY()-VLOOKUP(A322,BILLING!$B:$I,7,FALSE)&lt;=60,"31-60 Days","61+ Days"))))</f>
        <v/>
      </c>
    </row>
    <row r="323" ht="15.75" customHeight="1">
      <c r="A323" s="33" t="str">
        <f>IF(BILLING!B323="","",BILLING!B323)</f>
        <v/>
      </c>
      <c r="B323" s="33" t="str">
        <f>IF(A323="","",IFERROR(VLOOKUP(VLOOKUP(VLOOKUP(A323,BILLING!$B:$I,7,FALSE),BOOKINGS!$A:$Q,3,FALSE),CLIENTS!$A:$H,2,FALSE),""))</f>
        <v/>
      </c>
      <c r="C323" s="38" t="str">
        <f>IF(A323="","",IFERROR(VLOOKUP(A323,BILLING!$B:$I,5,FALSE),0))</f>
        <v/>
      </c>
      <c r="D323" s="38"/>
      <c r="E323" s="38" t="str">
        <f t="shared" si="1"/>
        <v/>
      </c>
      <c r="F323" s="39"/>
      <c r="G323" s="33" t="str">
        <f t="shared" si="2"/>
        <v/>
      </c>
      <c r="H323" s="33" t="str">
        <f>IF(OR(A323="",F323=""),"",F323-VLOOKUP(A323,BILLING!$B:$I,7,FALSE))</f>
        <v/>
      </c>
      <c r="I323" s="33" t="str">
        <f>IF(A323="","",IF(E323&lt;=0,"Current",IF(TODAY()-VLOOKUP(A323,BILLING!$B:$I,7,FALSE)&lt;=30,"0-30 Days",IF(TODAY()-VLOOKUP(A323,BILLING!$B:$I,7,FALSE)&lt;=60,"31-60 Days","61+ Days"))))</f>
        <v/>
      </c>
    </row>
    <row r="324" ht="15.75" customHeight="1">
      <c r="A324" s="33" t="str">
        <f>IF(BILLING!B324="","",BILLING!B324)</f>
        <v/>
      </c>
      <c r="B324" s="33" t="str">
        <f>IF(A324="","",IFERROR(VLOOKUP(VLOOKUP(VLOOKUP(A324,BILLING!$B:$I,7,FALSE),BOOKINGS!$A:$Q,3,FALSE),CLIENTS!$A:$H,2,FALSE),""))</f>
        <v/>
      </c>
      <c r="C324" s="38" t="str">
        <f>IF(A324="","",IFERROR(VLOOKUP(A324,BILLING!$B:$I,5,FALSE),0))</f>
        <v/>
      </c>
      <c r="D324" s="38"/>
      <c r="E324" s="38" t="str">
        <f t="shared" si="1"/>
        <v/>
      </c>
      <c r="F324" s="39"/>
      <c r="G324" s="33" t="str">
        <f t="shared" si="2"/>
        <v/>
      </c>
      <c r="H324" s="33" t="str">
        <f>IF(OR(A324="",F324=""),"",F324-VLOOKUP(A324,BILLING!$B:$I,7,FALSE))</f>
        <v/>
      </c>
      <c r="I324" s="33" t="str">
        <f>IF(A324="","",IF(E324&lt;=0,"Current",IF(TODAY()-VLOOKUP(A324,BILLING!$B:$I,7,FALSE)&lt;=30,"0-30 Days",IF(TODAY()-VLOOKUP(A324,BILLING!$B:$I,7,FALSE)&lt;=60,"31-60 Days","61+ Days"))))</f>
        <v/>
      </c>
    </row>
    <row r="325" ht="15.75" customHeight="1">
      <c r="A325" s="33" t="str">
        <f>IF(BILLING!B325="","",BILLING!B325)</f>
        <v/>
      </c>
      <c r="B325" s="33" t="str">
        <f>IF(A325="","",IFERROR(VLOOKUP(VLOOKUP(VLOOKUP(A325,BILLING!$B:$I,7,FALSE),BOOKINGS!$A:$Q,3,FALSE),CLIENTS!$A:$H,2,FALSE),""))</f>
        <v/>
      </c>
      <c r="C325" s="38" t="str">
        <f>IF(A325="","",IFERROR(VLOOKUP(A325,BILLING!$B:$I,5,FALSE),0))</f>
        <v/>
      </c>
      <c r="D325" s="38"/>
      <c r="E325" s="38" t="str">
        <f t="shared" si="1"/>
        <v/>
      </c>
      <c r="F325" s="39"/>
      <c r="G325" s="33" t="str">
        <f t="shared" si="2"/>
        <v/>
      </c>
      <c r="H325" s="33" t="str">
        <f>IF(OR(A325="",F325=""),"",F325-VLOOKUP(A325,BILLING!$B:$I,7,FALSE))</f>
        <v/>
      </c>
      <c r="I325" s="33" t="str">
        <f>IF(A325="","",IF(E325&lt;=0,"Current",IF(TODAY()-VLOOKUP(A325,BILLING!$B:$I,7,FALSE)&lt;=30,"0-30 Days",IF(TODAY()-VLOOKUP(A325,BILLING!$B:$I,7,FALSE)&lt;=60,"31-60 Days","61+ Days"))))</f>
        <v/>
      </c>
    </row>
    <row r="326" ht="15.75" customHeight="1">
      <c r="A326" s="33" t="str">
        <f>IF(BILLING!B326="","",BILLING!B326)</f>
        <v/>
      </c>
      <c r="B326" s="33" t="str">
        <f>IF(A326="","",IFERROR(VLOOKUP(VLOOKUP(VLOOKUP(A326,BILLING!$B:$I,7,FALSE),BOOKINGS!$A:$Q,3,FALSE),CLIENTS!$A:$H,2,FALSE),""))</f>
        <v/>
      </c>
      <c r="C326" s="38" t="str">
        <f>IF(A326="","",IFERROR(VLOOKUP(A326,BILLING!$B:$I,5,FALSE),0))</f>
        <v/>
      </c>
      <c r="D326" s="38"/>
      <c r="E326" s="38" t="str">
        <f t="shared" si="1"/>
        <v/>
      </c>
      <c r="F326" s="39"/>
      <c r="G326" s="33" t="str">
        <f t="shared" si="2"/>
        <v/>
      </c>
      <c r="H326" s="33" t="str">
        <f>IF(OR(A326="",F326=""),"",F326-VLOOKUP(A326,BILLING!$B:$I,7,FALSE))</f>
        <v/>
      </c>
      <c r="I326" s="33" t="str">
        <f>IF(A326="","",IF(E326&lt;=0,"Current",IF(TODAY()-VLOOKUP(A326,BILLING!$B:$I,7,FALSE)&lt;=30,"0-30 Days",IF(TODAY()-VLOOKUP(A326,BILLING!$B:$I,7,FALSE)&lt;=60,"31-60 Days","61+ Days"))))</f>
        <v/>
      </c>
    </row>
    <row r="327" ht="15.75" customHeight="1">
      <c r="A327" s="33" t="str">
        <f>IF(BILLING!B327="","",BILLING!B327)</f>
        <v/>
      </c>
      <c r="B327" s="33" t="str">
        <f>IF(A327="","",IFERROR(VLOOKUP(VLOOKUP(VLOOKUP(A327,BILLING!$B:$I,7,FALSE),BOOKINGS!$A:$Q,3,FALSE),CLIENTS!$A:$H,2,FALSE),""))</f>
        <v/>
      </c>
      <c r="C327" s="38" t="str">
        <f>IF(A327="","",IFERROR(VLOOKUP(A327,BILLING!$B:$I,5,FALSE),0))</f>
        <v/>
      </c>
      <c r="D327" s="38"/>
      <c r="E327" s="38" t="str">
        <f t="shared" si="1"/>
        <v/>
      </c>
      <c r="F327" s="39"/>
      <c r="G327" s="33" t="str">
        <f t="shared" si="2"/>
        <v/>
      </c>
      <c r="H327" s="33" t="str">
        <f>IF(OR(A327="",F327=""),"",F327-VLOOKUP(A327,BILLING!$B:$I,7,FALSE))</f>
        <v/>
      </c>
      <c r="I327" s="33" t="str">
        <f>IF(A327="","",IF(E327&lt;=0,"Current",IF(TODAY()-VLOOKUP(A327,BILLING!$B:$I,7,FALSE)&lt;=30,"0-30 Days",IF(TODAY()-VLOOKUP(A327,BILLING!$B:$I,7,FALSE)&lt;=60,"31-60 Days","61+ Days"))))</f>
        <v/>
      </c>
    </row>
    <row r="328" ht="15.75" customHeight="1">
      <c r="A328" s="33" t="str">
        <f>IF(BILLING!B328="","",BILLING!B328)</f>
        <v/>
      </c>
      <c r="B328" s="33" t="str">
        <f>IF(A328="","",IFERROR(VLOOKUP(VLOOKUP(VLOOKUP(A328,BILLING!$B:$I,7,FALSE),BOOKINGS!$A:$Q,3,FALSE),CLIENTS!$A:$H,2,FALSE),""))</f>
        <v/>
      </c>
      <c r="C328" s="38" t="str">
        <f>IF(A328="","",IFERROR(VLOOKUP(A328,BILLING!$B:$I,5,FALSE),0))</f>
        <v/>
      </c>
      <c r="D328" s="38"/>
      <c r="E328" s="38" t="str">
        <f t="shared" si="1"/>
        <v/>
      </c>
      <c r="F328" s="39"/>
      <c r="G328" s="33" t="str">
        <f t="shared" si="2"/>
        <v/>
      </c>
      <c r="H328" s="33" t="str">
        <f>IF(OR(A328="",F328=""),"",F328-VLOOKUP(A328,BILLING!$B:$I,7,FALSE))</f>
        <v/>
      </c>
      <c r="I328" s="33" t="str">
        <f>IF(A328="","",IF(E328&lt;=0,"Current",IF(TODAY()-VLOOKUP(A328,BILLING!$B:$I,7,FALSE)&lt;=30,"0-30 Days",IF(TODAY()-VLOOKUP(A328,BILLING!$B:$I,7,FALSE)&lt;=60,"31-60 Days","61+ Days"))))</f>
        <v/>
      </c>
    </row>
    <row r="329" ht="15.75" customHeight="1">
      <c r="A329" s="33" t="str">
        <f>IF(BILLING!B329="","",BILLING!B329)</f>
        <v/>
      </c>
      <c r="B329" s="33" t="str">
        <f>IF(A329="","",IFERROR(VLOOKUP(VLOOKUP(VLOOKUP(A329,BILLING!$B:$I,7,FALSE),BOOKINGS!$A:$Q,3,FALSE),CLIENTS!$A:$H,2,FALSE),""))</f>
        <v/>
      </c>
      <c r="C329" s="38" t="str">
        <f>IF(A329="","",IFERROR(VLOOKUP(A329,BILLING!$B:$I,5,FALSE),0))</f>
        <v/>
      </c>
      <c r="D329" s="38"/>
      <c r="E329" s="38" t="str">
        <f t="shared" si="1"/>
        <v/>
      </c>
      <c r="F329" s="39"/>
      <c r="G329" s="33" t="str">
        <f t="shared" si="2"/>
        <v/>
      </c>
      <c r="H329" s="33" t="str">
        <f>IF(OR(A329="",F329=""),"",F329-VLOOKUP(A329,BILLING!$B:$I,7,FALSE))</f>
        <v/>
      </c>
      <c r="I329" s="33" t="str">
        <f>IF(A329="","",IF(E329&lt;=0,"Current",IF(TODAY()-VLOOKUP(A329,BILLING!$B:$I,7,FALSE)&lt;=30,"0-30 Days",IF(TODAY()-VLOOKUP(A329,BILLING!$B:$I,7,FALSE)&lt;=60,"31-60 Days","61+ Days"))))</f>
        <v/>
      </c>
    </row>
    <row r="330" ht="15.75" customHeight="1">
      <c r="A330" s="33" t="str">
        <f>IF(BILLING!B330="","",BILLING!B330)</f>
        <v/>
      </c>
      <c r="B330" s="33" t="str">
        <f>IF(A330="","",IFERROR(VLOOKUP(VLOOKUP(VLOOKUP(A330,BILLING!$B:$I,7,FALSE),BOOKINGS!$A:$Q,3,FALSE),CLIENTS!$A:$H,2,FALSE),""))</f>
        <v/>
      </c>
      <c r="C330" s="38" t="str">
        <f>IF(A330="","",IFERROR(VLOOKUP(A330,BILLING!$B:$I,5,FALSE),0))</f>
        <v/>
      </c>
      <c r="D330" s="38"/>
      <c r="E330" s="38" t="str">
        <f t="shared" si="1"/>
        <v/>
      </c>
      <c r="F330" s="39"/>
      <c r="G330" s="33" t="str">
        <f t="shared" si="2"/>
        <v/>
      </c>
      <c r="H330" s="33" t="str">
        <f>IF(OR(A330="",F330=""),"",F330-VLOOKUP(A330,BILLING!$B:$I,7,FALSE))</f>
        <v/>
      </c>
      <c r="I330" s="33" t="str">
        <f>IF(A330="","",IF(E330&lt;=0,"Current",IF(TODAY()-VLOOKUP(A330,BILLING!$B:$I,7,FALSE)&lt;=30,"0-30 Days",IF(TODAY()-VLOOKUP(A330,BILLING!$B:$I,7,FALSE)&lt;=60,"31-60 Days","61+ Days"))))</f>
        <v/>
      </c>
    </row>
    <row r="331" ht="15.75" customHeight="1">
      <c r="A331" s="33" t="str">
        <f>IF(BILLING!B331="","",BILLING!B331)</f>
        <v/>
      </c>
      <c r="B331" s="33" t="str">
        <f>IF(A331="","",IFERROR(VLOOKUP(VLOOKUP(VLOOKUP(A331,BILLING!$B:$I,7,FALSE),BOOKINGS!$A:$Q,3,FALSE),CLIENTS!$A:$H,2,FALSE),""))</f>
        <v/>
      </c>
      <c r="C331" s="38" t="str">
        <f>IF(A331="","",IFERROR(VLOOKUP(A331,BILLING!$B:$I,5,FALSE),0))</f>
        <v/>
      </c>
      <c r="D331" s="38"/>
      <c r="E331" s="38" t="str">
        <f t="shared" si="1"/>
        <v/>
      </c>
      <c r="F331" s="39"/>
      <c r="G331" s="33" t="str">
        <f t="shared" si="2"/>
        <v/>
      </c>
      <c r="H331" s="33" t="str">
        <f>IF(OR(A331="",F331=""),"",F331-VLOOKUP(A331,BILLING!$B:$I,7,FALSE))</f>
        <v/>
      </c>
      <c r="I331" s="33" t="str">
        <f>IF(A331="","",IF(E331&lt;=0,"Current",IF(TODAY()-VLOOKUP(A331,BILLING!$B:$I,7,FALSE)&lt;=30,"0-30 Days",IF(TODAY()-VLOOKUP(A331,BILLING!$B:$I,7,FALSE)&lt;=60,"31-60 Days","61+ Days"))))</f>
        <v/>
      </c>
    </row>
    <row r="332" ht="15.75" customHeight="1">
      <c r="A332" s="33" t="str">
        <f>IF(BILLING!B332="","",BILLING!B332)</f>
        <v/>
      </c>
      <c r="B332" s="33" t="str">
        <f>IF(A332="","",IFERROR(VLOOKUP(VLOOKUP(VLOOKUP(A332,BILLING!$B:$I,7,FALSE),BOOKINGS!$A:$Q,3,FALSE),CLIENTS!$A:$H,2,FALSE),""))</f>
        <v/>
      </c>
      <c r="C332" s="38" t="str">
        <f>IF(A332="","",IFERROR(VLOOKUP(A332,BILLING!$B:$I,5,FALSE),0))</f>
        <v/>
      </c>
      <c r="D332" s="38"/>
      <c r="E332" s="38" t="str">
        <f t="shared" si="1"/>
        <v/>
      </c>
      <c r="F332" s="39"/>
      <c r="G332" s="33" t="str">
        <f t="shared" si="2"/>
        <v/>
      </c>
      <c r="H332" s="33" t="str">
        <f>IF(OR(A332="",F332=""),"",F332-VLOOKUP(A332,BILLING!$B:$I,7,FALSE))</f>
        <v/>
      </c>
      <c r="I332" s="33" t="str">
        <f>IF(A332="","",IF(E332&lt;=0,"Current",IF(TODAY()-VLOOKUP(A332,BILLING!$B:$I,7,FALSE)&lt;=30,"0-30 Days",IF(TODAY()-VLOOKUP(A332,BILLING!$B:$I,7,FALSE)&lt;=60,"31-60 Days","61+ Days"))))</f>
        <v/>
      </c>
    </row>
    <row r="333" ht="15.75" customHeight="1">
      <c r="A333" s="33" t="str">
        <f>IF(BILLING!B333="","",BILLING!B333)</f>
        <v/>
      </c>
      <c r="B333" s="33" t="str">
        <f>IF(A333="","",IFERROR(VLOOKUP(VLOOKUP(VLOOKUP(A333,BILLING!$B:$I,7,FALSE),BOOKINGS!$A:$Q,3,FALSE),CLIENTS!$A:$H,2,FALSE),""))</f>
        <v/>
      </c>
      <c r="C333" s="38" t="str">
        <f>IF(A333="","",IFERROR(VLOOKUP(A333,BILLING!$B:$I,5,FALSE),0))</f>
        <v/>
      </c>
      <c r="D333" s="38"/>
      <c r="E333" s="38" t="str">
        <f t="shared" si="1"/>
        <v/>
      </c>
      <c r="F333" s="39"/>
      <c r="G333" s="33" t="str">
        <f t="shared" si="2"/>
        <v/>
      </c>
      <c r="H333" s="33" t="str">
        <f>IF(OR(A333="",F333=""),"",F333-VLOOKUP(A333,BILLING!$B:$I,7,FALSE))</f>
        <v/>
      </c>
      <c r="I333" s="33" t="str">
        <f>IF(A333="","",IF(E333&lt;=0,"Current",IF(TODAY()-VLOOKUP(A333,BILLING!$B:$I,7,FALSE)&lt;=30,"0-30 Days",IF(TODAY()-VLOOKUP(A333,BILLING!$B:$I,7,FALSE)&lt;=60,"31-60 Days","61+ Days"))))</f>
        <v/>
      </c>
    </row>
    <row r="334" ht="15.75" customHeight="1">
      <c r="A334" s="33" t="str">
        <f>IF(BILLING!B334="","",BILLING!B334)</f>
        <v/>
      </c>
      <c r="B334" s="33" t="str">
        <f>IF(A334="","",IFERROR(VLOOKUP(VLOOKUP(VLOOKUP(A334,BILLING!$B:$I,7,FALSE),BOOKINGS!$A:$Q,3,FALSE),CLIENTS!$A:$H,2,FALSE),""))</f>
        <v/>
      </c>
      <c r="C334" s="38" t="str">
        <f>IF(A334="","",IFERROR(VLOOKUP(A334,BILLING!$B:$I,5,FALSE),0))</f>
        <v/>
      </c>
      <c r="D334" s="38"/>
      <c r="E334" s="38" t="str">
        <f t="shared" si="1"/>
        <v/>
      </c>
      <c r="F334" s="39"/>
      <c r="G334" s="33" t="str">
        <f t="shared" si="2"/>
        <v/>
      </c>
      <c r="H334" s="33" t="str">
        <f>IF(OR(A334="",F334=""),"",F334-VLOOKUP(A334,BILLING!$B:$I,7,FALSE))</f>
        <v/>
      </c>
      <c r="I334" s="33" t="str">
        <f>IF(A334="","",IF(E334&lt;=0,"Current",IF(TODAY()-VLOOKUP(A334,BILLING!$B:$I,7,FALSE)&lt;=30,"0-30 Days",IF(TODAY()-VLOOKUP(A334,BILLING!$B:$I,7,FALSE)&lt;=60,"31-60 Days","61+ Days"))))</f>
        <v/>
      </c>
    </row>
    <row r="335" ht="15.75" customHeight="1">
      <c r="A335" s="33" t="str">
        <f>IF(BILLING!B335="","",BILLING!B335)</f>
        <v/>
      </c>
      <c r="B335" s="33" t="str">
        <f>IF(A335="","",IFERROR(VLOOKUP(VLOOKUP(VLOOKUP(A335,BILLING!$B:$I,7,FALSE),BOOKINGS!$A:$Q,3,FALSE),CLIENTS!$A:$H,2,FALSE),""))</f>
        <v/>
      </c>
      <c r="C335" s="38" t="str">
        <f>IF(A335="","",IFERROR(VLOOKUP(A335,BILLING!$B:$I,5,FALSE),0))</f>
        <v/>
      </c>
      <c r="D335" s="38"/>
      <c r="E335" s="38" t="str">
        <f t="shared" si="1"/>
        <v/>
      </c>
      <c r="F335" s="39"/>
      <c r="G335" s="33" t="str">
        <f t="shared" si="2"/>
        <v/>
      </c>
      <c r="H335" s="33" t="str">
        <f>IF(OR(A335="",F335=""),"",F335-VLOOKUP(A335,BILLING!$B:$I,7,FALSE))</f>
        <v/>
      </c>
      <c r="I335" s="33" t="str">
        <f>IF(A335="","",IF(E335&lt;=0,"Current",IF(TODAY()-VLOOKUP(A335,BILLING!$B:$I,7,FALSE)&lt;=30,"0-30 Days",IF(TODAY()-VLOOKUP(A335,BILLING!$B:$I,7,FALSE)&lt;=60,"31-60 Days","61+ Days"))))</f>
        <v/>
      </c>
    </row>
    <row r="336" ht="15.75" customHeight="1">
      <c r="A336" s="33" t="str">
        <f>IF(BILLING!B336="","",BILLING!B336)</f>
        <v/>
      </c>
      <c r="B336" s="33" t="str">
        <f>IF(A336="","",IFERROR(VLOOKUP(VLOOKUP(VLOOKUP(A336,BILLING!$B:$I,7,FALSE),BOOKINGS!$A:$Q,3,FALSE),CLIENTS!$A:$H,2,FALSE),""))</f>
        <v/>
      </c>
      <c r="C336" s="38" t="str">
        <f>IF(A336="","",IFERROR(VLOOKUP(A336,BILLING!$B:$I,5,FALSE),0))</f>
        <v/>
      </c>
      <c r="D336" s="38"/>
      <c r="E336" s="38" t="str">
        <f t="shared" si="1"/>
        <v/>
      </c>
      <c r="F336" s="39"/>
      <c r="G336" s="33" t="str">
        <f t="shared" si="2"/>
        <v/>
      </c>
      <c r="H336" s="33" t="str">
        <f>IF(OR(A336="",F336=""),"",F336-VLOOKUP(A336,BILLING!$B:$I,7,FALSE))</f>
        <v/>
      </c>
      <c r="I336" s="33" t="str">
        <f>IF(A336="","",IF(E336&lt;=0,"Current",IF(TODAY()-VLOOKUP(A336,BILLING!$B:$I,7,FALSE)&lt;=30,"0-30 Days",IF(TODAY()-VLOOKUP(A336,BILLING!$B:$I,7,FALSE)&lt;=60,"31-60 Days","61+ Days"))))</f>
        <v/>
      </c>
    </row>
    <row r="337" ht="15.75" customHeight="1">
      <c r="A337" s="33" t="str">
        <f>IF(BILLING!B337="","",BILLING!B337)</f>
        <v/>
      </c>
      <c r="B337" s="33" t="str">
        <f>IF(A337="","",IFERROR(VLOOKUP(VLOOKUP(VLOOKUP(A337,BILLING!$B:$I,7,FALSE),BOOKINGS!$A:$Q,3,FALSE),CLIENTS!$A:$H,2,FALSE),""))</f>
        <v/>
      </c>
      <c r="C337" s="38" t="str">
        <f>IF(A337="","",IFERROR(VLOOKUP(A337,BILLING!$B:$I,5,FALSE),0))</f>
        <v/>
      </c>
      <c r="D337" s="38"/>
      <c r="E337" s="38" t="str">
        <f t="shared" si="1"/>
        <v/>
      </c>
      <c r="F337" s="39"/>
      <c r="G337" s="33" t="str">
        <f t="shared" si="2"/>
        <v/>
      </c>
      <c r="H337" s="33" t="str">
        <f>IF(OR(A337="",F337=""),"",F337-VLOOKUP(A337,BILLING!$B:$I,7,FALSE))</f>
        <v/>
      </c>
      <c r="I337" s="33" t="str">
        <f>IF(A337="","",IF(E337&lt;=0,"Current",IF(TODAY()-VLOOKUP(A337,BILLING!$B:$I,7,FALSE)&lt;=30,"0-30 Days",IF(TODAY()-VLOOKUP(A337,BILLING!$B:$I,7,FALSE)&lt;=60,"31-60 Days","61+ Days"))))</f>
        <v/>
      </c>
    </row>
    <row r="338" ht="15.75" customHeight="1">
      <c r="A338" s="33" t="str">
        <f>IF(BILLING!B338="","",BILLING!B338)</f>
        <v/>
      </c>
      <c r="B338" s="33" t="str">
        <f>IF(A338="","",IFERROR(VLOOKUP(VLOOKUP(VLOOKUP(A338,BILLING!$B:$I,7,FALSE),BOOKINGS!$A:$Q,3,FALSE),CLIENTS!$A:$H,2,FALSE),""))</f>
        <v/>
      </c>
      <c r="C338" s="38" t="str">
        <f>IF(A338="","",IFERROR(VLOOKUP(A338,BILLING!$B:$I,5,FALSE),0))</f>
        <v/>
      </c>
      <c r="D338" s="38"/>
      <c r="E338" s="38" t="str">
        <f t="shared" si="1"/>
        <v/>
      </c>
      <c r="F338" s="39"/>
      <c r="G338" s="33" t="str">
        <f t="shared" si="2"/>
        <v/>
      </c>
      <c r="H338" s="33" t="str">
        <f>IF(OR(A338="",F338=""),"",F338-VLOOKUP(A338,BILLING!$B:$I,7,FALSE))</f>
        <v/>
      </c>
      <c r="I338" s="33" t="str">
        <f>IF(A338="","",IF(E338&lt;=0,"Current",IF(TODAY()-VLOOKUP(A338,BILLING!$B:$I,7,FALSE)&lt;=30,"0-30 Days",IF(TODAY()-VLOOKUP(A338,BILLING!$B:$I,7,FALSE)&lt;=60,"31-60 Days","61+ Days"))))</f>
        <v/>
      </c>
    </row>
    <row r="339" ht="15.75" customHeight="1">
      <c r="A339" s="33" t="str">
        <f>IF(BILLING!B339="","",BILLING!B339)</f>
        <v/>
      </c>
      <c r="B339" s="33" t="str">
        <f>IF(A339="","",IFERROR(VLOOKUP(VLOOKUP(VLOOKUP(A339,BILLING!$B:$I,7,FALSE),BOOKINGS!$A:$Q,3,FALSE),CLIENTS!$A:$H,2,FALSE),""))</f>
        <v/>
      </c>
      <c r="C339" s="38" t="str">
        <f>IF(A339="","",IFERROR(VLOOKUP(A339,BILLING!$B:$I,5,FALSE),0))</f>
        <v/>
      </c>
      <c r="D339" s="38"/>
      <c r="E339" s="38" t="str">
        <f t="shared" si="1"/>
        <v/>
      </c>
      <c r="F339" s="39"/>
      <c r="G339" s="33" t="str">
        <f t="shared" si="2"/>
        <v/>
      </c>
      <c r="H339" s="33" t="str">
        <f>IF(OR(A339="",F339=""),"",F339-VLOOKUP(A339,BILLING!$B:$I,7,FALSE))</f>
        <v/>
      </c>
      <c r="I339" s="33" t="str">
        <f>IF(A339="","",IF(E339&lt;=0,"Current",IF(TODAY()-VLOOKUP(A339,BILLING!$B:$I,7,FALSE)&lt;=30,"0-30 Days",IF(TODAY()-VLOOKUP(A339,BILLING!$B:$I,7,FALSE)&lt;=60,"31-60 Days","61+ Days"))))</f>
        <v/>
      </c>
    </row>
    <row r="340" ht="15.75" customHeight="1">
      <c r="A340" s="33" t="str">
        <f>IF(BILLING!B340="","",BILLING!B340)</f>
        <v/>
      </c>
      <c r="B340" s="33" t="str">
        <f>IF(A340="","",IFERROR(VLOOKUP(VLOOKUP(VLOOKUP(A340,BILLING!$B:$I,7,FALSE),BOOKINGS!$A:$Q,3,FALSE),CLIENTS!$A:$H,2,FALSE),""))</f>
        <v/>
      </c>
      <c r="C340" s="38" t="str">
        <f>IF(A340="","",IFERROR(VLOOKUP(A340,BILLING!$B:$I,5,FALSE),0))</f>
        <v/>
      </c>
      <c r="D340" s="38"/>
      <c r="E340" s="38" t="str">
        <f t="shared" si="1"/>
        <v/>
      </c>
      <c r="F340" s="39"/>
      <c r="G340" s="33" t="str">
        <f t="shared" si="2"/>
        <v/>
      </c>
      <c r="H340" s="33" t="str">
        <f>IF(OR(A340="",F340=""),"",F340-VLOOKUP(A340,BILLING!$B:$I,7,FALSE))</f>
        <v/>
      </c>
      <c r="I340" s="33" t="str">
        <f>IF(A340="","",IF(E340&lt;=0,"Current",IF(TODAY()-VLOOKUP(A340,BILLING!$B:$I,7,FALSE)&lt;=30,"0-30 Days",IF(TODAY()-VLOOKUP(A340,BILLING!$B:$I,7,FALSE)&lt;=60,"31-60 Days","61+ Days"))))</f>
        <v/>
      </c>
    </row>
    <row r="341" ht="15.75" customHeight="1">
      <c r="A341" s="33" t="str">
        <f>IF(BILLING!B341="","",BILLING!B341)</f>
        <v/>
      </c>
      <c r="B341" s="33" t="str">
        <f>IF(A341="","",IFERROR(VLOOKUP(VLOOKUP(VLOOKUP(A341,BILLING!$B:$I,7,FALSE),BOOKINGS!$A:$Q,3,FALSE),CLIENTS!$A:$H,2,FALSE),""))</f>
        <v/>
      </c>
      <c r="C341" s="38" t="str">
        <f>IF(A341="","",IFERROR(VLOOKUP(A341,BILLING!$B:$I,5,FALSE),0))</f>
        <v/>
      </c>
      <c r="D341" s="38"/>
      <c r="E341" s="38" t="str">
        <f t="shared" si="1"/>
        <v/>
      </c>
      <c r="F341" s="39"/>
      <c r="G341" s="33" t="str">
        <f t="shared" si="2"/>
        <v/>
      </c>
      <c r="H341" s="33" t="str">
        <f>IF(OR(A341="",F341=""),"",F341-VLOOKUP(A341,BILLING!$B:$I,7,FALSE))</f>
        <v/>
      </c>
      <c r="I341" s="33" t="str">
        <f>IF(A341="","",IF(E341&lt;=0,"Current",IF(TODAY()-VLOOKUP(A341,BILLING!$B:$I,7,FALSE)&lt;=30,"0-30 Days",IF(TODAY()-VLOOKUP(A341,BILLING!$B:$I,7,FALSE)&lt;=60,"31-60 Days","61+ Days"))))</f>
        <v/>
      </c>
    </row>
    <row r="342" ht="15.75" customHeight="1">
      <c r="A342" s="33" t="str">
        <f>IF(BILLING!B342="","",BILLING!B342)</f>
        <v/>
      </c>
      <c r="B342" s="33" t="str">
        <f>IF(A342="","",IFERROR(VLOOKUP(VLOOKUP(VLOOKUP(A342,BILLING!$B:$I,7,FALSE),BOOKINGS!$A:$Q,3,FALSE),CLIENTS!$A:$H,2,FALSE),""))</f>
        <v/>
      </c>
      <c r="C342" s="38" t="str">
        <f>IF(A342="","",IFERROR(VLOOKUP(A342,BILLING!$B:$I,5,FALSE),0))</f>
        <v/>
      </c>
      <c r="D342" s="38"/>
      <c r="E342" s="38" t="str">
        <f t="shared" si="1"/>
        <v/>
      </c>
      <c r="F342" s="39"/>
      <c r="G342" s="33" t="str">
        <f t="shared" si="2"/>
        <v/>
      </c>
      <c r="H342" s="33" t="str">
        <f>IF(OR(A342="",F342=""),"",F342-VLOOKUP(A342,BILLING!$B:$I,7,FALSE))</f>
        <v/>
      </c>
      <c r="I342" s="33" t="str">
        <f>IF(A342="","",IF(E342&lt;=0,"Current",IF(TODAY()-VLOOKUP(A342,BILLING!$B:$I,7,FALSE)&lt;=30,"0-30 Days",IF(TODAY()-VLOOKUP(A342,BILLING!$B:$I,7,FALSE)&lt;=60,"31-60 Days","61+ Days"))))</f>
        <v/>
      </c>
    </row>
    <row r="343" ht="15.75" customHeight="1">
      <c r="A343" s="33" t="str">
        <f>IF(BILLING!B343="","",BILLING!B343)</f>
        <v/>
      </c>
      <c r="B343" s="33" t="str">
        <f>IF(A343="","",IFERROR(VLOOKUP(VLOOKUP(VLOOKUP(A343,BILLING!$B:$I,7,FALSE),BOOKINGS!$A:$Q,3,FALSE),CLIENTS!$A:$H,2,FALSE),""))</f>
        <v/>
      </c>
      <c r="C343" s="38" t="str">
        <f>IF(A343="","",IFERROR(VLOOKUP(A343,BILLING!$B:$I,5,FALSE),0))</f>
        <v/>
      </c>
      <c r="D343" s="38"/>
      <c r="E343" s="38" t="str">
        <f t="shared" si="1"/>
        <v/>
      </c>
      <c r="F343" s="39"/>
      <c r="G343" s="33" t="str">
        <f t="shared" si="2"/>
        <v/>
      </c>
      <c r="H343" s="33" t="str">
        <f>IF(OR(A343="",F343=""),"",F343-VLOOKUP(A343,BILLING!$B:$I,7,FALSE))</f>
        <v/>
      </c>
      <c r="I343" s="33" t="str">
        <f>IF(A343="","",IF(E343&lt;=0,"Current",IF(TODAY()-VLOOKUP(A343,BILLING!$B:$I,7,FALSE)&lt;=30,"0-30 Days",IF(TODAY()-VLOOKUP(A343,BILLING!$B:$I,7,FALSE)&lt;=60,"31-60 Days","61+ Days"))))</f>
        <v/>
      </c>
    </row>
    <row r="344" ht="15.75" customHeight="1">
      <c r="A344" s="33" t="str">
        <f>IF(BILLING!B344="","",BILLING!B344)</f>
        <v/>
      </c>
      <c r="B344" s="33" t="str">
        <f>IF(A344="","",IFERROR(VLOOKUP(VLOOKUP(VLOOKUP(A344,BILLING!$B:$I,7,FALSE),BOOKINGS!$A:$Q,3,FALSE),CLIENTS!$A:$H,2,FALSE),""))</f>
        <v/>
      </c>
      <c r="C344" s="38" t="str">
        <f>IF(A344="","",IFERROR(VLOOKUP(A344,BILLING!$B:$I,5,FALSE),0))</f>
        <v/>
      </c>
      <c r="D344" s="38"/>
      <c r="E344" s="38" t="str">
        <f t="shared" si="1"/>
        <v/>
      </c>
      <c r="F344" s="39"/>
      <c r="G344" s="33" t="str">
        <f t="shared" si="2"/>
        <v/>
      </c>
      <c r="H344" s="33" t="str">
        <f>IF(OR(A344="",F344=""),"",F344-VLOOKUP(A344,BILLING!$B:$I,7,FALSE))</f>
        <v/>
      </c>
      <c r="I344" s="33" t="str">
        <f>IF(A344="","",IF(E344&lt;=0,"Current",IF(TODAY()-VLOOKUP(A344,BILLING!$B:$I,7,FALSE)&lt;=30,"0-30 Days",IF(TODAY()-VLOOKUP(A344,BILLING!$B:$I,7,FALSE)&lt;=60,"31-60 Days","61+ Days"))))</f>
        <v/>
      </c>
    </row>
    <row r="345" ht="15.75" customHeight="1">
      <c r="A345" s="33" t="str">
        <f>IF(BILLING!B345="","",BILLING!B345)</f>
        <v/>
      </c>
      <c r="B345" s="33" t="str">
        <f>IF(A345="","",IFERROR(VLOOKUP(VLOOKUP(VLOOKUP(A345,BILLING!$B:$I,7,FALSE),BOOKINGS!$A:$Q,3,FALSE),CLIENTS!$A:$H,2,FALSE),""))</f>
        <v/>
      </c>
      <c r="C345" s="38" t="str">
        <f>IF(A345="","",IFERROR(VLOOKUP(A345,BILLING!$B:$I,5,FALSE),0))</f>
        <v/>
      </c>
      <c r="D345" s="38"/>
      <c r="E345" s="38" t="str">
        <f t="shared" si="1"/>
        <v/>
      </c>
      <c r="F345" s="39"/>
      <c r="G345" s="33" t="str">
        <f t="shared" si="2"/>
        <v/>
      </c>
      <c r="H345" s="33" t="str">
        <f>IF(OR(A345="",F345=""),"",F345-VLOOKUP(A345,BILLING!$B:$I,7,FALSE))</f>
        <v/>
      </c>
      <c r="I345" s="33" t="str">
        <f>IF(A345="","",IF(E345&lt;=0,"Current",IF(TODAY()-VLOOKUP(A345,BILLING!$B:$I,7,FALSE)&lt;=30,"0-30 Days",IF(TODAY()-VLOOKUP(A345,BILLING!$B:$I,7,FALSE)&lt;=60,"31-60 Days","61+ Days"))))</f>
        <v/>
      </c>
    </row>
    <row r="346" ht="15.75" customHeight="1">
      <c r="A346" s="33" t="str">
        <f>IF(BILLING!B346="","",BILLING!B346)</f>
        <v/>
      </c>
      <c r="B346" s="33" t="str">
        <f>IF(A346="","",IFERROR(VLOOKUP(VLOOKUP(VLOOKUP(A346,BILLING!$B:$I,7,FALSE),BOOKINGS!$A:$Q,3,FALSE),CLIENTS!$A:$H,2,FALSE),""))</f>
        <v/>
      </c>
      <c r="C346" s="38" t="str">
        <f>IF(A346="","",IFERROR(VLOOKUP(A346,BILLING!$B:$I,5,FALSE),0))</f>
        <v/>
      </c>
      <c r="D346" s="38"/>
      <c r="E346" s="38" t="str">
        <f t="shared" si="1"/>
        <v/>
      </c>
      <c r="F346" s="39"/>
      <c r="G346" s="33" t="str">
        <f t="shared" si="2"/>
        <v/>
      </c>
      <c r="H346" s="33" t="str">
        <f>IF(OR(A346="",F346=""),"",F346-VLOOKUP(A346,BILLING!$B:$I,7,FALSE))</f>
        <v/>
      </c>
      <c r="I346" s="33" t="str">
        <f>IF(A346="","",IF(E346&lt;=0,"Current",IF(TODAY()-VLOOKUP(A346,BILLING!$B:$I,7,FALSE)&lt;=30,"0-30 Days",IF(TODAY()-VLOOKUP(A346,BILLING!$B:$I,7,FALSE)&lt;=60,"31-60 Days","61+ Days"))))</f>
        <v/>
      </c>
    </row>
    <row r="347" ht="15.75" customHeight="1">
      <c r="A347" s="33" t="str">
        <f>IF(BILLING!B347="","",BILLING!B347)</f>
        <v/>
      </c>
      <c r="B347" s="33" t="str">
        <f>IF(A347="","",IFERROR(VLOOKUP(VLOOKUP(VLOOKUP(A347,BILLING!$B:$I,7,FALSE),BOOKINGS!$A:$Q,3,FALSE),CLIENTS!$A:$H,2,FALSE),""))</f>
        <v/>
      </c>
      <c r="C347" s="38" t="str">
        <f>IF(A347="","",IFERROR(VLOOKUP(A347,BILLING!$B:$I,5,FALSE),0))</f>
        <v/>
      </c>
      <c r="D347" s="38"/>
      <c r="E347" s="38" t="str">
        <f t="shared" si="1"/>
        <v/>
      </c>
      <c r="F347" s="39"/>
      <c r="G347" s="33" t="str">
        <f t="shared" si="2"/>
        <v/>
      </c>
      <c r="H347" s="33" t="str">
        <f>IF(OR(A347="",F347=""),"",F347-VLOOKUP(A347,BILLING!$B:$I,7,FALSE))</f>
        <v/>
      </c>
      <c r="I347" s="33" t="str">
        <f>IF(A347="","",IF(E347&lt;=0,"Current",IF(TODAY()-VLOOKUP(A347,BILLING!$B:$I,7,FALSE)&lt;=30,"0-30 Days",IF(TODAY()-VLOOKUP(A347,BILLING!$B:$I,7,FALSE)&lt;=60,"31-60 Days","61+ Days"))))</f>
        <v/>
      </c>
    </row>
    <row r="348" ht="15.75" customHeight="1">
      <c r="A348" s="33" t="str">
        <f>IF(BILLING!B348="","",BILLING!B348)</f>
        <v/>
      </c>
      <c r="B348" s="33" t="str">
        <f>IF(A348="","",IFERROR(VLOOKUP(VLOOKUP(VLOOKUP(A348,BILLING!$B:$I,7,FALSE),BOOKINGS!$A:$Q,3,FALSE),CLIENTS!$A:$H,2,FALSE),""))</f>
        <v/>
      </c>
      <c r="C348" s="38" t="str">
        <f>IF(A348="","",IFERROR(VLOOKUP(A348,BILLING!$B:$I,5,FALSE),0))</f>
        <v/>
      </c>
      <c r="D348" s="38"/>
      <c r="E348" s="38" t="str">
        <f t="shared" si="1"/>
        <v/>
      </c>
      <c r="F348" s="39"/>
      <c r="G348" s="33" t="str">
        <f t="shared" si="2"/>
        <v/>
      </c>
      <c r="H348" s="33" t="str">
        <f>IF(OR(A348="",F348=""),"",F348-VLOOKUP(A348,BILLING!$B:$I,7,FALSE))</f>
        <v/>
      </c>
      <c r="I348" s="33" t="str">
        <f>IF(A348="","",IF(E348&lt;=0,"Current",IF(TODAY()-VLOOKUP(A348,BILLING!$B:$I,7,FALSE)&lt;=30,"0-30 Days",IF(TODAY()-VLOOKUP(A348,BILLING!$B:$I,7,FALSE)&lt;=60,"31-60 Days","61+ Days"))))</f>
        <v/>
      </c>
    </row>
    <row r="349" ht="15.75" customHeight="1">
      <c r="A349" s="33" t="str">
        <f>IF(BILLING!B349="","",BILLING!B349)</f>
        <v/>
      </c>
      <c r="B349" s="33" t="str">
        <f>IF(A349="","",IFERROR(VLOOKUP(VLOOKUP(VLOOKUP(A349,BILLING!$B:$I,7,FALSE),BOOKINGS!$A:$Q,3,FALSE),CLIENTS!$A:$H,2,FALSE),""))</f>
        <v/>
      </c>
      <c r="C349" s="38" t="str">
        <f>IF(A349="","",IFERROR(VLOOKUP(A349,BILLING!$B:$I,5,FALSE),0))</f>
        <v/>
      </c>
      <c r="D349" s="38"/>
      <c r="E349" s="38" t="str">
        <f t="shared" si="1"/>
        <v/>
      </c>
      <c r="F349" s="39"/>
      <c r="G349" s="33" t="str">
        <f t="shared" si="2"/>
        <v/>
      </c>
      <c r="H349" s="33" t="str">
        <f>IF(OR(A349="",F349=""),"",F349-VLOOKUP(A349,BILLING!$B:$I,7,FALSE))</f>
        <v/>
      </c>
      <c r="I349" s="33" t="str">
        <f>IF(A349="","",IF(E349&lt;=0,"Current",IF(TODAY()-VLOOKUP(A349,BILLING!$B:$I,7,FALSE)&lt;=30,"0-30 Days",IF(TODAY()-VLOOKUP(A349,BILLING!$B:$I,7,FALSE)&lt;=60,"31-60 Days","61+ Days"))))</f>
        <v/>
      </c>
    </row>
    <row r="350" ht="15.75" customHeight="1">
      <c r="A350" s="33" t="str">
        <f>IF(BILLING!B350="","",BILLING!B350)</f>
        <v/>
      </c>
      <c r="B350" s="33" t="str">
        <f>IF(A350="","",IFERROR(VLOOKUP(VLOOKUP(VLOOKUP(A350,BILLING!$B:$I,7,FALSE),BOOKINGS!$A:$Q,3,FALSE),CLIENTS!$A:$H,2,FALSE),""))</f>
        <v/>
      </c>
      <c r="C350" s="38" t="str">
        <f>IF(A350="","",IFERROR(VLOOKUP(A350,BILLING!$B:$I,5,FALSE),0))</f>
        <v/>
      </c>
      <c r="D350" s="38"/>
      <c r="E350" s="38" t="str">
        <f t="shared" si="1"/>
        <v/>
      </c>
      <c r="F350" s="39"/>
      <c r="G350" s="33" t="str">
        <f t="shared" si="2"/>
        <v/>
      </c>
      <c r="H350" s="33" t="str">
        <f>IF(OR(A350="",F350=""),"",F350-VLOOKUP(A350,BILLING!$B:$I,7,FALSE))</f>
        <v/>
      </c>
      <c r="I350" s="33" t="str">
        <f>IF(A350="","",IF(E350&lt;=0,"Current",IF(TODAY()-VLOOKUP(A350,BILLING!$B:$I,7,FALSE)&lt;=30,"0-30 Days",IF(TODAY()-VLOOKUP(A350,BILLING!$B:$I,7,FALSE)&lt;=60,"31-60 Days","61+ Days"))))</f>
        <v/>
      </c>
    </row>
    <row r="351" ht="15.75" customHeight="1">
      <c r="A351" s="33" t="str">
        <f>IF(BILLING!B351="","",BILLING!B351)</f>
        <v/>
      </c>
      <c r="B351" s="33" t="str">
        <f>IF(A351="","",IFERROR(VLOOKUP(VLOOKUP(VLOOKUP(A351,BILLING!$B:$I,7,FALSE),BOOKINGS!$A:$Q,3,FALSE),CLIENTS!$A:$H,2,FALSE),""))</f>
        <v/>
      </c>
      <c r="C351" s="38" t="str">
        <f>IF(A351="","",IFERROR(VLOOKUP(A351,BILLING!$B:$I,5,FALSE),0))</f>
        <v/>
      </c>
      <c r="D351" s="38"/>
      <c r="E351" s="38" t="str">
        <f t="shared" si="1"/>
        <v/>
      </c>
      <c r="F351" s="39"/>
      <c r="G351" s="33" t="str">
        <f t="shared" si="2"/>
        <v/>
      </c>
      <c r="H351" s="33" t="str">
        <f>IF(OR(A351="",F351=""),"",F351-VLOOKUP(A351,BILLING!$B:$I,7,FALSE))</f>
        <v/>
      </c>
      <c r="I351" s="33" t="str">
        <f>IF(A351="","",IF(E351&lt;=0,"Current",IF(TODAY()-VLOOKUP(A351,BILLING!$B:$I,7,FALSE)&lt;=30,"0-30 Days",IF(TODAY()-VLOOKUP(A351,BILLING!$B:$I,7,FALSE)&lt;=60,"31-60 Days","61+ Days"))))</f>
        <v/>
      </c>
    </row>
    <row r="352" ht="15.75" customHeight="1">
      <c r="A352" s="33" t="str">
        <f>IF(BILLING!B352="","",BILLING!B352)</f>
        <v/>
      </c>
      <c r="B352" s="33" t="str">
        <f>IF(A352="","",IFERROR(VLOOKUP(VLOOKUP(VLOOKUP(A352,BILLING!$B:$I,7,FALSE),BOOKINGS!$A:$Q,3,FALSE),CLIENTS!$A:$H,2,FALSE),""))</f>
        <v/>
      </c>
      <c r="C352" s="38" t="str">
        <f>IF(A352="","",IFERROR(VLOOKUP(A352,BILLING!$B:$I,5,FALSE),0))</f>
        <v/>
      </c>
      <c r="D352" s="38"/>
      <c r="E352" s="38" t="str">
        <f t="shared" si="1"/>
        <v/>
      </c>
      <c r="F352" s="39"/>
      <c r="G352" s="33" t="str">
        <f t="shared" si="2"/>
        <v/>
      </c>
      <c r="H352" s="33" t="str">
        <f>IF(OR(A352="",F352=""),"",F352-VLOOKUP(A352,BILLING!$B:$I,7,FALSE))</f>
        <v/>
      </c>
      <c r="I352" s="33" t="str">
        <f>IF(A352="","",IF(E352&lt;=0,"Current",IF(TODAY()-VLOOKUP(A352,BILLING!$B:$I,7,FALSE)&lt;=30,"0-30 Days",IF(TODAY()-VLOOKUP(A352,BILLING!$B:$I,7,FALSE)&lt;=60,"31-60 Days","61+ Days"))))</f>
        <v/>
      </c>
    </row>
    <row r="353" ht="15.75" customHeight="1">
      <c r="A353" s="33" t="str">
        <f>IF(BILLING!B353="","",BILLING!B353)</f>
        <v/>
      </c>
      <c r="B353" s="33" t="str">
        <f>IF(A353="","",IFERROR(VLOOKUP(VLOOKUP(VLOOKUP(A353,BILLING!$B:$I,7,FALSE),BOOKINGS!$A:$Q,3,FALSE),CLIENTS!$A:$H,2,FALSE),""))</f>
        <v/>
      </c>
      <c r="C353" s="38" t="str">
        <f>IF(A353="","",IFERROR(VLOOKUP(A353,BILLING!$B:$I,5,FALSE),0))</f>
        <v/>
      </c>
      <c r="D353" s="38"/>
      <c r="E353" s="38" t="str">
        <f t="shared" si="1"/>
        <v/>
      </c>
      <c r="F353" s="39"/>
      <c r="G353" s="33" t="str">
        <f t="shared" si="2"/>
        <v/>
      </c>
      <c r="H353" s="33" t="str">
        <f>IF(OR(A353="",F353=""),"",F353-VLOOKUP(A353,BILLING!$B:$I,7,FALSE))</f>
        <v/>
      </c>
      <c r="I353" s="33" t="str">
        <f>IF(A353="","",IF(E353&lt;=0,"Current",IF(TODAY()-VLOOKUP(A353,BILLING!$B:$I,7,FALSE)&lt;=30,"0-30 Days",IF(TODAY()-VLOOKUP(A353,BILLING!$B:$I,7,FALSE)&lt;=60,"31-60 Days","61+ Days"))))</f>
        <v/>
      </c>
    </row>
    <row r="354" ht="15.75" customHeight="1">
      <c r="A354" s="33" t="str">
        <f>IF(BILLING!B354="","",BILLING!B354)</f>
        <v/>
      </c>
      <c r="B354" s="33" t="str">
        <f>IF(A354="","",IFERROR(VLOOKUP(VLOOKUP(VLOOKUP(A354,BILLING!$B:$I,7,FALSE),BOOKINGS!$A:$Q,3,FALSE),CLIENTS!$A:$H,2,FALSE),""))</f>
        <v/>
      </c>
      <c r="C354" s="38" t="str">
        <f>IF(A354="","",IFERROR(VLOOKUP(A354,BILLING!$B:$I,5,FALSE),0))</f>
        <v/>
      </c>
      <c r="D354" s="38"/>
      <c r="E354" s="38" t="str">
        <f t="shared" si="1"/>
        <v/>
      </c>
      <c r="F354" s="39"/>
      <c r="G354" s="33" t="str">
        <f t="shared" si="2"/>
        <v/>
      </c>
      <c r="H354" s="33" t="str">
        <f>IF(OR(A354="",F354=""),"",F354-VLOOKUP(A354,BILLING!$B:$I,7,FALSE))</f>
        <v/>
      </c>
      <c r="I354" s="33" t="str">
        <f>IF(A354="","",IF(E354&lt;=0,"Current",IF(TODAY()-VLOOKUP(A354,BILLING!$B:$I,7,FALSE)&lt;=30,"0-30 Days",IF(TODAY()-VLOOKUP(A354,BILLING!$B:$I,7,FALSE)&lt;=60,"31-60 Days","61+ Days"))))</f>
        <v/>
      </c>
    </row>
    <row r="355" ht="15.75" customHeight="1">
      <c r="A355" s="33" t="str">
        <f>IF(BILLING!B355="","",BILLING!B355)</f>
        <v/>
      </c>
      <c r="B355" s="33" t="str">
        <f>IF(A355="","",IFERROR(VLOOKUP(VLOOKUP(VLOOKUP(A355,BILLING!$B:$I,7,FALSE),BOOKINGS!$A:$Q,3,FALSE),CLIENTS!$A:$H,2,FALSE),""))</f>
        <v/>
      </c>
      <c r="C355" s="38" t="str">
        <f>IF(A355="","",IFERROR(VLOOKUP(A355,BILLING!$B:$I,5,FALSE),0))</f>
        <v/>
      </c>
      <c r="D355" s="38"/>
      <c r="E355" s="38" t="str">
        <f t="shared" si="1"/>
        <v/>
      </c>
      <c r="F355" s="39"/>
      <c r="G355" s="33" t="str">
        <f t="shared" si="2"/>
        <v/>
      </c>
      <c r="H355" s="33" t="str">
        <f>IF(OR(A355="",F355=""),"",F355-VLOOKUP(A355,BILLING!$B:$I,7,FALSE))</f>
        <v/>
      </c>
      <c r="I355" s="33" t="str">
        <f>IF(A355="","",IF(E355&lt;=0,"Current",IF(TODAY()-VLOOKUP(A355,BILLING!$B:$I,7,FALSE)&lt;=30,"0-30 Days",IF(TODAY()-VLOOKUP(A355,BILLING!$B:$I,7,FALSE)&lt;=60,"31-60 Days","61+ Days"))))</f>
        <v/>
      </c>
    </row>
    <row r="356" ht="15.75" customHeight="1">
      <c r="A356" s="33" t="str">
        <f>IF(BILLING!B356="","",BILLING!B356)</f>
        <v/>
      </c>
      <c r="B356" s="33" t="str">
        <f>IF(A356="","",IFERROR(VLOOKUP(VLOOKUP(VLOOKUP(A356,BILLING!$B:$I,7,FALSE),BOOKINGS!$A:$Q,3,FALSE),CLIENTS!$A:$H,2,FALSE),""))</f>
        <v/>
      </c>
      <c r="C356" s="38" t="str">
        <f>IF(A356="","",IFERROR(VLOOKUP(A356,BILLING!$B:$I,5,FALSE),0))</f>
        <v/>
      </c>
      <c r="D356" s="38"/>
      <c r="E356" s="38" t="str">
        <f t="shared" si="1"/>
        <v/>
      </c>
      <c r="F356" s="39"/>
      <c r="G356" s="33" t="str">
        <f t="shared" si="2"/>
        <v/>
      </c>
      <c r="H356" s="33" t="str">
        <f>IF(OR(A356="",F356=""),"",F356-VLOOKUP(A356,BILLING!$B:$I,7,FALSE))</f>
        <v/>
      </c>
      <c r="I356" s="33" t="str">
        <f>IF(A356="","",IF(E356&lt;=0,"Current",IF(TODAY()-VLOOKUP(A356,BILLING!$B:$I,7,FALSE)&lt;=30,"0-30 Days",IF(TODAY()-VLOOKUP(A356,BILLING!$B:$I,7,FALSE)&lt;=60,"31-60 Days","61+ Days"))))</f>
        <v/>
      </c>
    </row>
    <row r="357" ht="15.75" customHeight="1">
      <c r="A357" s="33" t="str">
        <f>IF(BILLING!B357="","",BILLING!B357)</f>
        <v/>
      </c>
      <c r="B357" s="33" t="str">
        <f>IF(A357="","",IFERROR(VLOOKUP(VLOOKUP(VLOOKUP(A357,BILLING!$B:$I,7,FALSE),BOOKINGS!$A:$Q,3,FALSE),CLIENTS!$A:$H,2,FALSE),""))</f>
        <v/>
      </c>
      <c r="C357" s="38" t="str">
        <f>IF(A357="","",IFERROR(VLOOKUP(A357,BILLING!$B:$I,5,FALSE),0))</f>
        <v/>
      </c>
      <c r="D357" s="38"/>
      <c r="E357" s="38" t="str">
        <f t="shared" si="1"/>
        <v/>
      </c>
      <c r="F357" s="39"/>
      <c r="G357" s="33" t="str">
        <f t="shared" si="2"/>
        <v/>
      </c>
      <c r="H357" s="33" t="str">
        <f>IF(OR(A357="",F357=""),"",F357-VLOOKUP(A357,BILLING!$B:$I,7,FALSE))</f>
        <v/>
      </c>
      <c r="I357" s="33" t="str">
        <f>IF(A357="","",IF(E357&lt;=0,"Current",IF(TODAY()-VLOOKUP(A357,BILLING!$B:$I,7,FALSE)&lt;=30,"0-30 Days",IF(TODAY()-VLOOKUP(A357,BILLING!$B:$I,7,FALSE)&lt;=60,"31-60 Days","61+ Days"))))</f>
        <v/>
      </c>
    </row>
    <row r="358" ht="15.75" customHeight="1">
      <c r="A358" s="33" t="str">
        <f>IF(BILLING!B358="","",BILLING!B358)</f>
        <v/>
      </c>
      <c r="B358" s="33" t="str">
        <f>IF(A358="","",IFERROR(VLOOKUP(VLOOKUP(VLOOKUP(A358,BILLING!$B:$I,7,FALSE),BOOKINGS!$A:$Q,3,FALSE),CLIENTS!$A:$H,2,FALSE),""))</f>
        <v/>
      </c>
      <c r="C358" s="38" t="str">
        <f>IF(A358="","",IFERROR(VLOOKUP(A358,BILLING!$B:$I,5,FALSE),0))</f>
        <v/>
      </c>
      <c r="D358" s="38"/>
      <c r="E358" s="38" t="str">
        <f t="shared" si="1"/>
        <v/>
      </c>
      <c r="F358" s="39"/>
      <c r="G358" s="33" t="str">
        <f t="shared" si="2"/>
        <v/>
      </c>
      <c r="H358" s="33" t="str">
        <f>IF(OR(A358="",F358=""),"",F358-VLOOKUP(A358,BILLING!$B:$I,7,FALSE))</f>
        <v/>
      </c>
      <c r="I358" s="33" t="str">
        <f>IF(A358="","",IF(E358&lt;=0,"Current",IF(TODAY()-VLOOKUP(A358,BILLING!$B:$I,7,FALSE)&lt;=30,"0-30 Days",IF(TODAY()-VLOOKUP(A358,BILLING!$B:$I,7,FALSE)&lt;=60,"31-60 Days","61+ Days"))))</f>
        <v/>
      </c>
    </row>
    <row r="359" ht="15.75" customHeight="1">
      <c r="A359" s="33" t="str">
        <f>IF(BILLING!B359="","",BILLING!B359)</f>
        <v/>
      </c>
      <c r="B359" s="33" t="str">
        <f>IF(A359="","",IFERROR(VLOOKUP(VLOOKUP(VLOOKUP(A359,BILLING!$B:$I,7,FALSE),BOOKINGS!$A:$Q,3,FALSE),CLIENTS!$A:$H,2,FALSE),""))</f>
        <v/>
      </c>
      <c r="C359" s="38" t="str">
        <f>IF(A359="","",IFERROR(VLOOKUP(A359,BILLING!$B:$I,5,FALSE),0))</f>
        <v/>
      </c>
      <c r="D359" s="38"/>
      <c r="E359" s="38" t="str">
        <f t="shared" si="1"/>
        <v/>
      </c>
      <c r="F359" s="39"/>
      <c r="G359" s="33" t="str">
        <f t="shared" si="2"/>
        <v/>
      </c>
      <c r="H359" s="33" t="str">
        <f>IF(OR(A359="",F359=""),"",F359-VLOOKUP(A359,BILLING!$B:$I,7,FALSE))</f>
        <v/>
      </c>
      <c r="I359" s="33" t="str">
        <f>IF(A359="","",IF(E359&lt;=0,"Current",IF(TODAY()-VLOOKUP(A359,BILLING!$B:$I,7,FALSE)&lt;=30,"0-30 Days",IF(TODAY()-VLOOKUP(A359,BILLING!$B:$I,7,FALSE)&lt;=60,"31-60 Days","61+ Days"))))</f>
        <v/>
      </c>
    </row>
    <row r="360" ht="15.75" customHeight="1">
      <c r="A360" s="33" t="str">
        <f>IF(BILLING!B360="","",BILLING!B360)</f>
        <v/>
      </c>
      <c r="B360" s="33" t="str">
        <f>IF(A360="","",IFERROR(VLOOKUP(VLOOKUP(VLOOKUP(A360,BILLING!$B:$I,7,FALSE),BOOKINGS!$A:$Q,3,FALSE),CLIENTS!$A:$H,2,FALSE),""))</f>
        <v/>
      </c>
      <c r="C360" s="38" t="str">
        <f>IF(A360="","",IFERROR(VLOOKUP(A360,BILLING!$B:$I,5,FALSE),0))</f>
        <v/>
      </c>
      <c r="D360" s="38"/>
      <c r="E360" s="38" t="str">
        <f t="shared" si="1"/>
        <v/>
      </c>
      <c r="F360" s="39"/>
      <c r="G360" s="33" t="str">
        <f t="shared" si="2"/>
        <v/>
      </c>
      <c r="H360" s="33" t="str">
        <f>IF(OR(A360="",F360=""),"",F360-VLOOKUP(A360,BILLING!$B:$I,7,FALSE))</f>
        <v/>
      </c>
      <c r="I360" s="33" t="str">
        <f>IF(A360="","",IF(E360&lt;=0,"Current",IF(TODAY()-VLOOKUP(A360,BILLING!$B:$I,7,FALSE)&lt;=30,"0-30 Days",IF(TODAY()-VLOOKUP(A360,BILLING!$B:$I,7,FALSE)&lt;=60,"31-60 Days","61+ Days"))))</f>
        <v/>
      </c>
    </row>
    <row r="361" ht="15.75" customHeight="1">
      <c r="A361" s="33" t="str">
        <f>IF(BILLING!B361="","",BILLING!B361)</f>
        <v/>
      </c>
      <c r="B361" s="33" t="str">
        <f>IF(A361="","",IFERROR(VLOOKUP(VLOOKUP(VLOOKUP(A361,BILLING!$B:$I,7,FALSE),BOOKINGS!$A:$Q,3,FALSE),CLIENTS!$A:$H,2,FALSE),""))</f>
        <v/>
      </c>
      <c r="C361" s="38" t="str">
        <f>IF(A361="","",IFERROR(VLOOKUP(A361,BILLING!$B:$I,5,FALSE),0))</f>
        <v/>
      </c>
      <c r="D361" s="38"/>
      <c r="E361" s="38" t="str">
        <f t="shared" si="1"/>
        <v/>
      </c>
      <c r="F361" s="39"/>
      <c r="G361" s="33" t="str">
        <f t="shared" si="2"/>
        <v/>
      </c>
      <c r="H361" s="33" t="str">
        <f>IF(OR(A361="",F361=""),"",F361-VLOOKUP(A361,BILLING!$B:$I,7,FALSE))</f>
        <v/>
      </c>
      <c r="I361" s="33" t="str">
        <f>IF(A361="","",IF(E361&lt;=0,"Current",IF(TODAY()-VLOOKUP(A361,BILLING!$B:$I,7,FALSE)&lt;=30,"0-30 Days",IF(TODAY()-VLOOKUP(A361,BILLING!$B:$I,7,FALSE)&lt;=60,"31-60 Days","61+ Days"))))</f>
        <v/>
      </c>
    </row>
    <row r="362" ht="15.75" customHeight="1">
      <c r="A362" s="33" t="str">
        <f>IF(BILLING!B362="","",BILLING!B362)</f>
        <v/>
      </c>
      <c r="B362" s="33" t="str">
        <f>IF(A362="","",IFERROR(VLOOKUP(VLOOKUP(VLOOKUP(A362,BILLING!$B:$I,7,FALSE),BOOKINGS!$A:$Q,3,FALSE),CLIENTS!$A:$H,2,FALSE),""))</f>
        <v/>
      </c>
      <c r="C362" s="38" t="str">
        <f>IF(A362="","",IFERROR(VLOOKUP(A362,BILLING!$B:$I,5,FALSE),0))</f>
        <v/>
      </c>
      <c r="D362" s="38"/>
      <c r="E362" s="38" t="str">
        <f t="shared" si="1"/>
        <v/>
      </c>
      <c r="F362" s="39"/>
      <c r="G362" s="33" t="str">
        <f t="shared" si="2"/>
        <v/>
      </c>
      <c r="H362" s="33" t="str">
        <f>IF(OR(A362="",F362=""),"",F362-VLOOKUP(A362,BILLING!$B:$I,7,FALSE))</f>
        <v/>
      </c>
      <c r="I362" s="33" t="str">
        <f>IF(A362="","",IF(E362&lt;=0,"Current",IF(TODAY()-VLOOKUP(A362,BILLING!$B:$I,7,FALSE)&lt;=30,"0-30 Days",IF(TODAY()-VLOOKUP(A362,BILLING!$B:$I,7,FALSE)&lt;=60,"31-60 Days","61+ Days"))))</f>
        <v/>
      </c>
    </row>
    <row r="363" ht="15.75" customHeight="1">
      <c r="A363" s="33" t="str">
        <f>IF(BILLING!B363="","",BILLING!B363)</f>
        <v/>
      </c>
      <c r="B363" s="33" t="str">
        <f>IF(A363="","",IFERROR(VLOOKUP(VLOOKUP(VLOOKUP(A363,BILLING!$B:$I,7,FALSE),BOOKINGS!$A:$Q,3,FALSE),CLIENTS!$A:$H,2,FALSE),""))</f>
        <v/>
      </c>
      <c r="C363" s="38" t="str">
        <f>IF(A363="","",IFERROR(VLOOKUP(A363,BILLING!$B:$I,5,FALSE),0))</f>
        <v/>
      </c>
      <c r="D363" s="38"/>
      <c r="E363" s="38" t="str">
        <f t="shared" si="1"/>
        <v/>
      </c>
      <c r="F363" s="39"/>
      <c r="G363" s="33" t="str">
        <f t="shared" si="2"/>
        <v/>
      </c>
      <c r="H363" s="33" t="str">
        <f>IF(OR(A363="",F363=""),"",F363-VLOOKUP(A363,BILLING!$B:$I,7,FALSE))</f>
        <v/>
      </c>
      <c r="I363" s="33" t="str">
        <f>IF(A363="","",IF(E363&lt;=0,"Current",IF(TODAY()-VLOOKUP(A363,BILLING!$B:$I,7,FALSE)&lt;=30,"0-30 Days",IF(TODAY()-VLOOKUP(A363,BILLING!$B:$I,7,FALSE)&lt;=60,"31-60 Days","61+ Days"))))</f>
        <v/>
      </c>
    </row>
    <row r="364" ht="15.75" customHeight="1">
      <c r="A364" s="33" t="str">
        <f>IF(BILLING!B364="","",BILLING!B364)</f>
        <v/>
      </c>
      <c r="B364" s="33" t="str">
        <f>IF(A364="","",IFERROR(VLOOKUP(VLOOKUP(VLOOKUP(A364,BILLING!$B:$I,7,FALSE),BOOKINGS!$A:$Q,3,FALSE),CLIENTS!$A:$H,2,FALSE),""))</f>
        <v/>
      </c>
      <c r="C364" s="38" t="str">
        <f>IF(A364="","",IFERROR(VLOOKUP(A364,BILLING!$B:$I,5,FALSE),0))</f>
        <v/>
      </c>
      <c r="D364" s="38"/>
      <c r="E364" s="38" t="str">
        <f t="shared" si="1"/>
        <v/>
      </c>
      <c r="F364" s="39"/>
      <c r="G364" s="33" t="str">
        <f t="shared" si="2"/>
        <v/>
      </c>
      <c r="H364" s="33" t="str">
        <f>IF(OR(A364="",F364=""),"",F364-VLOOKUP(A364,BILLING!$B:$I,7,FALSE))</f>
        <v/>
      </c>
      <c r="I364" s="33" t="str">
        <f>IF(A364="","",IF(E364&lt;=0,"Current",IF(TODAY()-VLOOKUP(A364,BILLING!$B:$I,7,FALSE)&lt;=30,"0-30 Days",IF(TODAY()-VLOOKUP(A364,BILLING!$B:$I,7,FALSE)&lt;=60,"31-60 Days","61+ Days"))))</f>
        <v/>
      </c>
    </row>
    <row r="365" ht="15.75" customHeight="1">
      <c r="A365" s="33" t="str">
        <f>IF(BILLING!B365="","",BILLING!B365)</f>
        <v/>
      </c>
      <c r="B365" s="33" t="str">
        <f>IF(A365="","",IFERROR(VLOOKUP(VLOOKUP(VLOOKUP(A365,BILLING!$B:$I,7,FALSE),BOOKINGS!$A:$Q,3,FALSE),CLIENTS!$A:$H,2,FALSE),""))</f>
        <v/>
      </c>
      <c r="C365" s="38" t="str">
        <f>IF(A365="","",IFERROR(VLOOKUP(A365,BILLING!$B:$I,5,FALSE),0))</f>
        <v/>
      </c>
      <c r="D365" s="38"/>
      <c r="E365" s="38" t="str">
        <f t="shared" si="1"/>
        <v/>
      </c>
      <c r="F365" s="39"/>
      <c r="G365" s="33" t="str">
        <f t="shared" si="2"/>
        <v/>
      </c>
      <c r="H365" s="33" t="str">
        <f>IF(OR(A365="",F365=""),"",F365-VLOOKUP(A365,BILLING!$B:$I,7,FALSE))</f>
        <v/>
      </c>
      <c r="I365" s="33" t="str">
        <f>IF(A365="","",IF(E365&lt;=0,"Current",IF(TODAY()-VLOOKUP(A365,BILLING!$B:$I,7,FALSE)&lt;=30,"0-30 Days",IF(TODAY()-VLOOKUP(A365,BILLING!$B:$I,7,FALSE)&lt;=60,"31-60 Days","61+ Days"))))</f>
        <v/>
      </c>
    </row>
    <row r="366" ht="15.75" customHeight="1">
      <c r="A366" s="33" t="str">
        <f>IF(BILLING!B366="","",BILLING!B366)</f>
        <v/>
      </c>
      <c r="B366" s="33" t="str">
        <f>IF(A366="","",IFERROR(VLOOKUP(VLOOKUP(VLOOKUP(A366,BILLING!$B:$I,7,FALSE),BOOKINGS!$A:$Q,3,FALSE),CLIENTS!$A:$H,2,FALSE),""))</f>
        <v/>
      </c>
      <c r="C366" s="38" t="str">
        <f>IF(A366="","",IFERROR(VLOOKUP(A366,BILLING!$B:$I,5,FALSE),0))</f>
        <v/>
      </c>
      <c r="D366" s="38"/>
      <c r="E366" s="38" t="str">
        <f t="shared" si="1"/>
        <v/>
      </c>
      <c r="F366" s="39"/>
      <c r="G366" s="33" t="str">
        <f t="shared" si="2"/>
        <v/>
      </c>
      <c r="H366" s="33" t="str">
        <f>IF(OR(A366="",F366=""),"",F366-VLOOKUP(A366,BILLING!$B:$I,7,FALSE))</f>
        <v/>
      </c>
      <c r="I366" s="33" t="str">
        <f>IF(A366="","",IF(E366&lt;=0,"Current",IF(TODAY()-VLOOKUP(A366,BILLING!$B:$I,7,FALSE)&lt;=30,"0-30 Days",IF(TODAY()-VLOOKUP(A366,BILLING!$B:$I,7,FALSE)&lt;=60,"31-60 Days","61+ Days"))))</f>
        <v/>
      </c>
    </row>
    <row r="367" ht="15.75" customHeight="1">
      <c r="A367" s="33" t="str">
        <f>IF(BILLING!B367="","",BILLING!B367)</f>
        <v/>
      </c>
      <c r="B367" s="33" t="str">
        <f>IF(A367="","",IFERROR(VLOOKUP(VLOOKUP(VLOOKUP(A367,BILLING!$B:$I,7,FALSE),BOOKINGS!$A:$Q,3,FALSE),CLIENTS!$A:$H,2,FALSE),""))</f>
        <v/>
      </c>
      <c r="C367" s="38" t="str">
        <f>IF(A367="","",IFERROR(VLOOKUP(A367,BILLING!$B:$I,5,FALSE),0))</f>
        <v/>
      </c>
      <c r="D367" s="38"/>
      <c r="E367" s="38" t="str">
        <f t="shared" si="1"/>
        <v/>
      </c>
      <c r="F367" s="39"/>
      <c r="G367" s="33" t="str">
        <f t="shared" si="2"/>
        <v/>
      </c>
      <c r="H367" s="33" t="str">
        <f>IF(OR(A367="",F367=""),"",F367-VLOOKUP(A367,BILLING!$B:$I,7,FALSE))</f>
        <v/>
      </c>
      <c r="I367" s="33" t="str">
        <f>IF(A367="","",IF(E367&lt;=0,"Current",IF(TODAY()-VLOOKUP(A367,BILLING!$B:$I,7,FALSE)&lt;=30,"0-30 Days",IF(TODAY()-VLOOKUP(A367,BILLING!$B:$I,7,FALSE)&lt;=60,"31-60 Days","61+ Days"))))</f>
        <v/>
      </c>
    </row>
    <row r="368" ht="15.75" customHeight="1">
      <c r="A368" s="33" t="str">
        <f>IF(BILLING!B368="","",BILLING!B368)</f>
        <v/>
      </c>
      <c r="B368" s="33" t="str">
        <f>IF(A368="","",IFERROR(VLOOKUP(VLOOKUP(VLOOKUP(A368,BILLING!$B:$I,7,FALSE),BOOKINGS!$A:$Q,3,FALSE),CLIENTS!$A:$H,2,FALSE),""))</f>
        <v/>
      </c>
      <c r="C368" s="38" t="str">
        <f>IF(A368="","",IFERROR(VLOOKUP(A368,BILLING!$B:$I,5,FALSE),0))</f>
        <v/>
      </c>
      <c r="D368" s="38"/>
      <c r="E368" s="38" t="str">
        <f t="shared" si="1"/>
        <v/>
      </c>
      <c r="F368" s="39"/>
      <c r="G368" s="33" t="str">
        <f t="shared" si="2"/>
        <v/>
      </c>
      <c r="H368" s="33" t="str">
        <f>IF(OR(A368="",F368=""),"",F368-VLOOKUP(A368,BILLING!$B:$I,7,FALSE))</f>
        <v/>
      </c>
      <c r="I368" s="33" t="str">
        <f>IF(A368="","",IF(E368&lt;=0,"Current",IF(TODAY()-VLOOKUP(A368,BILLING!$B:$I,7,FALSE)&lt;=30,"0-30 Days",IF(TODAY()-VLOOKUP(A368,BILLING!$B:$I,7,FALSE)&lt;=60,"31-60 Days","61+ Days"))))</f>
        <v/>
      </c>
    </row>
    <row r="369" ht="15.75" customHeight="1">
      <c r="A369" s="33" t="str">
        <f>IF(BILLING!B369="","",BILLING!B369)</f>
        <v/>
      </c>
      <c r="B369" s="33" t="str">
        <f>IF(A369="","",IFERROR(VLOOKUP(VLOOKUP(VLOOKUP(A369,BILLING!$B:$I,7,FALSE),BOOKINGS!$A:$Q,3,FALSE),CLIENTS!$A:$H,2,FALSE),""))</f>
        <v/>
      </c>
      <c r="C369" s="38" t="str">
        <f>IF(A369="","",IFERROR(VLOOKUP(A369,BILLING!$B:$I,5,FALSE),0))</f>
        <v/>
      </c>
      <c r="D369" s="38"/>
      <c r="E369" s="38" t="str">
        <f t="shared" si="1"/>
        <v/>
      </c>
      <c r="F369" s="39"/>
      <c r="G369" s="33" t="str">
        <f t="shared" si="2"/>
        <v/>
      </c>
      <c r="H369" s="33" t="str">
        <f>IF(OR(A369="",F369=""),"",F369-VLOOKUP(A369,BILLING!$B:$I,7,FALSE))</f>
        <v/>
      </c>
      <c r="I369" s="33" t="str">
        <f>IF(A369="","",IF(E369&lt;=0,"Current",IF(TODAY()-VLOOKUP(A369,BILLING!$B:$I,7,FALSE)&lt;=30,"0-30 Days",IF(TODAY()-VLOOKUP(A369,BILLING!$B:$I,7,FALSE)&lt;=60,"31-60 Days","61+ Days"))))</f>
        <v/>
      </c>
    </row>
    <row r="370" ht="15.75" customHeight="1">
      <c r="A370" s="33" t="str">
        <f>IF(BILLING!B370="","",BILLING!B370)</f>
        <v/>
      </c>
      <c r="B370" s="33" t="str">
        <f>IF(A370="","",IFERROR(VLOOKUP(VLOOKUP(VLOOKUP(A370,BILLING!$B:$I,7,FALSE),BOOKINGS!$A:$Q,3,FALSE),CLIENTS!$A:$H,2,FALSE),""))</f>
        <v/>
      </c>
      <c r="C370" s="38" t="str">
        <f>IF(A370="","",IFERROR(VLOOKUP(A370,BILLING!$B:$I,5,FALSE),0))</f>
        <v/>
      </c>
      <c r="D370" s="38"/>
      <c r="E370" s="38" t="str">
        <f t="shared" si="1"/>
        <v/>
      </c>
      <c r="F370" s="39"/>
      <c r="G370" s="33" t="str">
        <f t="shared" si="2"/>
        <v/>
      </c>
      <c r="H370" s="33" t="str">
        <f>IF(OR(A370="",F370=""),"",F370-VLOOKUP(A370,BILLING!$B:$I,7,FALSE))</f>
        <v/>
      </c>
      <c r="I370" s="33" t="str">
        <f>IF(A370="","",IF(E370&lt;=0,"Current",IF(TODAY()-VLOOKUP(A370,BILLING!$B:$I,7,FALSE)&lt;=30,"0-30 Days",IF(TODAY()-VLOOKUP(A370,BILLING!$B:$I,7,FALSE)&lt;=60,"31-60 Days","61+ Days"))))</f>
        <v/>
      </c>
    </row>
    <row r="371" ht="15.75" customHeight="1">
      <c r="A371" s="33" t="str">
        <f>IF(BILLING!B371="","",BILLING!B371)</f>
        <v/>
      </c>
      <c r="B371" s="33" t="str">
        <f>IF(A371="","",IFERROR(VLOOKUP(VLOOKUP(VLOOKUP(A371,BILLING!$B:$I,7,FALSE),BOOKINGS!$A:$Q,3,FALSE),CLIENTS!$A:$H,2,FALSE),""))</f>
        <v/>
      </c>
      <c r="C371" s="38" t="str">
        <f>IF(A371="","",IFERROR(VLOOKUP(A371,BILLING!$B:$I,5,FALSE),0))</f>
        <v/>
      </c>
      <c r="D371" s="38"/>
      <c r="E371" s="38" t="str">
        <f t="shared" si="1"/>
        <v/>
      </c>
      <c r="F371" s="39"/>
      <c r="G371" s="33" t="str">
        <f t="shared" si="2"/>
        <v/>
      </c>
      <c r="H371" s="33" t="str">
        <f>IF(OR(A371="",F371=""),"",F371-VLOOKUP(A371,BILLING!$B:$I,7,FALSE))</f>
        <v/>
      </c>
      <c r="I371" s="33" t="str">
        <f>IF(A371="","",IF(E371&lt;=0,"Current",IF(TODAY()-VLOOKUP(A371,BILLING!$B:$I,7,FALSE)&lt;=30,"0-30 Days",IF(TODAY()-VLOOKUP(A371,BILLING!$B:$I,7,FALSE)&lt;=60,"31-60 Days","61+ Days"))))</f>
        <v/>
      </c>
    </row>
    <row r="372" ht="15.75" customHeight="1">
      <c r="A372" s="33" t="str">
        <f>IF(BILLING!B372="","",BILLING!B372)</f>
        <v/>
      </c>
      <c r="B372" s="33" t="str">
        <f>IF(A372="","",IFERROR(VLOOKUP(VLOOKUP(VLOOKUP(A372,BILLING!$B:$I,7,FALSE),BOOKINGS!$A:$Q,3,FALSE),CLIENTS!$A:$H,2,FALSE),""))</f>
        <v/>
      </c>
      <c r="C372" s="38" t="str">
        <f>IF(A372="","",IFERROR(VLOOKUP(A372,BILLING!$B:$I,5,FALSE),0))</f>
        <v/>
      </c>
      <c r="D372" s="38"/>
      <c r="E372" s="38" t="str">
        <f t="shared" si="1"/>
        <v/>
      </c>
      <c r="F372" s="39"/>
      <c r="G372" s="33" t="str">
        <f t="shared" si="2"/>
        <v/>
      </c>
      <c r="H372" s="33" t="str">
        <f>IF(OR(A372="",F372=""),"",F372-VLOOKUP(A372,BILLING!$B:$I,7,FALSE))</f>
        <v/>
      </c>
      <c r="I372" s="33" t="str">
        <f>IF(A372="","",IF(E372&lt;=0,"Current",IF(TODAY()-VLOOKUP(A372,BILLING!$B:$I,7,FALSE)&lt;=30,"0-30 Days",IF(TODAY()-VLOOKUP(A372,BILLING!$B:$I,7,FALSE)&lt;=60,"31-60 Days","61+ Days"))))</f>
        <v/>
      </c>
    </row>
    <row r="373" ht="15.75" customHeight="1">
      <c r="A373" s="33" t="str">
        <f>IF(BILLING!B373="","",BILLING!B373)</f>
        <v/>
      </c>
      <c r="B373" s="33" t="str">
        <f>IF(A373="","",IFERROR(VLOOKUP(VLOOKUP(VLOOKUP(A373,BILLING!$B:$I,7,FALSE),BOOKINGS!$A:$Q,3,FALSE),CLIENTS!$A:$H,2,FALSE),""))</f>
        <v/>
      </c>
      <c r="C373" s="38" t="str">
        <f>IF(A373="","",IFERROR(VLOOKUP(A373,BILLING!$B:$I,5,FALSE),0))</f>
        <v/>
      </c>
      <c r="D373" s="38"/>
      <c r="E373" s="38" t="str">
        <f t="shared" si="1"/>
        <v/>
      </c>
      <c r="F373" s="39"/>
      <c r="G373" s="33" t="str">
        <f t="shared" si="2"/>
        <v/>
      </c>
      <c r="H373" s="33" t="str">
        <f>IF(OR(A373="",F373=""),"",F373-VLOOKUP(A373,BILLING!$B:$I,7,FALSE))</f>
        <v/>
      </c>
      <c r="I373" s="33" t="str">
        <f>IF(A373="","",IF(E373&lt;=0,"Current",IF(TODAY()-VLOOKUP(A373,BILLING!$B:$I,7,FALSE)&lt;=30,"0-30 Days",IF(TODAY()-VLOOKUP(A373,BILLING!$B:$I,7,FALSE)&lt;=60,"31-60 Days","61+ Days"))))</f>
        <v/>
      </c>
    </row>
    <row r="374" ht="15.75" customHeight="1">
      <c r="A374" s="33" t="str">
        <f>IF(BILLING!B374="","",BILLING!B374)</f>
        <v/>
      </c>
      <c r="B374" s="33" t="str">
        <f>IF(A374="","",IFERROR(VLOOKUP(VLOOKUP(VLOOKUP(A374,BILLING!$B:$I,7,FALSE),BOOKINGS!$A:$Q,3,FALSE),CLIENTS!$A:$H,2,FALSE),""))</f>
        <v/>
      </c>
      <c r="C374" s="38" t="str">
        <f>IF(A374="","",IFERROR(VLOOKUP(A374,BILLING!$B:$I,5,FALSE),0))</f>
        <v/>
      </c>
      <c r="D374" s="38"/>
      <c r="E374" s="38" t="str">
        <f t="shared" si="1"/>
        <v/>
      </c>
      <c r="F374" s="39"/>
      <c r="G374" s="33" t="str">
        <f t="shared" si="2"/>
        <v/>
      </c>
      <c r="H374" s="33" t="str">
        <f>IF(OR(A374="",F374=""),"",F374-VLOOKUP(A374,BILLING!$B:$I,7,FALSE))</f>
        <v/>
      </c>
      <c r="I374" s="33" t="str">
        <f>IF(A374="","",IF(E374&lt;=0,"Current",IF(TODAY()-VLOOKUP(A374,BILLING!$B:$I,7,FALSE)&lt;=30,"0-30 Days",IF(TODAY()-VLOOKUP(A374,BILLING!$B:$I,7,FALSE)&lt;=60,"31-60 Days","61+ Days"))))</f>
        <v/>
      </c>
    </row>
    <row r="375" ht="15.75" customHeight="1">
      <c r="A375" s="33" t="str">
        <f>IF(BILLING!B375="","",BILLING!B375)</f>
        <v/>
      </c>
      <c r="B375" s="33" t="str">
        <f>IF(A375="","",IFERROR(VLOOKUP(VLOOKUP(VLOOKUP(A375,BILLING!$B:$I,7,FALSE),BOOKINGS!$A:$Q,3,FALSE),CLIENTS!$A:$H,2,FALSE),""))</f>
        <v/>
      </c>
      <c r="C375" s="38" t="str">
        <f>IF(A375="","",IFERROR(VLOOKUP(A375,BILLING!$B:$I,5,FALSE),0))</f>
        <v/>
      </c>
      <c r="D375" s="38"/>
      <c r="E375" s="38" t="str">
        <f t="shared" si="1"/>
        <v/>
      </c>
      <c r="F375" s="39"/>
      <c r="G375" s="33" t="str">
        <f t="shared" si="2"/>
        <v/>
      </c>
      <c r="H375" s="33" t="str">
        <f>IF(OR(A375="",F375=""),"",F375-VLOOKUP(A375,BILLING!$B:$I,7,FALSE))</f>
        <v/>
      </c>
      <c r="I375" s="33" t="str">
        <f>IF(A375="","",IF(E375&lt;=0,"Current",IF(TODAY()-VLOOKUP(A375,BILLING!$B:$I,7,FALSE)&lt;=30,"0-30 Days",IF(TODAY()-VLOOKUP(A375,BILLING!$B:$I,7,FALSE)&lt;=60,"31-60 Days","61+ Days"))))</f>
        <v/>
      </c>
    </row>
    <row r="376" ht="15.75" customHeight="1">
      <c r="A376" s="33" t="str">
        <f>IF(BILLING!B376="","",BILLING!B376)</f>
        <v/>
      </c>
      <c r="B376" s="33" t="str">
        <f>IF(A376="","",IFERROR(VLOOKUP(VLOOKUP(VLOOKUP(A376,BILLING!$B:$I,7,FALSE),BOOKINGS!$A:$Q,3,FALSE),CLIENTS!$A:$H,2,FALSE),""))</f>
        <v/>
      </c>
      <c r="C376" s="38" t="str">
        <f>IF(A376="","",IFERROR(VLOOKUP(A376,BILLING!$B:$I,5,FALSE),0))</f>
        <v/>
      </c>
      <c r="D376" s="38"/>
      <c r="E376" s="38" t="str">
        <f t="shared" si="1"/>
        <v/>
      </c>
      <c r="F376" s="39"/>
      <c r="G376" s="33" t="str">
        <f t="shared" si="2"/>
        <v/>
      </c>
      <c r="H376" s="33" t="str">
        <f>IF(OR(A376="",F376=""),"",F376-VLOOKUP(A376,BILLING!$B:$I,7,FALSE))</f>
        <v/>
      </c>
      <c r="I376" s="33" t="str">
        <f>IF(A376="","",IF(E376&lt;=0,"Current",IF(TODAY()-VLOOKUP(A376,BILLING!$B:$I,7,FALSE)&lt;=30,"0-30 Days",IF(TODAY()-VLOOKUP(A376,BILLING!$B:$I,7,FALSE)&lt;=60,"31-60 Days","61+ Days"))))</f>
        <v/>
      </c>
    </row>
    <row r="377" ht="15.75" customHeight="1">
      <c r="A377" s="33" t="str">
        <f>IF(BILLING!B377="","",BILLING!B377)</f>
        <v/>
      </c>
      <c r="B377" s="33" t="str">
        <f>IF(A377="","",IFERROR(VLOOKUP(VLOOKUP(VLOOKUP(A377,BILLING!$B:$I,7,FALSE),BOOKINGS!$A:$Q,3,FALSE),CLIENTS!$A:$H,2,FALSE),""))</f>
        <v/>
      </c>
      <c r="C377" s="38" t="str">
        <f>IF(A377="","",IFERROR(VLOOKUP(A377,BILLING!$B:$I,5,FALSE),0))</f>
        <v/>
      </c>
      <c r="D377" s="38"/>
      <c r="E377" s="38" t="str">
        <f t="shared" si="1"/>
        <v/>
      </c>
      <c r="F377" s="39"/>
      <c r="G377" s="33" t="str">
        <f t="shared" si="2"/>
        <v/>
      </c>
      <c r="H377" s="33" t="str">
        <f>IF(OR(A377="",F377=""),"",F377-VLOOKUP(A377,BILLING!$B:$I,7,FALSE))</f>
        <v/>
      </c>
      <c r="I377" s="33" t="str">
        <f>IF(A377="","",IF(E377&lt;=0,"Current",IF(TODAY()-VLOOKUP(A377,BILLING!$B:$I,7,FALSE)&lt;=30,"0-30 Days",IF(TODAY()-VLOOKUP(A377,BILLING!$B:$I,7,FALSE)&lt;=60,"31-60 Days","61+ Days"))))</f>
        <v/>
      </c>
    </row>
    <row r="378" ht="15.75" customHeight="1">
      <c r="A378" s="33" t="str">
        <f>IF(BILLING!B378="","",BILLING!B378)</f>
        <v/>
      </c>
      <c r="B378" s="33" t="str">
        <f>IF(A378="","",IFERROR(VLOOKUP(VLOOKUP(VLOOKUP(A378,BILLING!$B:$I,7,FALSE),BOOKINGS!$A:$Q,3,FALSE),CLIENTS!$A:$H,2,FALSE),""))</f>
        <v/>
      </c>
      <c r="C378" s="38" t="str">
        <f>IF(A378="","",IFERROR(VLOOKUP(A378,BILLING!$B:$I,5,FALSE),0))</f>
        <v/>
      </c>
      <c r="D378" s="38"/>
      <c r="E378" s="38" t="str">
        <f t="shared" si="1"/>
        <v/>
      </c>
      <c r="F378" s="39"/>
      <c r="G378" s="33" t="str">
        <f t="shared" si="2"/>
        <v/>
      </c>
      <c r="H378" s="33" t="str">
        <f>IF(OR(A378="",F378=""),"",F378-VLOOKUP(A378,BILLING!$B:$I,7,FALSE))</f>
        <v/>
      </c>
      <c r="I378" s="33" t="str">
        <f>IF(A378="","",IF(E378&lt;=0,"Current",IF(TODAY()-VLOOKUP(A378,BILLING!$B:$I,7,FALSE)&lt;=30,"0-30 Days",IF(TODAY()-VLOOKUP(A378,BILLING!$B:$I,7,FALSE)&lt;=60,"31-60 Days","61+ Days"))))</f>
        <v/>
      </c>
    </row>
    <row r="379" ht="15.75" customHeight="1">
      <c r="A379" s="33" t="str">
        <f>IF(BILLING!B379="","",BILLING!B379)</f>
        <v/>
      </c>
      <c r="B379" s="33" t="str">
        <f>IF(A379="","",IFERROR(VLOOKUP(VLOOKUP(VLOOKUP(A379,BILLING!$B:$I,7,FALSE),BOOKINGS!$A:$Q,3,FALSE),CLIENTS!$A:$H,2,FALSE),""))</f>
        <v/>
      </c>
      <c r="C379" s="38" t="str">
        <f>IF(A379="","",IFERROR(VLOOKUP(A379,BILLING!$B:$I,5,FALSE),0))</f>
        <v/>
      </c>
      <c r="D379" s="38"/>
      <c r="E379" s="38" t="str">
        <f t="shared" si="1"/>
        <v/>
      </c>
      <c r="F379" s="39"/>
      <c r="G379" s="33" t="str">
        <f t="shared" si="2"/>
        <v/>
      </c>
      <c r="H379" s="33" t="str">
        <f>IF(OR(A379="",F379=""),"",F379-VLOOKUP(A379,BILLING!$B:$I,7,FALSE))</f>
        <v/>
      </c>
      <c r="I379" s="33" t="str">
        <f>IF(A379="","",IF(E379&lt;=0,"Current",IF(TODAY()-VLOOKUP(A379,BILLING!$B:$I,7,FALSE)&lt;=30,"0-30 Days",IF(TODAY()-VLOOKUP(A379,BILLING!$B:$I,7,FALSE)&lt;=60,"31-60 Days","61+ Days"))))</f>
        <v/>
      </c>
    </row>
    <row r="380" ht="15.75" customHeight="1">
      <c r="A380" s="33" t="str">
        <f>IF(BILLING!B380="","",BILLING!B380)</f>
        <v/>
      </c>
      <c r="B380" s="33" t="str">
        <f>IF(A380="","",IFERROR(VLOOKUP(VLOOKUP(VLOOKUP(A380,BILLING!$B:$I,7,FALSE),BOOKINGS!$A:$Q,3,FALSE),CLIENTS!$A:$H,2,FALSE),""))</f>
        <v/>
      </c>
      <c r="C380" s="38" t="str">
        <f>IF(A380="","",IFERROR(VLOOKUP(A380,BILLING!$B:$I,5,FALSE),0))</f>
        <v/>
      </c>
      <c r="D380" s="38"/>
      <c r="E380" s="38" t="str">
        <f t="shared" si="1"/>
        <v/>
      </c>
      <c r="F380" s="39"/>
      <c r="G380" s="33" t="str">
        <f t="shared" si="2"/>
        <v/>
      </c>
      <c r="H380" s="33" t="str">
        <f>IF(OR(A380="",F380=""),"",F380-VLOOKUP(A380,BILLING!$B:$I,7,FALSE))</f>
        <v/>
      </c>
      <c r="I380" s="33" t="str">
        <f>IF(A380="","",IF(E380&lt;=0,"Current",IF(TODAY()-VLOOKUP(A380,BILLING!$B:$I,7,FALSE)&lt;=30,"0-30 Days",IF(TODAY()-VLOOKUP(A380,BILLING!$B:$I,7,FALSE)&lt;=60,"31-60 Days","61+ Days"))))</f>
        <v/>
      </c>
    </row>
    <row r="381" ht="15.75" customHeight="1">
      <c r="A381" s="33" t="str">
        <f>IF(BILLING!B381="","",BILLING!B381)</f>
        <v/>
      </c>
      <c r="B381" s="33" t="str">
        <f>IF(A381="","",IFERROR(VLOOKUP(VLOOKUP(VLOOKUP(A381,BILLING!$B:$I,7,FALSE),BOOKINGS!$A:$Q,3,FALSE),CLIENTS!$A:$H,2,FALSE),""))</f>
        <v/>
      </c>
      <c r="C381" s="38" t="str">
        <f>IF(A381="","",IFERROR(VLOOKUP(A381,BILLING!$B:$I,5,FALSE),0))</f>
        <v/>
      </c>
      <c r="D381" s="38"/>
      <c r="E381" s="38" t="str">
        <f t="shared" si="1"/>
        <v/>
      </c>
      <c r="F381" s="39"/>
      <c r="G381" s="33" t="str">
        <f t="shared" si="2"/>
        <v/>
      </c>
      <c r="H381" s="33" t="str">
        <f>IF(OR(A381="",F381=""),"",F381-VLOOKUP(A381,BILLING!$B:$I,7,FALSE))</f>
        <v/>
      </c>
      <c r="I381" s="33" t="str">
        <f>IF(A381="","",IF(E381&lt;=0,"Current",IF(TODAY()-VLOOKUP(A381,BILLING!$B:$I,7,FALSE)&lt;=30,"0-30 Days",IF(TODAY()-VLOOKUP(A381,BILLING!$B:$I,7,FALSE)&lt;=60,"31-60 Days","61+ Days"))))</f>
        <v/>
      </c>
    </row>
    <row r="382" ht="15.75" customHeight="1">
      <c r="A382" s="33" t="str">
        <f>IF(BILLING!B382="","",BILLING!B382)</f>
        <v/>
      </c>
      <c r="B382" s="33" t="str">
        <f>IF(A382="","",IFERROR(VLOOKUP(VLOOKUP(VLOOKUP(A382,BILLING!$B:$I,7,FALSE),BOOKINGS!$A:$Q,3,FALSE),CLIENTS!$A:$H,2,FALSE),""))</f>
        <v/>
      </c>
      <c r="C382" s="38" t="str">
        <f>IF(A382="","",IFERROR(VLOOKUP(A382,BILLING!$B:$I,5,FALSE),0))</f>
        <v/>
      </c>
      <c r="D382" s="38"/>
      <c r="E382" s="38" t="str">
        <f t="shared" si="1"/>
        <v/>
      </c>
      <c r="F382" s="39"/>
      <c r="G382" s="33" t="str">
        <f t="shared" si="2"/>
        <v/>
      </c>
      <c r="H382" s="33" t="str">
        <f>IF(OR(A382="",F382=""),"",F382-VLOOKUP(A382,BILLING!$B:$I,7,FALSE))</f>
        <v/>
      </c>
      <c r="I382" s="33" t="str">
        <f>IF(A382="","",IF(E382&lt;=0,"Current",IF(TODAY()-VLOOKUP(A382,BILLING!$B:$I,7,FALSE)&lt;=30,"0-30 Days",IF(TODAY()-VLOOKUP(A382,BILLING!$B:$I,7,FALSE)&lt;=60,"31-60 Days","61+ Days"))))</f>
        <v/>
      </c>
    </row>
    <row r="383" ht="15.75" customHeight="1">
      <c r="A383" s="33" t="str">
        <f>IF(BILLING!B383="","",BILLING!B383)</f>
        <v/>
      </c>
      <c r="B383" s="33" t="str">
        <f>IF(A383="","",IFERROR(VLOOKUP(VLOOKUP(VLOOKUP(A383,BILLING!$B:$I,7,FALSE),BOOKINGS!$A:$Q,3,FALSE),CLIENTS!$A:$H,2,FALSE),""))</f>
        <v/>
      </c>
      <c r="C383" s="38" t="str">
        <f>IF(A383="","",IFERROR(VLOOKUP(A383,BILLING!$B:$I,5,FALSE),0))</f>
        <v/>
      </c>
      <c r="D383" s="38"/>
      <c r="E383" s="38" t="str">
        <f t="shared" si="1"/>
        <v/>
      </c>
      <c r="F383" s="39"/>
      <c r="G383" s="33" t="str">
        <f t="shared" si="2"/>
        <v/>
      </c>
      <c r="H383" s="33" t="str">
        <f>IF(OR(A383="",F383=""),"",F383-VLOOKUP(A383,BILLING!$B:$I,7,FALSE))</f>
        <v/>
      </c>
      <c r="I383" s="33" t="str">
        <f>IF(A383="","",IF(E383&lt;=0,"Current",IF(TODAY()-VLOOKUP(A383,BILLING!$B:$I,7,FALSE)&lt;=30,"0-30 Days",IF(TODAY()-VLOOKUP(A383,BILLING!$B:$I,7,FALSE)&lt;=60,"31-60 Days","61+ Days"))))</f>
        <v/>
      </c>
    </row>
    <row r="384" ht="15.75" customHeight="1">
      <c r="A384" s="33" t="str">
        <f>IF(BILLING!B384="","",BILLING!B384)</f>
        <v/>
      </c>
      <c r="B384" s="33" t="str">
        <f>IF(A384="","",IFERROR(VLOOKUP(VLOOKUP(VLOOKUP(A384,BILLING!$B:$I,7,FALSE),BOOKINGS!$A:$Q,3,FALSE),CLIENTS!$A:$H,2,FALSE),""))</f>
        <v/>
      </c>
      <c r="C384" s="38" t="str">
        <f>IF(A384="","",IFERROR(VLOOKUP(A384,BILLING!$B:$I,5,FALSE),0))</f>
        <v/>
      </c>
      <c r="D384" s="38"/>
      <c r="E384" s="38" t="str">
        <f t="shared" si="1"/>
        <v/>
      </c>
      <c r="F384" s="39"/>
      <c r="G384" s="33" t="str">
        <f t="shared" si="2"/>
        <v/>
      </c>
      <c r="H384" s="33" t="str">
        <f>IF(OR(A384="",F384=""),"",F384-VLOOKUP(A384,BILLING!$B:$I,7,FALSE))</f>
        <v/>
      </c>
      <c r="I384" s="33" t="str">
        <f>IF(A384="","",IF(E384&lt;=0,"Current",IF(TODAY()-VLOOKUP(A384,BILLING!$B:$I,7,FALSE)&lt;=30,"0-30 Days",IF(TODAY()-VLOOKUP(A384,BILLING!$B:$I,7,FALSE)&lt;=60,"31-60 Days","61+ Days"))))</f>
        <v/>
      </c>
    </row>
    <row r="385" ht="15.75" customHeight="1">
      <c r="A385" s="33" t="str">
        <f>IF(BILLING!B385="","",BILLING!B385)</f>
        <v/>
      </c>
      <c r="B385" s="33" t="str">
        <f>IF(A385="","",IFERROR(VLOOKUP(VLOOKUP(VLOOKUP(A385,BILLING!$B:$I,7,FALSE),BOOKINGS!$A:$Q,3,FALSE),CLIENTS!$A:$H,2,FALSE),""))</f>
        <v/>
      </c>
      <c r="C385" s="38" t="str">
        <f>IF(A385="","",IFERROR(VLOOKUP(A385,BILLING!$B:$I,5,FALSE),0))</f>
        <v/>
      </c>
      <c r="D385" s="38"/>
      <c r="E385" s="38" t="str">
        <f t="shared" si="1"/>
        <v/>
      </c>
      <c r="F385" s="39"/>
      <c r="G385" s="33" t="str">
        <f t="shared" si="2"/>
        <v/>
      </c>
      <c r="H385" s="33" t="str">
        <f>IF(OR(A385="",F385=""),"",F385-VLOOKUP(A385,BILLING!$B:$I,7,FALSE))</f>
        <v/>
      </c>
      <c r="I385" s="33" t="str">
        <f>IF(A385="","",IF(E385&lt;=0,"Current",IF(TODAY()-VLOOKUP(A385,BILLING!$B:$I,7,FALSE)&lt;=30,"0-30 Days",IF(TODAY()-VLOOKUP(A385,BILLING!$B:$I,7,FALSE)&lt;=60,"31-60 Days","61+ Days"))))</f>
        <v/>
      </c>
    </row>
    <row r="386" ht="15.75" customHeight="1">
      <c r="A386" s="33" t="str">
        <f>IF(BILLING!B386="","",BILLING!B386)</f>
        <v/>
      </c>
      <c r="B386" s="33" t="str">
        <f>IF(A386="","",IFERROR(VLOOKUP(VLOOKUP(VLOOKUP(A386,BILLING!$B:$I,7,FALSE),BOOKINGS!$A:$Q,3,FALSE),CLIENTS!$A:$H,2,FALSE),""))</f>
        <v/>
      </c>
      <c r="C386" s="38" t="str">
        <f>IF(A386="","",IFERROR(VLOOKUP(A386,BILLING!$B:$I,5,FALSE),0))</f>
        <v/>
      </c>
      <c r="D386" s="38"/>
      <c r="E386" s="38" t="str">
        <f t="shared" si="1"/>
        <v/>
      </c>
      <c r="F386" s="39"/>
      <c r="G386" s="33" t="str">
        <f t="shared" si="2"/>
        <v/>
      </c>
      <c r="H386" s="33" t="str">
        <f>IF(OR(A386="",F386=""),"",F386-VLOOKUP(A386,BILLING!$B:$I,7,FALSE))</f>
        <v/>
      </c>
      <c r="I386" s="33" t="str">
        <f>IF(A386="","",IF(E386&lt;=0,"Current",IF(TODAY()-VLOOKUP(A386,BILLING!$B:$I,7,FALSE)&lt;=30,"0-30 Days",IF(TODAY()-VLOOKUP(A386,BILLING!$B:$I,7,FALSE)&lt;=60,"31-60 Days","61+ Days"))))</f>
        <v/>
      </c>
    </row>
    <row r="387" ht="15.75" customHeight="1">
      <c r="A387" s="33" t="str">
        <f>IF(BILLING!B387="","",BILLING!B387)</f>
        <v/>
      </c>
      <c r="B387" s="33" t="str">
        <f>IF(A387="","",IFERROR(VLOOKUP(VLOOKUP(VLOOKUP(A387,BILLING!$B:$I,7,FALSE),BOOKINGS!$A:$Q,3,FALSE),CLIENTS!$A:$H,2,FALSE),""))</f>
        <v/>
      </c>
      <c r="C387" s="38" t="str">
        <f>IF(A387="","",IFERROR(VLOOKUP(A387,BILLING!$B:$I,5,FALSE),0))</f>
        <v/>
      </c>
      <c r="D387" s="38"/>
      <c r="E387" s="38" t="str">
        <f t="shared" si="1"/>
        <v/>
      </c>
      <c r="F387" s="39"/>
      <c r="G387" s="33" t="str">
        <f t="shared" si="2"/>
        <v/>
      </c>
      <c r="H387" s="33" t="str">
        <f>IF(OR(A387="",F387=""),"",F387-VLOOKUP(A387,BILLING!$B:$I,7,FALSE))</f>
        <v/>
      </c>
      <c r="I387" s="33" t="str">
        <f>IF(A387="","",IF(E387&lt;=0,"Current",IF(TODAY()-VLOOKUP(A387,BILLING!$B:$I,7,FALSE)&lt;=30,"0-30 Days",IF(TODAY()-VLOOKUP(A387,BILLING!$B:$I,7,FALSE)&lt;=60,"31-60 Days","61+ Days"))))</f>
        <v/>
      </c>
    </row>
    <row r="388" ht="15.75" customHeight="1">
      <c r="A388" s="33" t="str">
        <f>IF(BILLING!B388="","",BILLING!B388)</f>
        <v/>
      </c>
      <c r="B388" s="33" t="str">
        <f>IF(A388="","",IFERROR(VLOOKUP(VLOOKUP(VLOOKUP(A388,BILLING!$B:$I,7,FALSE),BOOKINGS!$A:$Q,3,FALSE),CLIENTS!$A:$H,2,FALSE),""))</f>
        <v/>
      </c>
      <c r="C388" s="38" t="str">
        <f>IF(A388="","",IFERROR(VLOOKUP(A388,BILLING!$B:$I,5,FALSE),0))</f>
        <v/>
      </c>
      <c r="D388" s="38"/>
      <c r="E388" s="38" t="str">
        <f t="shared" si="1"/>
        <v/>
      </c>
      <c r="F388" s="39"/>
      <c r="G388" s="33" t="str">
        <f t="shared" si="2"/>
        <v/>
      </c>
      <c r="H388" s="33" t="str">
        <f>IF(OR(A388="",F388=""),"",F388-VLOOKUP(A388,BILLING!$B:$I,7,FALSE))</f>
        <v/>
      </c>
      <c r="I388" s="33" t="str">
        <f>IF(A388="","",IF(E388&lt;=0,"Current",IF(TODAY()-VLOOKUP(A388,BILLING!$B:$I,7,FALSE)&lt;=30,"0-30 Days",IF(TODAY()-VLOOKUP(A388,BILLING!$B:$I,7,FALSE)&lt;=60,"31-60 Days","61+ Days"))))</f>
        <v/>
      </c>
    </row>
    <row r="389" ht="15.75" customHeight="1">
      <c r="A389" s="33" t="str">
        <f>IF(BILLING!B389="","",BILLING!B389)</f>
        <v/>
      </c>
      <c r="B389" s="33" t="str">
        <f>IF(A389="","",IFERROR(VLOOKUP(VLOOKUP(VLOOKUP(A389,BILLING!$B:$I,7,FALSE),BOOKINGS!$A:$Q,3,FALSE),CLIENTS!$A:$H,2,FALSE),""))</f>
        <v/>
      </c>
      <c r="C389" s="38" t="str">
        <f>IF(A389="","",IFERROR(VLOOKUP(A389,BILLING!$B:$I,5,FALSE),0))</f>
        <v/>
      </c>
      <c r="D389" s="38"/>
      <c r="E389" s="38" t="str">
        <f t="shared" si="1"/>
        <v/>
      </c>
      <c r="F389" s="39"/>
      <c r="G389" s="33" t="str">
        <f t="shared" si="2"/>
        <v/>
      </c>
      <c r="H389" s="33" t="str">
        <f>IF(OR(A389="",F389=""),"",F389-VLOOKUP(A389,BILLING!$B:$I,7,FALSE))</f>
        <v/>
      </c>
      <c r="I389" s="33" t="str">
        <f>IF(A389="","",IF(E389&lt;=0,"Current",IF(TODAY()-VLOOKUP(A389,BILLING!$B:$I,7,FALSE)&lt;=30,"0-30 Days",IF(TODAY()-VLOOKUP(A389,BILLING!$B:$I,7,FALSE)&lt;=60,"31-60 Days","61+ Days"))))</f>
        <v/>
      </c>
    </row>
    <row r="390" ht="15.75" customHeight="1">
      <c r="A390" s="33" t="str">
        <f>IF(BILLING!B390="","",BILLING!B390)</f>
        <v/>
      </c>
      <c r="B390" s="33" t="str">
        <f>IF(A390="","",IFERROR(VLOOKUP(VLOOKUP(VLOOKUP(A390,BILLING!$B:$I,7,FALSE),BOOKINGS!$A:$Q,3,FALSE),CLIENTS!$A:$H,2,FALSE),""))</f>
        <v/>
      </c>
      <c r="C390" s="38" t="str">
        <f>IF(A390="","",IFERROR(VLOOKUP(A390,BILLING!$B:$I,5,FALSE),0))</f>
        <v/>
      </c>
      <c r="D390" s="38"/>
      <c r="E390" s="38" t="str">
        <f t="shared" si="1"/>
        <v/>
      </c>
      <c r="F390" s="39"/>
      <c r="G390" s="33" t="str">
        <f t="shared" si="2"/>
        <v/>
      </c>
      <c r="H390" s="33" t="str">
        <f>IF(OR(A390="",F390=""),"",F390-VLOOKUP(A390,BILLING!$B:$I,7,FALSE))</f>
        <v/>
      </c>
      <c r="I390" s="33" t="str">
        <f>IF(A390="","",IF(E390&lt;=0,"Current",IF(TODAY()-VLOOKUP(A390,BILLING!$B:$I,7,FALSE)&lt;=30,"0-30 Days",IF(TODAY()-VLOOKUP(A390,BILLING!$B:$I,7,FALSE)&lt;=60,"31-60 Days","61+ Days"))))</f>
        <v/>
      </c>
    </row>
    <row r="391" ht="15.75" customHeight="1">
      <c r="A391" s="33" t="str">
        <f>IF(BILLING!B391="","",BILLING!B391)</f>
        <v/>
      </c>
      <c r="B391" s="33" t="str">
        <f>IF(A391="","",IFERROR(VLOOKUP(VLOOKUP(VLOOKUP(A391,BILLING!$B:$I,7,FALSE),BOOKINGS!$A:$Q,3,FALSE),CLIENTS!$A:$H,2,FALSE),""))</f>
        <v/>
      </c>
      <c r="C391" s="38" t="str">
        <f>IF(A391="","",IFERROR(VLOOKUP(A391,BILLING!$B:$I,5,FALSE),0))</f>
        <v/>
      </c>
      <c r="D391" s="38"/>
      <c r="E391" s="38" t="str">
        <f t="shared" si="1"/>
        <v/>
      </c>
      <c r="F391" s="39"/>
      <c r="G391" s="33" t="str">
        <f t="shared" si="2"/>
        <v/>
      </c>
      <c r="H391" s="33" t="str">
        <f>IF(OR(A391="",F391=""),"",F391-VLOOKUP(A391,BILLING!$B:$I,7,FALSE))</f>
        <v/>
      </c>
      <c r="I391" s="33" t="str">
        <f>IF(A391="","",IF(E391&lt;=0,"Current",IF(TODAY()-VLOOKUP(A391,BILLING!$B:$I,7,FALSE)&lt;=30,"0-30 Days",IF(TODAY()-VLOOKUP(A391,BILLING!$B:$I,7,FALSE)&lt;=60,"31-60 Days","61+ Days"))))</f>
        <v/>
      </c>
    </row>
    <row r="392" ht="15.75" customHeight="1">
      <c r="A392" s="33" t="str">
        <f>IF(BILLING!B392="","",BILLING!B392)</f>
        <v/>
      </c>
      <c r="B392" s="33" t="str">
        <f>IF(A392="","",IFERROR(VLOOKUP(VLOOKUP(VLOOKUP(A392,BILLING!$B:$I,7,FALSE),BOOKINGS!$A:$Q,3,FALSE),CLIENTS!$A:$H,2,FALSE),""))</f>
        <v/>
      </c>
      <c r="C392" s="38" t="str">
        <f>IF(A392="","",IFERROR(VLOOKUP(A392,BILLING!$B:$I,5,FALSE),0))</f>
        <v/>
      </c>
      <c r="D392" s="38"/>
      <c r="E392" s="38" t="str">
        <f t="shared" si="1"/>
        <v/>
      </c>
      <c r="F392" s="39"/>
      <c r="G392" s="33" t="str">
        <f t="shared" si="2"/>
        <v/>
      </c>
      <c r="H392" s="33" t="str">
        <f>IF(OR(A392="",F392=""),"",F392-VLOOKUP(A392,BILLING!$B:$I,7,FALSE))</f>
        <v/>
      </c>
      <c r="I392" s="33" t="str">
        <f>IF(A392="","",IF(E392&lt;=0,"Current",IF(TODAY()-VLOOKUP(A392,BILLING!$B:$I,7,FALSE)&lt;=30,"0-30 Days",IF(TODAY()-VLOOKUP(A392,BILLING!$B:$I,7,FALSE)&lt;=60,"31-60 Days","61+ Days"))))</f>
        <v/>
      </c>
    </row>
    <row r="393" ht="15.75" customHeight="1">
      <c r="A393" s="33" t="str">
        <f>IF(BILLING!B393="","",BILLING!B393)</f>
        <v/>
      </c>
      <c r="B393" s="33" t="str">
        <f>IF(A393="","",IFERROR(VLOOKUP(VLOOKUP(VLOOKUP(A393,BILLING!$B:$I,7,FALSE),BOOKINGS!$A:$Q,3,FALSE),CLIENTS!$A:$H,2,FALSE),""))</f>
        <v/>
      </c>
      <c r="C393" s="38" t="str">
        <f>IF(A393="","",IFERROR(VLOOKUP(A393,BILLING!$B:$I,5,FALSE),0))</f>
        <v/>
      </c>
      <c r="D393" s="38"/>
      <c r="E393" s="38" t="str">
        <f t="shared" si="1"/>
        <v/>
      </c>
      <c r="F393" s="39"/>
      <c r="G393" s="33" t="str">
        <f t="shared" si="2"/>
        <v/>
      </c>
      <c r="H393" s="33" t="str">
        <f>IF(OR(A393="",F393=""),"",F393-VLOOKUP(A393,BILLING!$B:$I,7,FALSE))</f>
        <v/>
      </c>
      <c r="I393" s="33" t="str">
        <f>IF(A393="","",IF(E393&lt;=0,"Current",IF(TODAY()-VLOOKUP(A393,BILLING!$B:$I,7,FALSE)&lt;=30,"0-30 Days",IF(TODAY()-VLOOKUP(A393,BILLING!$B:$I,7,FALSE)&lt;=60,"31-60 Days","61+ Days"))))</f>
        <v/>
      </c>
    </row>
    <row r="394" ht="15.75" customHeight="1">
      <c r="A394" s="33" t="str">
        <f>IF(BILLING!B394="","",BILLING!B394)</f>
        <v/>
      </c>
      <c r="B394" s="33" t="str">
        <f>IF(A394="","",IFERROR(VLOOKUP(VLOOKUP(VLOOKUP(A394,BILLING!$B:$I,7,FALSE),BOOKINGS!$A:$Q,3,FALSE),CLIENTS!$A:$H,2,FALSE),""))</f>
        <v/>
      </c>
      <c r="C394" s="38" t="str">
        <f>IF(A394="","",IFERROR(VLOOKUP(A394,BILLING!$B:$I,5,FALSE),0))</f>
        <v/>
      </c>
      <c r="D394" s="38"/>
      <c r="E394" s="38" t="str">
        <f t="shared" si="1"/>
        <v/>
      </c>
      <c r="F394" s="39"/>
      <c r="G394" s="33" t="str">
        <f t="shared" si="2"/>
        <v/>
      </c>
      <c r="H394" s="33" t="str">
        <f>IF(OR(A394="",F394=""),"",F394-VLOOKUP(A394,BILLING!$B:$I,7,FALSE))</f>
        <v/>
      </c>
      <c r="I394" s="33" t="str">
        <f>IF(A394="","",IF(E394&lt;=0,"Current",IF(TODAY()-VLOOKUP(A394,BILLING!$B:$I,7,FALSE)&lt;=30,"0-30 Days",IF(TODAY()-VLOOKUP(A394,BILLING!$B:$I,7,FALSE)&lt;=60,"31-60 Days","61+ Days"))))</f>
        <v/>
      </c>
    </row>
    <row r="395" ht="15.75" customHeight="1">
      <c r="A395" s="33" t="str">
        <f>IF(BILLING!B395="","",BILLING!B395)</f>
        <v/>
      </c>
      <c r="B395" s="33" t="str">
        <f>IF(A395="","",IFERROR(VLOOKUP(VLOOKUP(VLOOKUP(A395,BILLING!$B:$I,7,FALSE),BOOKINGS!$A:$Q,3,FALSE),CLIENTS!$A:$H,2,FALSE),""))</f>
        <v/>
      </c>
      <c r="C395" s="38" t="str">
        <f>IF(A395="","",IFERROR(VLOOKUP(A395,BILLING!$B:$I,5,FALSE),0))</f>
        <v/>
      </c>
      <c r="D395" s="38"/>
      <c r="E395" s="38" t="str">
        <f t="shared" si="1"/>
        <v/>
      </c>
      <c r="F395" s="39"/>
      <c r="G395" s="33" t="str">
        <f t="shared" si="2"/>
        <v/>
      </c>
      <c r="H395" s="33" t="str">
        <f>IF(OR(A395="",F395=""),"",F395-VLOOKUP(A395,BILLING!$B:$I,7,FALSE))</f>
        <v/>
      </c>
      <c r="I395" s="33" t="str">
        <f>IF(A395="","",IF(E395&lt;=0,"Current",IF(TODAY()-VLOOKUP(A395,BILLING!$B:$I,7,FALSE)&lt;=30,"0-30 Days",IF(TODAY()-VLOOKUP(A395,BILLING!$B:$I,7,FALSE)&lt;=60,"31-60 Days","61+ Days"))))</f>
        <v/>
      </c>
    </row>
    <row r="396" ht="15.75" customHeight="1">
      <c r="A396" s="33" t="str">
        <f>IF(BILLING!B396="","",BILLING!B396)</f>
        <v/>
      </c>
      <c r="B396" s="33" t="str">
        <f>IF(A396="","",IFERROR(VLOOKUP(VLOOKUP(VLOOKUP(A396,BILLING!$B:$I,7,FALSE),BOOKINGS!$A:$Q,3,FALSE),CLIENTS!$A:$H,2,FALSE),""))</f>
        <v/>
      </c>
      <c r="C396" s="38" t="str">
        <f>IF(A396="","",IFERROR(VLOOKUP(A396,BILLING!$B:$I,5,FALSE),0))</f>
        <v/>
      </c>
      <c r="D396" s="38"/>
      <c r="E396" s="38" t="str">
        <f t="shared" si="1"/>
        <v/>
      </c>
      <c r="F396" s="39"/>
      <c r="G396" s="33" t="str">
        <f t="shared" si="2"/>
        <v/>
      </c>
      <c r="H396" s="33" t="str">
        <f>IF(OR(A396="",F396=""),"",F396-VLOOKUP(A396,BILLING!$B:$I,7,FALSE))</f>
        <v/>
      </c>
      <c r="I396" s="33" t="str">
        <f>IF(A396="","",IF(E396&lt;=0,"Current",IF(TODAY()-VLOOKUP(A396,BILLING!$B:$I,7,FALSE)&lt;=30,"0-30 Days",IF(TODAY()-VLOOKUP(A396,BILLING!$B:$I,7,FALSE)&lt;=60,"31-60 Days","61+ Days"))))</f>
        <v/>
      </c>
    </row>
    <row r="397" ht="15.75" customHeight="1">
      <c r="A397" s="33" t="str">
        <f>IF(BILLING!B397="","",BILLING!B397)</f>
        <v/>
      </c>
      <c r="B397" s="33" t="str">
        <f>IF(A397="","",IFERROR(VLOOKUP(VLOOKUP(VLOOKUP(A397,BILLING!$B:$I,7,FALSE),BOOKINGS!$A:$Q,3,FALSE),CLIENTS!$A:$H,2,FALSE),""))</f>
        <v/>
      </c>
      <c r="C397" s="38" t="str">
        <f>IF(A397="","",IFERROR(VLOOKUP(A397,BILLING!$B:$I,5,FALSE),0))</f>
        <v/>
      </c>
      <c r="D397" s="38"/>
      <c r="E397" s="38" t="str">
        <f t="shared" si="1"/>
        <v/>
      </c>
      <c r="F397" s="39"/>
      <c r="G397" s="33" t="str">
        <f t="shared" si="2"/>
        <v/>
      </c>
      <c r="H397" s="33" t="str">
        <f>IF(OR(A397="",F397=""),"",F397-VLOOKUP(A397,BILLING!$B:$I,7,FALSE))</f>
        <v/>
      </c>
      <c r="I397" s="33" t="str">
        <f>IF(A397="","",IF(E397&lt;=0,"Current",IF(TODAY()-VLOOKUP(A397,BILLING!$B:$I,7,FALSE)&lt;=30,"0-30 Days",IF(TODAY()-VLOOKUP(A397,BILLING!$B:$I,7,FALSE)&lt;=60,"31-60 Days","61+ Days"))))</f>
        <v/>
      </c>
    </row>
    <row r="398" ht="15.75" customHeight="1">
      <c r="A398" s="33" t="str">
        <f>IF(BILLING!B398="","",BILLING!B398)</f>
        <v/>
      </c>
      <c r="B398" s="33" t="str">
        <f>IF(A398="","",IFERROR(VLOOKUP(VLOOKUP(VLOOKUP(A398,BILLING!$B:$I,7,FALSE),BOOKINGS!$A:$Q,3,FALSE),CLIENTS!$A:$H,2,FALSE),""))</f>
        <v/>
      </c>
      <c r="C398" s="38" t="str">
        <f>IF(A398="","",IFERROR(VLOOKUP(A398,BILLING!$B:$I,5,FALSE),0))</f>
        <v/>
      </c>
      <c r="D398" s="38"/>
      <c r="E398" s="38" t="str">
        <f t="shared" si="1"/>
        <v/>
      </c>
      <c r="F398" s="39"/>
      <c r="G398" s="33" t="str">
        <f t="shared" si="2"/>
        <v/>
      </c>
      <c r="H398" s="33" t="str">
        <f>IF(OR(A398="",F398=""),"",F398-VLOOKUP(A398,BILLING!$B:$I,7,FALSE))</f>
        <v/>
      </c>
      <c r="I398" s="33" t="str">
        <f>IF(A398="","",IF(E398&lt;=0,"Current",IF(TODAY()-VLOOKUP(A398,BILLING!$B:$I,7,FALSE)&lt;=30,"0-30 Days",IF(TODAY()-VLOOKUP(A398,BILLING!$B:$I,7,FALSE)&lt;=60,"31-60 Days","61+ Days"))))</f>
        <v/>
      </c>
    </row>
    <row r="399" ht="15.75" customHeight="1">
      <c r="A399" s="33" t="str">
        <f>IF(BILLING!B399="","",BILLING!B399)</f>
        <v/>
      </c>
      <c r="B399" s="33" t="str">
        <f>IF(A399="","",IFERROR(VLOOKUP(VLOOKUP(VLOOKUP(A399,BILLING!$B:$I,7,FALSE),BOOKINGS!$A:$Q,3,FALSE),CLIENTS!$A:$H,2,FALSE),""))</f>
        <v/>
      </c>
      <c r="C399" s="38" t="str">
        <f>IF(A399="","",IFERROR(VLOOKUP(A399,BILLING!$B:$I,5,FALSE),0))</f>
        <v/>
      </c>
      <c r="D399" s="38"/>
      <c r="E399" s="38" t="str">
        <f t="shared" si="1"/>
        <v/>
      </c>
      <c r="F399" s="39"/>
      <c r="G399" s="33" t="str">
        <f t="shared" si="2"/>
        <v/>
      </c>
      <c r="H399" s="33" t="str">
        <f>IF(OR(A399="",F399=""),"",F399-VLOOKUP(A399,BILLING!$B:$I,7,FALSE))</f>
        <v/>
      </c>
      <c r="I399" s="33" t="str">
        <f>IF(A399="","",IF(E399&lt;=0,"Current",IF(TODAY()-VLOOKUP(A399,BILLING!$B:$I,7,FALSE)&lt;=30,"0-30 Days",IF(TODAY()-VLOOKUP(A399,BILLING!$B:$I,7,FALSE)&lt;=60,"31-60 Days","61+ Days"))))</f>
        <v/>
      </c>
    </row>
    <row r="400" ht="15.75" customHeight="1">
      <c r="A400" s="33" t="str">
        <f>IF(BILLING!B400="","",BILLING!B400)</f>
        <v/>
      </c>
      <c r="B400" s="33" t="str">
        <f>IF(A400="","",IFERROR(VLOOKUP(VLOOKUP(VLOOKUP(A400,BILLING!$B:$I,7,FALSE),BOOKINGS!$A:$Q,3,FALSE),CLIENTS!$A:$H,2,FALSE),""))</f>
        <v/>
      </c>
      <c r="C400" s="38" t="str">
        <f>IF(A400="","",IFERROR(VLOOKUP(A400,BILLING!$B:$I,5,FALSE),0))</f>
        <v/>
      </c>
      <c r="D400" s="38"/>
      <c r="E400" s="38" t="str">
        <f t="shared" si="1"/>
        <v/>
      </c>
      <c r="F400" s="39"/>
      <c r="G400" s="33" t="str">
        <f t="shared" si="2"/>
        <v/>
      </c>
      <c r="H400" s="33" t="str">
        <f>IF(OR(A400="",F400=""),"",F400-VLOOKUP(A400,BILLING!$B:$I,7,FALSE))</f>
        <v/>
      </c>
      <c r="I400" s="33" t="str">
        <f>IF(A400="","",IF(E400&lt;=0,"Current",IF(TODAY()-VLOOKUP(A400,BILLING!$B:$I,7,FALSE)&lt;=30,"0-30 Days",IF(TODAY()-VLOOKUP(A400,BILLING!$B:$I,7,FALSE)&lt;=60,"31-60 Days","61+ Days"))))</f>
        <v/>
      </c>
    </row>
    <row r="401" ht="15.75" customHeight="1">
      <c r="A401" s="33" t="str">
        <f>IF(BILLING!B401="","",BILLING!B401)</f>
        <v/>
      </c>
      <c r="B401" s="33" t="str">
        <f>IF(A401="","",IFERROR(VLOOKUP(VLOOKUP(VLOOKUP(A401,BILLING!$B:$I,7,FALSE),BOOKINGS!$A:$Q,3,FALSE),CLIENTS!$A:$H,2,FALSE),""))</f>
        <v/>
      </c>
      <c r="C401" s="38" t="str">
        <f>IF(A401="","",IFERROR(VLOOKUP(A401,BILLING!$B:$I,5,FALSE),0))</f>
        <v/>
      </c>
      <c r="D401" s="38"/>
      <c r="E401" s="38" t="str">
        <f t="shared" si="1"/>
        <v/>
      </c>
      <c r="F401" s="39"/>
      <c r="G401" s="33" t="str">
        <f t="shared" si="2"/>
        <v/>
      </c>
      <c r="H401" s="33" t="str">
        <f>IF(OR(A401="",F401=""),"",F401-VLOOKUP(A401,BILLING!$B:$I,7,FALSE))</f>
        <v/>
      </c>
      <c r="I401" s="33" t="str">
        <f>IF(A401="","",IF(E401&lt;=0,"Current",IF(TODAY()-VLOOKUP(A401,BILLING!$B:$I,7,FALSE)&lt;=30,"0-30 Days",IF(TODAY()-VLOOKUP(A401,BILLING!$B:$I,7,FALSE)&lt;=60,"31-60 Days","61+ Days"))))</f>
        <v/>
      </c>
    </row>
    <row r="402" ht="15.75" customHeight="1">
      <c r="A402" s="33" t="str">
        <f>IF(BILLING!B402="","",BILLING!B402)</f>
        <v/>
      </c>
      <c r="B402" s="33" t="str">
        <f>IF(A402="","",IFERROR(VLOOKUP(VLOOKUP(VLOOKUP(A402,BILLING!$B:$I,7,FALSE),BOOKINGS!$A:$Q,3,FALSE),CLIENTS!$A:$H,2,FALSE),""))</f>
        <v/>
      </c>
      <c r="C402" s="38" t="str">
        <f>IF(A402="","",IFERROR(VLOOKUP(A402,BILLING!$B:$I,5,FALSE),0))</f>
        <v/>
      </c>
      <c r="D402" s="38"/>
      <c r="E402" s="38" t="str">
        <f t="shared" si="1"/>
        <v/>
      </c>
      <c r="F402" s="39"/>
      <c r="G402" s="33" t="str">
        <f t="shared" si="2"/>
        <v/>
      </c>
      <c r="H402" s="33" t="str">
        <f>IF(OR(A402="",F402=""),"",F402-VLOOKUP(A402,BILLING!$B:$I,7,FALSE))</f>
        <v/>
      </c>
      <c r="I402" s="33" t="str">
        <f>IF(A402="","",IF(E402&lt;=0,"Current",IF(TODAY()-VLOOKUP(A402,BILLING!$B:$I,7,FALSE)&lt;=30,"0-30 Days",IF(TODAY()-VLOOKUP(A402,BILLING!$B:$I,7,FALSE)&lt;=60,"31-60 Days","61+ Days"))))</f>
        <v/>
      </c>
    </row>
    <row r="403" ht="15.75" customHeight="1">
      <c r="A403" s="33" t="str">
        <f>IF(BILLING!B403="","",BILLING!B403)</f>
        <v/>
      </c>
      <c r="B403" s="33" t="str">
        <f>IF(A403="","",IFERROR(VLOOKUP(VLOOKUP(VLOOKUP(A403,BILLING!$B:$I,7,FALSE),BOOKINGS!$A:$Q,3,FALSE),CLIENTS!$A:$H,2,FALSE),""))</f>
        <v/>
      </c>
      <c r="C403" s="38" t="str">
        <f>IF(A403="","",IFERROR(VLOOKUP(A403,BILLING!$B:$I,5,FALSE),0))</f>
        <v/>
      </c>
      <c r="D403" s="38"/>
      <c r="E403" s="38" t="str">
        <f t="shared" si="1"/>
        <v/>
      </c>
      <c r="F403" s="39"/>
      <c r="G403" s="33" t="str">
        <f t="shared" si="2"/>
        <v/>
      </c>
      <c r="H403" s="33" t="str">
        <f>IF(OR(A403="",F403=""),"",F403-VLOOKUP(A403,BILLING!$B:$I,7,FALSE))</f>
        <v/>
      </c>
      <c r="I403" s="33" t="str">
        <f>IF(A403="","",IF(E403&lt;=0,"Current",IF(TODAY()-VLOOKUP(A403,BILLING!$B:$I,7,FALSE)&lt;=30,"0-30 Days",IF(TODAY()-VLOOKUP(A403,BILLING!$B:$I,7,FALSE)&lt;=60,"31-60 Days","61+ Days"))))</f>
        <v/>
      </c>
    </row>
    <row r="404" ht="15.75" customHeight="1">
      <c r="A404" s="33" t="str">
        <f>IF(BILLING!B404="","",BILLING!B404)</f>
        <v/>
      </c>
      <c r="B404" s="33" t="str">
        <f>IF(A404="","",IFERROR(VLOOKUP(VLOOKUP(VLOOKUP(A404,BILLING!$B:$I,7,FALSE),BOOKINGS!$A:$Q,3,FALSE),CLIENTS!$A:$H,2,FALSE),""))</f>
        <v/>
      </c>
      <c r="C404" s="38" t="str">
        <f>IF(A404="","",IFERROR(VLOOKUP(A404,BILLING!$B:$I,5,FALSE),0))</f>
        <v/>
      </c>
      <c r="D404" s="38"/>
      <c r="E404" s="38" t="str">
        <f t="shared" si="1"/>
        <v/>
      </c>
      <c r="F404" s="39"/>
      <c r="G404" s="33" t="str">
        <f t="shared" si="2"/>
        <v/>
      </c>
      <c r="H404" s="33" t="str">
        <f>IF(OR(A404="",F404=""),"",F404-VLOOKUP(A404,BILLING!$B:$I,7,FALSE))</f>
        <v/>
      </c>
      <c r="I404" s="33" t="str">
        <f>IF(A404="","",IF(E404&lt;=0,"Current",IF(TODAY()-VLOOKUP(A404,BILLING!$B:$I,7,FALSE)&lt;=30,"0-30 Days",IF(TODAY()-VLOOKUP(A404,BILLING!$B:$I,7,FALSE)&lt;=60,"31-60 Days","61+ Days"))))</f>
        <v/>
      </c>
    </row>
    <row r="405" ht="15.75" customHeight="1">
      <c r="A405" s="33" t="str">
        <f>IF(BILLING!B405="","",BILLING!B405)</f>
        <v/>
      </c>
      <c r="B405" s="33" t="str">
        <f>IF(A405="","",IFERROR(VLOOKUP(VLOOKUP(VLOOKUP(A405,BILLING!$B:$I,7,FALSE),BOOKINGS!$A:$Q,3,FALSE),CLIENTS!$A:$H,2,FALSE),""))</f>
        <v/>
      </c>
      <c r="C405" s="38" t="str">
        <f>IF(A405="","",IFERROR(VLOOKUP(A405,BILLING!$B:$I,5,FALSE),0))</f>
        <v/>
      </c>
      <c r="D405" s="38"/>
      <c r="E405" s="38" t="str">
        <f t="shared" si="1"/>
        <v/>
      </c>
      <c r="F405" s="39"/>
      <c r="G405" s="33" t="str">
        <f t="shared" si="2"/>
        <v/>
      </c>
      <c r="H405" s="33" t="str">
        <f>IF(OR(A405="",F405=""),"",F405-VLOOKUP(A405,BILLING!$B:$I,7,FALSE))</f>
        <v/>
      </c>
      <c r="I405" s="33" t="str">
        <f>IF(A405="","",IF(E405&lt;=0,"Current",IF(TODAY()-VLOOKUP(A405,BILLING!$B:$I,7,FALSE)&lt;=30,"0-30 Days",IF(TODAY()-VLOOKUP(A405,BILLING!$B:$I,7,FALSE)&lt;=60,"31-60 Days","61+ Days"))))</f>
        <v/>
      </c>
    </row>
    <row r="406" ht="15.75" customHeight="1">
      <c r="A406" s="33" t="str">
        <f>IF(BILLING!B406="","",BILLING!B406)</f>
        <v/>
      </c>
      <c r="B406" s="33" t="str">
        <f>IF(A406="","",IFERROR(VLOOKUP(VLOOKUP(VLOOKUP(A406,BILLING!$B:$I,7,FALSE),BOOKINGS!$A:$Q,3,FALSE),CLIENTS!$A:$H,2,FALSE),""))</f>
        <v/>
      </c>
      <c r="C406" s="38" t="str">
        <f>IF(A406="","",IFERROR(VLOOKUP(A406,BILLING!$B:$I,5,FALSE),0))</f>
        <v/>
      </c>
      <c r="D406" s="38"/>
      <c r="E406" s="38" t="str">
        <f t="shared" si="1"/>
        <v/>
      </c>
      <c r="F406" s="39"/>
      <c r="G406" s="33" t="str">
        <f t="shared" si="2"/>
        <v/>
      </c>
      <c r="H406" s="33" t="str">
        <f>IF(OR(A406="",F406=""),"",F406-VLOOKUP(A406,BILLING!$B:$I,7,FALSE))</f>
        <v/>
      </c>
      <c r="I406" s="33" t="str">
        <f>IF(A406="","",IF(E406&lt;=0,"Current",IF(TODAY()-VLOOKUP(A406,BILLING!$B:$I,7,FALSE)&lt;=30,"0-30 Days",IF(TODAY()-VLOOKUP(A406,BILLING!$B:$I,7,FALSE)&lt;=60,"31-60 Days","61+ Days"))))</f>
        <v/>
      </c>
    </row>
    <row r="407" ht="15.75" customHeight="1">
      <c r="A407" s="33" t="str">
        <f>IF(BILLING!B407="","",BILLING!B407)</f>
        <v/>
      </c>
      <c r="B407" s="33" t="str">
        <f>IF(A407="","",IFERROR(VLOOKUP(VLOOKUP(VLOOKUP(A407,BILLING!$B:$I,7,FALSE),BOOKINGS!$A:$Q,3,FALSE),CLIENTS!$A:$H,2,FALSE),""))</f>
        <v/>
      </c>
      <c r="C407" s="38" t="str">
        <f>IF(A407="","",IFERROR(VLOOKUP(A407,BILLING!$B:$I,5,FALSE),0))</f>
        <v/>
      </c>
      <c r="D407" s="38"/>
      <c r="E407" s="38" t="str">
        <f t="shared" si="1"/>
        <v/>
      </c>
      <c r="F407" s="39"/>
      <c r="G407" s="33" t="str">
        <f t="shared" si="2"/>
        <v/>
      </c>
      <c r="H407" s="33" t="str">
        <f>IF(OR(A407="",F407=""),"",F407-VLOOKUP(A407,BILLING!$B:$I,7,FALSE))</f>
        <v/>
      </c>
      <c r="I407" s="33" t="str">
        <f>IF(A407="","",IF(E407&lt;=0,"Current",IF(TODAY()-VLOOKUP(A407,BILLING!$B:$I,7,FALSE)&lt;=30,"0-30 Days",IF(TODAY()-VLOOKUP(A407,BILLING!$B:$I,7,FALSE)&lt;=60,"31-60 Days","61+ Days"))))</f>
        <v/>
      </c>
    </row>
    <row r="408" ht="15.75" customHeight="1">
      <c r="A408" s="33" t="str">
        <f>IF(BILLING!B408="","",BILLING!B408)</f>
        <v/>
      </c>
      <c r="B408" s="33" t="str">
        <f>IF(A408="","",IFERROR(VLOOKUP(VLOOKUP(VLOOKUP(A408,BILLING!$B:$I,7,FALSE),BOOKINGS!$A:$Q,3,FALSE),CLIENTS!$A:$H,2,FALSE),""))</f>
        <v/>
      </c>
      <c r="C408" s="38" t="str">
        <f>IF(A408="","",IFERROR(VLOOKUP(A408,BILLING!$B:$I,5,FALSE),0))</f>
        <v/>
      </c>
      <c r="D408" s="38"/>
      <c r="E408" s="38" t="str">
        <f t="shared" si="1"/>
        <v/>
      </c>
      <c r="F408" s="39"/>
      <c r="G408" s="33" t="str">
        <f t="shared" si="2"/>
        <v/>
      </c>
      <c r="H408" s="33" t="str">
        <f>IF(OR(A408="",F408=""),"",F408-VLOOKUP(A408,BILLING!$B:$I,7,FALSE))</f>
        <v/>
      </c>
      <c r="I408" s="33" t="str">
        <f>IF(A408="","",IF(E408&lt;=0,"Current",IF(TODAY()-VLOOKUP(A408,BILLING!$B:$I,7,FALSE)&lt;=30,"0-30 Days",IF(TODAY()-VLOOKUP(A408,BILLING!$B:$I,7,FALSE)&lt;=60,"31-60 Days","61+ Days"))))</f>
        <v/>
      </c>
    </row>
    <row r="409" ht="15.75" customHeight="1">
      <c r="A409" s="33" t="str">
        <f>IF(BILLING!B409="","",BILLING!B409)</f>
        <v/>
      </c>
      <c r="B409" s="33" t="str">
        <f>IF(A409="","",IFERROR(VLOOKUP(VLOOKUP(VLOOKUP(A409,BILLING!$B:$I,7,FALSE),BOOKINGS!$A:$Q,3,FALSE),CLIENTS!$A:$H,2,FALSE),""))</f>
        <v/>
      </c>
      <c r="C409" s="38" t="str">
        <f>IF(A409="","",IFERROR(VLOOKUP(A409,BILLING!$B:$I,5,FALSE),0))</f>
        <v/>
      </c>
      <c r="D409" s="38"/>
      <c r="E409" s="38" t="str">
        <f t="shared" si="1"/>
        <v/>
      </c>
      <c r="F409" s="39"/>
      <c r="G409" s="33" t="str">
        <f t="shared" si="2"/>
        <v/>
      </c>
      <c r="H409" s="33" t="str">
        <f>IF(OR(A409="",F409=""),"",F409-VLOOKUP(A409,BILLING!$B:$I,7,FALSE))</f>
        <v/>
      </c>
      <c r="I409" s="33" t="str">
        <f>IF(A409="","",IF(E409&lt;=0,"Current",IF(TODAY()-VLOOKUP(A409,BILLING!$B:$I,7,FALSE)&lt;=30,"0-30 Days",IF(TODAY()-VLOOKUP(A409,BILLING!$B:$I,7,FALSE)&lt;=60,"31-60 Days","61+ Days"))))</f>
        <v/>
      </c>
    </row>
    <row r="410" ht="15.75" customHeight="1">
      <c r="A410" s="33" t="str">
        <f>IF(BILLING!B410="","",BILLING!B410)</f>
        <v/>
      </c>
      <c r="B410" s="33" t="str">
        <f>IF(A410="","",IFERROR(VLOOKUP(VLOOKUP(VLOOKUP(A410,BILLING!$B:$I,7,FALSE),BOOKINGS!$A:$Q,3,FALSE),CLIENTS!$A:$H,2,FALSE),""))</f>
        <v/>
      </c>
      <c r="C410" s="38" t="str">
        <f>IF(A410="","",IFERROR(VLOOKUP(A410,BILLING!$B:$I,5,FALSE),0))</f>
        <v/>
      </c>
      <c r="D410" s="38"/>
      <c r="E410" s="38" t="str">
        <f t="shared" si="1"/>
        <v/>
      </c>
      <c r="F410" s="39"/>
      <c r="G410" s="33" t="str">
        <f t="shared" si="2"/>
        <v/>
      </c>
      <c r="H410" s="33" t="str">
        <f>IF(OR(A410="",F410=""),"",F410-VLOOKUP(A410,BILLING!$B:$I,7,FALSE))</f>
        <v/>
      </c>
      <c r="I410" s="33" t="str">
        <f>IF(A410="","",IF(E410&lt;=0,"Current",IF(TODAY()-VLOOKUP(A410,BILLING!$B:$I,7,FALSE)&lt;=30,"0-30 Days",IF(TODAY()-VLOOKUP(A410,BILLING!$B:$I,7,FALSE)&lt;=60,"31-60 Days","61+ Days"))))</f>
        <v/>
      </c>
    </row>
    <row r="411" ht="15.75" customHeight="1">
      <c r="A411" s="33" t="str">
        <f>IF(BILLING!B411="","",BILLING!B411)</f>
        <v/>
      </c>
      <c r="B411" s="33" t="str">
        <f>IF(A411="","",IFERROR(VLOOKUP(VLOOKUP(VLOOKUP(A411,BILLING!$B:$I,7,FALSE),BOOKINGS!$A:$Q,3,FALSE),CLIENTS!$A:$H,2,FALSE),""))</f>
        <v/>
      </c>
      <c r="C411" s="38" t="str">
        <f>IF(A411="","",IFERROR(VLOOKUP(A411,BILLING!$B:$I,5,FALSE),0))</f>
        <v/>
      </c>
      <c r="D411" s="38"/>
      <c r="E411" s="38" t="str">
        <f t="shared" si="1"/>
        <v/>
      </c>
      <c r="F411" s="39"/>
      <c r="G411" s="33" t="str">
        <f t="shared" si="2"/>
        <v/>
      </c>
      <c r="H411" s="33" t="str">
        <f>IF(OR(A411="",F411=""),"",F411-VLOOKUP(A411,BILLING!$B:$I,7,FALSE))</f>
        <v/>
      </c>
      <c r="I411" s="33" t="str">
        <f>IF(A411="","",IF(E411&lt;=0,"Current",IF(TODAY()-VLOOKUP(A411,BILLING!$B:$I,7,FALSE)&lt;=30,"0-30 Days",IF(TODAY()-VLOOKUP(A411,BILLING!$B:$I,7,FALSE)&lt;=60,"31-60 Days","61+ Days"))))</f>
        <v/>
      </c>
    </row>
    <row r="412" ht="15.75" customHeight="1">
      <c r="A412" s="33" t="str">
        <f>IF(BILLING!B412="","",BILLING!B412)</f>
        <v/>
      </c>
      <c r="B412" s="33" t="str">
        <f>IF(A412="","",IFERROR(VLOOKUP(VLOOKUP(VLOOKUP(A412,BILLING!$B:$I,7,FALSE),BOOKINGS!$A:$Q,3,FALSE),CLIENTS!$A:$H,2,FALSE),""))</f>
        <v/>
      </c>
      <c r="C412" s="38" t="str">
        <f>IF(A412="","",IFERROR(VLOOKUP(A412,BILLING!$B:$I,5,FALSE),0))</f>
        <v/>
      </c>
      <c r="D412" s="38"/>
      <c r="E412" s="38" t="str">
        <f t="shared" si="1"/>
        <v/>
      </c>
      <c r="F412" s="39"/>
      <c r="G412" s="33" t="str">
        <f t="shared" si="2"/>
        <v/>
      </c>
      <c r="H412" s="33" t="str">
        <f>IF(OR(A412="",F412=""),"",F412-VLOOKUP(A412,BILLING!$B:$I,7,FALSE))</f>
        <v/>
      </c>
      <c r="I412" s="33" t="str">
        <f>IF(A412="","",IF(E412&lt;=0,"Current",IF(TODAY()-VLOOKUP(A412,BILLING!$B:$I,7,FALSE)&lt;=30,"0-30 Days",IF(TODAY()-VLOOKUP(A412,BILLING!$B:$I,7,FALSE)&lt;=60,"31-60 Days","61+ Days"))))</f>
        <v/>
      </c>
    </row>
    <row r="413" ht="15.75" customHeight="1">
      <c r="A413" s="33" t="str">
        <f>IF(BILLING!B413="","",BILLING!B413)</f>
        <v/>
      </c>
      <c r="B413" s="33" t="str">
        <f>IF(A413="","",IFERROR(VLOOKUP(VLOOKUP(VLOOKUP(A413,BILLING!$B:$I,7,FALSE),BOOKINGS!$A:$Q,3,FALSE),CLIENTS!$A:$H,2,FALSE),""))</f>
        <v/>
      </c>
      <c r="C413" s="38" t="str">
        <f>IF(A413="","",IFERROR(VLOOKUP(A413,BILLING!$B:$I,5,FALSE),0))</f>
        <v/>
      </c>
      <c r="D413" s="38"/>
      <c r="E413" s="38" t="str">
        <f t="shared" si="1"/>
        <v/>
      </c>
      <c r="F413" s="39"/>
      <c r="G413" s="33" t="str">
        <f t="shared" si="2"/>
        <v/>
      </c>
      <c r="H413" s="33" t="str">
        <f>IF(OR(A413="",F413=""),"",F413-VLOOKUP(A413,BILLING!$B:$I,7,FALSE))</f>
        <v/>
      </c>
      <c r="I413" s="33" t="str">
        <f>IF(A413="","",IF(E413&lt;=0,"Current",IF(TODAY()-VLOOKUP(A413,BILLING!$B:$I,7,FALSE)&lt;=30,"0-30 Days",IF(TODAY()-VLOOKUP(A413,BILLING!$B:$I,7,FALSE)&lt;=60,"31-60 Days","61+ Days"))))</f>
        <v/>
      </c>
    </row>
    <row r="414" ht="15.75" customHeight="1">
      <c r="A414" s="33" t="str">
        <f>IF(BILLING!B414="","",BILLING!B414)</f>
        <v/>
      </c>
      <c r="B414" s="33" t="str">
        <f>IF(A414="","",IFERROR(VLOOKUP(VLOOKUP(VLOOKUP(A414,BILLING!$B:$I,7,FALSE),BOOKINGS!$A:$Q,3,FALSE),CLIENTS!$A:$H,2,FALSE),""))</f>
        <v/>
      </c>
      <c r="C414" s="38" t="str">
        <f>IF(A414="","",IFERROR(VLOOKUP(A414,BILLING!$B:$I,5,FALSE),0))</f>
        <v/>
      </c>
      <c r="D414" s="38"/>
      <c r="E414" s="38" t="str">
        <f t="shared" si="1"/>
        <v/>
      </c>
      <c r="F414" s="39"/>
      <c r="G414" s="33" t="str">
        <f t="shared" si="2"/>
        <v/>
      </c>
      <c r="H414" s="33" t="str">
        <f>IF(OR(A414="",F414=""),"",F414-VLOOKUP(A414,BILLING!$B:$I,7,FALSE))</f>
        <v/>
      </c>
      <c r="I414" s="33" t="str">
        <f>IF(A414="","",IF(E414&lt;=0,"Current",IF(TODAY()-VLOOKUP(A414,BILLING!$B:$I,7,FALSE)&lt;=30,"0-30 Days",IF(TODAY()-VLOOKUP(A414,BILLING!$B:$I,7,FALSE)&lt;=60,"31-60 Days","61+ Days"))))</f>
        <v/>
      </c>
    </row>
    <row r="415" ht="15.75" customHeight="1">
      <c r="A415" s="33" t="str">
        <f>IF(BILLING!B415="","",BILLING!B415)</f>
        <v/>
      </c>
      <c r="B415" s="33" t="str">
        <f>IF(A415="","",IFERROR(VLOOKUP(VLOOKUP(VLOOKUP(A415,BILLING!$B:$I,7,FALSE),BOOKINGS!$A:$Q,3,FALSE),CLIENTS!$A:$H,2,FALSE),""))</f>
        <v/>
      </c>
      <c r="C415" s="38" t="str">
        <f>IF(A415="","",IFERROR(VLOOKUP(A415,BILLING!$B:$I,5,FALSE),0))</f>
        <v/>
      </c>
      <c r="D415" s="38"/>
      <c r="E415" s="38" t="str">
        <f t="shared" si="1"/>
        <v/>
      </c>
      <c r="F415" s="39"/>
      <c r="G415" s="33" t="str">
        <f t="shared" si="2"/>
        <v/>
      </c>
      <c r="H415" s="33" t="str">
        <f>IF(OR(A415="",F415=""),"",F415-VLOOKUP(A415,BILLING!$B:$I,7,FALSE))</f>
        <v/>
      </c>
      <c r="I415" s="33" t="str">
        <f>IF(A415="","",IF(E415&lt;=0,"Current",IF(TODAY()-VLOOKUP(A415,BILLING!$B:$I,7,FALSE)&lt;=30,"0-30 Days",IF(TODAY()-VLOOKUP(A415,BILLING!$B:$I,7,FALSE)&lt;=60,"31-60 Days","61+ Days"))))</f>
        <v/>
      </c>
    </row>
    <row r="416" ht="15.75" customHeight="1">
      <c r="A416" s="33" t="str">
        <f>IF(BILLING!B416="","",BILLING!B416)</f>
        <v/>
      </c>
      <c r="B416" s="33" t="str">
        <f>IF(A416="","",IFERROR(VLOOKUP(VLOOKUP(VLOOKUP(A416,BILLING!$B:$I,7,FALSE),BOOKINGS!$A:$Q,3,FALSE),CLIENTS!$A:$H,2,FALSE),""))</f>
        <v/>
      </c>
      <c r="C416" s="38" t="str">
        <f>IF(A416="","",IFERROR(VLOOKUP(A416,BILLING!$B:$I,5,FALSE),0))</f>
        <v/>
      </c>
      <c r="D416" s="38"/>
      <c r="E416" s="38" t="str">
        <f t="shared" si="1"/>
        <v/>
      </c>
      <c r="F416" s="39"/>
      <c r="G416" s="33" t="str">
        <f t="shared" si="2"/>
        <v/>
      </c>
      <c r="H416" s="33" t="str">
        <f>IF(OR(A416="",F416=""),"",F416-VLOOKUP(A416,BILLING!$B:$I,7,FALSE))</f>
        <v/>
      </c>
      <c r="I416" s="33" t="str">
        <f>IF(A416="","",IF(E416&lt;=0,"Current",IF(TODAY()-VLOOKUP(A416,BILLING!$B:$I,7,FALSE)&lt;=30,"0-30 Days",IF(TODAY()-VLOOKUP(A416,BILLING!$B:$I,7,FALSE)&lt;=60,"31-60 Days","61+ Days"))))</f>
        <v/>
      </c>
    </row>
    <row r="417" ht="15.75" customHeight="1">
      <c r="A417" s="33" t="str">
        <f>IF(BILLING!B417="","",BILLING!B417)</f>
        <v/>
      </c>
      <c r="B417" s="33" t="str">
        <f>IF(A417="","",IFERROR(VLOOKUP(VLOOKUP(VLOOKUP(A417,BILLING!$B:$I,7,FALSE),BOOKINGS!$A:$Q,3,FALSE),CLIENTS!$A:$H,2,FALSE),""))</f>
        <v/>
      </c>
      <c r="C417" s="38" t="str">
        <f>IF(A417="","",IFERROR(VLOOKUP(A417,BILLING!$B:$I,5,FALSE),0))</f>
        <v/>
      </c>
      <c r="D417" s="38"/>
      <c r="E417" s="38" t="str">
        <f t="shared" si="1"/>
        <v/>
      </c>
      <c r="F417" s="39"/>
      <c r="G417" s="33" t="str">
        <f t="shared" si="2"/>
        <v/>
      </c>
      <c r="H417" s="33" t="str">
        <f>IF(OR(A417="",F417=""),"",F417-VLOOKUP(A417,BILLING!$B:$I,7,FALSE))</f>
        <v/>
      </c>
      <c r="I417" s="33" t="str">
        <f>IF(A417="","",IF(E417&lt;=0,"Current",IF(TODAY()-VLOOKUP(A417,BILLING!$B:$I,7,FALSE)&lt;=30,"0-30 Days",IF(TODAY()-VLOOKUP(A417,BILLING!$B:$I,7,FALSE)&lt;=60,"31-60 Days","61+ Days"))))</f>
        <v/>
      </c>
    </row>
    <row r="418" ht="15.75" customHeight="1">
      <c r="A418" s="33" t="str">
        <f>IF(BILLING!B418="","",BILLING!B418)</f>
        <v/>
      </c>
      <c r="B418" s="33" t="str">
        <f>IF(A418="","",IFERROR(VLOOKUP(VLOOKUP(VLOOKUP(A418,BILLING!$B:$I,7,FALSE),BOOKINGS!$A:$Q,3,FALSE),CLIENTS!$A:$H,2,FALSE),""))</f>
        <v/>
      </c>
      <c r="C418" s="38" t="str">
        <f>IF(A418="","",IFERROR(VLOOKUP(A418,BILLING!$B:$I,5,FALSE),0))</f>
        <v/>
      </c>
      <c r="D418" s="38"/>
      <c r="E418" s="38" t="str">
        <f t="shared" si="1"/>
        <v/>
      </c>
      <c r="F418" s="39"/>
      <c r="G418" s="33" t="str">
        <f t="shared" si="2"/>
        <v/>
      </c>
      <c r="H418" s="33" t="str">
        <f>IF(OR(A418="",F418=""),"",F418-VLOOKUP(A418,BILLING!$B:$I,7,FALSE))</f>
        <v/>
      </c>
      <c r="I418" s="33" t="str">
        <f>IF(A418="","",IF(E418&lt;=0,"Current",IF(TODAY()-VLOOKUP(A418,BILLING!$B:$I,7,FALSE)&lt;=30,"0-30 Days",IF(TODAY()-VLOOKUP(A418,BILLING!$B:$I,7,FALSE)&lt;=60,"31-60 Days","61+ Days"))))</f>
        <v/>
      </c>
    </row>
    <row r="419" ht="15.75" customHeight="1">
      <c r="A419" s="33" t="str">
        <f>IF(BILLING!B419="","",BILLING!B419)</f>
        <v/>
      </c>
      <c r="B419" s="33" t="str">
        <f>IF(A419="","",IFERROR(VLOOKUP(VLOOKUP(VLOOKUP(A419,BILLING!$B:$I,7,FALSE),BOOKINGS!$A:$Q,3,FALSE),CLIENTS!$A:$H,2,FALSE),""))</f>
        <v/>
      </c>
      <c r="C419" s="38" t="str">
        <f>IF(A419="","",IFERROR(VLOOKUP(A419,BILLING!$B:$I,5,FALSE),0))</f>
        <v/>
      </c>
      <c r="D419" s="38"/>
      <c r="E419" s="38" t="str">
        <f t="shared" si="1"/>
        <v/>
      </c>
      <c r="F419" s="39"/>
      <c r="G419" s="33" t="str">
        <f t="shared" si="2"/>
        <v/>
      </c>
      <c r="H419" s="33" t="str">
        <f>IF(OR(A419="",F419=""),"",F419-VLOOKUP(A419,BILLING!$B:$I,7,FALSE))</f>
        <v/>
      </c>
      <c r="I419" s="33" t="str">
        <f>IF(A419="","",IF(E419&lt;=0,"Current",IF(TODAY()-VLOOKUP(A419,BILLING!$B:$I,7,FALSE)&lt;=30,"0-30 Days",IF(TODAY()-VLOOKUP(A419,BILLING!$B:$I,7,FALSE)&lt;=60,"31-60 Days","61+ Days"))))</f>
        <v/>
      </c>
    </row>
    <row r="420" ht="15.75" customHeight="1">
      <c r="A420" s="33" t="str">
        <f>IF(BILLING!B420="","",BILLING!B420)</f>
        <v/>
      </c>
      <c r="B420" s="33" t="str">
        <f>IF(A420="","",IFERROR(VLOOKUP(VLOOKUP(VLOOKUP(A420,BILLING!$B:$I,7,FALSE),BOOKINGS!$A:$Q,3,FALSE),CLIENTS!$A:$H,2,FALSE),""))</f>
        <v/>
      </c>
      <c r="C420" s="38" t="str">
        <f>IF(A420="","",IFERROR(VLOOKUP(A420,BILLING!$B:$I,5,FALSE),0))</f>
        <v/>
      </c>
      <c r="D420" s="38"/>
      <c r="E420" s="38" t="str">
        <f t="shared" si="1"/>
        <v/>
      </c>
      <c r="F420" s="39"/>
      <c r="G420" s="33" t="str">
        <f t="shared" si="2"/>
        <v/>
      </c>
      <c r="H420" s="33" t="str">
        <f>IF(OR(A420="",F420=""),"",F420-VLOOKUP(A420,BILLING!$B:$I,7,FALSE))</f>
        <v/>
      </c>
      <c r="I420" s="33" t="str">
        <f>IF(A420="","",IF(E420&lt;=0,"Current",IF(TODAY()-VLOOKUP(A420,BILLING!$B:$I,7,FALSE)&lt;=30,"0-30 Days",IF(TODAY()-VLOOKUP(A420,BILLING!$B:$I,7,FALSE)&lt;=60,"31-60 Days","61+ Days"))))</f>
        <v/>
      </c>
    </row>
    <row r="421" ht="15.75" customHeight="1">
      <c r="A421" s="33" t="str">
        <f>IF(BILLING!B421="","",BILLING!B421)</f>
        <v/>
      </c>
      <c r="B421" s="33" t="str">
        <f>IF(A421="","",IFERROR(VLOOKUP(VLOOKUP(VLOOKUP(A421,BILLING!$B:$I,7,FALSE),BOOKINGS!$A:$Q,3,FALSE),CLIENTS!$A:$H,2,FALSE),""))</f>
        <v/>
      </c>
      <c r="C421" s="38" t="str">
        <f>IF(A421="","",IFERROR(VLOOKUP(A421,BILLING!$B:$I,5,FALSE),0))</f>
        <v/>
      </c>
      <c r="D421" s="38"/>
      <c r="E421" s="38" t="str">
        <f t="shared" si="1"/>
        <v/>
      </c>
      <c r="F421" s="39"/>
      <c r="G421" s="33" t="str">
        <f t="shared" si="2"/>
        <v/>
      </c>
      <c r="H421" s="33" t="str">
        <f>IF(OR(A421="",F421=""),"",F421-VLOOKUP(A421,BILLING!$B:$I,7,FALSE))</f>
        <v/>
      </c>
      <c r="I421" s="33" t="str">
        <f>IF(A421="","",IF(E421&lt;=0,"Current",IF(TODAY()-VLOOKUP(A421,BILLING!$B:$I,7,FALSE)&lt;=30,"0-30 Days",IF(TODAY()-VLOOKUP(A421,BILLING!$B:$I,7,FALSE)&lt;=60,"31-60 Days","61+ Days"))))</f>
        <v/>
      </c>
    </row>
    <row r="422" ht="15.75" customHeight="1">
      <c r="A422" s="33" t="str">
        <f>IF(BILLING!B422="","",BILLING!B422)</f>
        <v/>
      </c>
      <c r="B422" s="33" t="str">
        <f>IF(A422="","",IFERROR(VLOOKUP(VLOOKUP(VLOOKUP(A422,BILLING!$B:$I,7,FALSE),BOOKINGS!$A:$Q,3,FALSE),CLIENTS!$A:$H,2,FALSE),""))</f>
        <v/>
      </c>
      <c r="C422" s="38" t="str">
        <f>IF(A422="","",IFERROR(VLOOKUP(A422,BILLING!$B:$I,5,FALSE),0))</f>
        <v/>
      </c>
      <c r="D422" s="38"/>
      <c r="E422" s="38" t="str">
        <f t="shared" si="1"/>
        <v/>
      </c>
      <c r="F422" s="39"/>
      <c r="G422" s="33" t="str">
        <f t="shared" si="2"/>
        <v/>
      </c>
      <c r="H422" s="33" t="str">
        <f>IF(OR(A422="",F422=""),"",F422-VLOOKUP(A422,BILLING!$B:$I,7,FALSE))</f>
        <v/>
      </c>
      <c r="I422" s="33" t="str">
        <f>IF(A422="","",IF(E422&lt;=0,"Current",IF(TODAY()-VLOOKUP(A422,BILLING!$B:$I,7,FALSE)&lt;=30,"0-30 Days",IF(TODAY()-VLOOKUP(A422,BILLING!$B:$I,7,FALSE)&lt;=60,"31-60 Days","61+ Days"))))</f>
        <v/>
      </c>
    </row>
    <row r="423" ht="15.75" customHeight="1">
      <c r="A423" s="33" t="str">
        <f>IF(BILLING!B423="","",BILLING!B423)</f>
        <v/>
      </c>
      <c r="B423" s="33" t="str">
        <f>IF(A423="","",IFERROR(VLOOKUP(VLOOKUP(VLOOKUP(A423,BILLING!$B:$I,7,FALSE),BOOKINGS!$A:$Q,3,FALSE),CLIENTS!$A:$H,2,FALSE),""))</f>
        <v/>
      </c>
      <c r="C423" s="38" t="str">
        <f>IF(A423="","",IFERROR(VLOOKUP(A423,BILLING!$B:$I,5,FALSE),0))</f>
        <v/>
      </c>
      <c r="D423" s="38"/>
      <c r="E423" s="38" t="str">
        <f t="shared" si="1"/>
        <v/>
      </c>
      <c r="F423" s="39"/>
      <c r="G423" s="33" t="str">
        <f t="shared" si="2"/>
        <v/>
      </c>
      <c r="H423" s="33" t="str">
        <f>IF(OR(A423="",F423=""),"",F423-VLOOKUP(A423,BILLING!$B:$I,7,FALSE))</f>
        <v/>
      </c>
      <c r="I423" s="33" t="str">
        <f>IF(A423="","",IF(E423&lt;=0,"Current",IF(TODAY()-VLOOKUP(A423,BILLING!$B:$I,7,FALSE)&lt;=30,"0-30 Days",IF(TODAY()-VLOOKUP(A423,BILLING!$B:$I,7,FALSE)&lt;=60,"31-60 Days","61+ Days"))))</f>
        <v/>
      </c>
    </row>
    <row r="424" ht="15.75" customHeight="1">
      <c r="A424" s="33" t="str">
        <f>IF(BILLING!B424="","",BILLING!B424)</f>
        <v/>
      </c>
      <c r="B424" s="33" t="str">
        <f>IF(A424="","",IFERROR(VLOOKUP(VLOOKUP(VLOOKUP(A424,BILLING!$B:$I,7,FALSE),BOOKINGS!$A:$Q,3,FALSE),CLIENTS!$A:$H,2,FALSE),""))</f>
        <v/>
      </c>
      <c r="C424" s="38" t="str">
        <f>IF(A424="","",IFERROR(VLOOKUP(A424,BILLING!$B:$I,5,FALSE),0))</f>
        <v/>
      </c>
      <c r="D424" s="38"/>
      <c r="E424" s="38" t="str">
        <f t="shared" si="1"/>
        <v/>
      </c>
      <c r="F424" s="39"/>
      <c r="G424" s="33" t="str">
        <f t="shared" si="2"/>
        <v/>
      </c>
      <c r="H424" s="33" t="str">
        <f>IF(OR(A424="",F424=""),"",F424-VLOOKUP(A424,BILLING!$B:$I,7,FALSE))</f>
        <v/>
      </c>
      <c r="I424" s="33" t="str">
        <f>IF(A424="","",IF(E424&lt;=0,"Current",IF(TODAY()-VLOOKUP(A424,BILLING!$B:$I,7,FALSE)&lt;=30,"0-30 Days",IF(TODAY()-VLOOKUP(A424,BILLING!$B:$I,7,FALSE)&lt;=60,"31-60 Days","61+ Days"))))</f>
        <v/>
      </c>
    </row>
    <row r="425" ht="15.75" customHeight="1">
      <c r="A425" s="33" t="str">
        <f>IF(BILLING!B425="","",BILLING!B425)</f>
        <v/>
      </c>
      <c r="B425" s="33" t="str">
        <f>IF(A425="","",IFERROR(VLOOKUP(VLOOKUP(VLOOKUP(A425,BILLING!$B:$I,7,FALSE),BOOKINGS!$A:$Q,3,FALSE),CLIENTS!$A:$H,2,FALSE),""))</f>
        <v/>
      </c>
      <c r="C425" s="38" t="str">
        <f>IF(A425="","",IFERROR(VLOOKUP(A425,BILLING!$B:$I,5,FALSE),0))</f>
        <v/>
      </c>
      <c r="D425" s="38"/>
      <c r="E425" s="38" t="str">
        <f t="shared" si="1"/>
        <v/>
      </c>
      <c r="F425" s="39"/>
      <c r="G425" s="33" t="str">
        <f t="shared" si="2"/>
        <v/>
      </c>
      <c r="H425" s="33" t="str">
        <f>IF(OR(A425="",F425=""),"",F425-VLOOKUP(A425,BILLING!$B:$I,7,FALSE))</f>
        <v/>
      </c>
      <c r="I425" s="33" t="str">
        <f>IF(A425="","",IF(E425&lt;=0,"Current",IF(TODAY()-VLOOKUP(A425,BILLING!$B:$I,7,FALSE)&lt;=30,"0-30 Days",IF(TODAY()-VLOOKUP(A425,BILLING!$B:$I,7,FALSE)&lt;=60,"31-60 Days","61+ Days"))))</f>
        <v/>
      </c>
    </row>
    <row r="426" ht="15.75" customHeight="1">
      <c r="A426" s="33" t="str">
        <f>IF(BILLING!B426="","",BILLING!B426)</f>
        <v/>
      </c>
      <c r="B426" s="33" t="str">
        <f>IF(A426="","",IFERROR(VLOOKUP(VLOOKUP(VLOOKUP(A426,BILLING!$B:$I,7,FALSE),BOOKINGS!$A:$Q,3,FALSE),CLIENTS!$A:$H,2,FALSE),""))</f>
        <v/>
      </c>
      <c r="C426" s="38" t="str">
        <f>IF(A426="","",IFERROR(VLOOKUP(A426,BILLING!$B:$I,5,FALSE),0))</f>
        <v/>
      </c>
      <c r="D426" s="38"/>
      <c r="E426" s="38" t="str">
        <f t="shared" si="1"/>
        <v/>
      </c>
      <c r="F426" s="39"/>
      <c r="G426" s="33" t="str">
        <f t="shared" si="2"/>
        <v/>
      </c>
      <c r="H426" s="33" t="str">
        <f>IF(OR(A426="",F426=""),"",F426-VLOOKUP(A426,BILLING!$B:$I,7,FALSE))</f>
        <v/>
      </c>
      <c r="I426" s="33" t="str">
        <f>IF(A426="","",IF(E426&lt;=0,"Current",IF(TODAY()-VLOOKUP(A426,BILLING!$B:$I,7,FALSE)&lt;=30,"0-30 Days",IF(TODAY()-VLOOKUP(A426,BILLING!$B:$I,7,FALSE)&lt;=60,"31-60 Days","61+ Days"))))</f>
        <v/>
      </c>
    </row>
    <row r="427" ht="15.75" customHeight="1">
      <c r="A427" s="33" t="str">
        <f>IF(BILLING!B427="","",BILLING!B427)</f>
        <v/>
      </c>
      <c r="B427" s="33" t="str">
        <f>IF(A427="","",IFERROR(VLOOKUP(VLOOKUP(VLOOKUP(A427,BILLING!$B:$I,7,FALSE),BOOKINGS!$A:$Q,3,FALSE),CLIENTS!$A:$H,2,FALSE),""))</f>
        <v/>
      </c>
      <c r="C427" s="38" t="str">
        <f>IF(A427="","",IFERROR(VLOOKUP(A427,BILLING!$B:$I,5,FALSE),0))</f>
        <v/>
      </c>
      <c r="D427" s="38"/>
      <c r="E427" s="38" t="str">
        <f t="shared" si="1"/>
        <v/>
      </c>
      <c r="F427" s="39"/>
      <c r="G427" s="33" t="str">
        <f t="shared" si="2"/>
        <v/>
      </c>
      <c r="H427" s="33" t="str">
        <f>IF(OR(A427="",F427=""),"",F427-VLOOKUP(A427,BILLING!$B:$I,7,FALSE))</f>
        <v/>
      </c>
      <c r="I427" s="33" t="str">
        <f>IF(A427="","",IF(E427&lt;=0,"Current",IF(TODAY()-VLOOKUP(A427,BILLING!$B:$I,7,FALSE)&lt;=30,"0-30 Days",IF(TODAY()-VLOOKUP(A427,BILLING!$B:$I,7,FALSE)&lt;=60,"31-60 Days","61+ Days"))))</f>
        <v/>
      </c>
    </row>
    <row r="428" ht="15.75" customHeight="1">
      <c r="A428" s="33" t="str">
        <f>IF(BILLING!B428="","",BILLING!B428)</f>
        <v/>
      </c>
      <c r="B428" s="33" t="str">
        <f>IF(A428="","",IFERROR(VLOOKUP(VLOOKUP(VLOOKUP(A428,BILLING!$B:$I,7,FALSE),BOOKINGS!$A:$Q,3,FALSE),CLIENTS!$A:$H,2,FALSE),""))</f>
        <v/>
      </c>
      <c r="C428" s="38" t="str">
        <f>IF(A428="","",IFERROR(VLOOKUP(A428,BILLING!$B:$I,5,FALSE),0))</f>
        <v/>
      </c>
      <c r="D428" s="38"/>
      <c r="E428" s="38" t="str">
        <f t="shared" si="1"/>
        <v/>
      </c>
      <c r="F428" s="39"/>
      <c r="G428" s="33" t="str">
        <f t="shared" si="2"/>
        <v/>
      </c>
      <c r="H428" s="33" t="str">
        <f>IF(OR(A428="",F428=""),"",F428-VLOOKUP(A428,BILLING!$B:$I,7,FALSE))</f>
        <v/>
      </c>
      <c r="I428" s="33" t="str">
        <f>IF(A428="","",IF(E428&lt;=0,"Current",IF(TODAY()-VLOOKUP(A428,BILLING!$B:$I,7,FALSE)&lt;=30,"0-30 Days",IF(TODAY()-VLOOKUP(A428,BILLING!$B:$I,7,FALSE)&lt;=60,"31-60 Days","61+ Days"))))</f>
        <v/>
      </c>
    </row>
    <row r="429" ht="15.75" customHeight="1">
      <c r="A429" s="33" t="str">
        <f>IF(BILLING!B429="","",BILLING!B429)</f>
        <v/>
      </c>
      <c r="B429" s="33" t="str">
        <f>IF(A429="","",IFERROR(VLOOKUP(VLOOKUP(VLOOKUP(A429,BILLING!$B:$I,7,FALSE),BOOKINGS!$A:$Q,3,FALSE),CLIENTS!$A:$H,2,FALSE),""))</f>
        <v/>
      </c>
      <c r="C429" s="38" t="str">
        <f>IF(A429="","",IFERROR(VLOOKUP(A429,BILLING!$B:$I,5,FALSE),0))</f>
        <v/>
      </c>
      <c r="D429" s="38"/>
      <c r="E429" s="38" t="str">
        <f t="shared" si="1"/>
        <v/>
      </c>
      <c r="F429" s="39"/>
      <c r="G429" s="33" t="str">
        <f t="shared" si="2"/>
        <v/>
      </c>
      <c r="H429" s="33" t="str">
        <f>IF(OR(A429="",F429=""),"",F429-VLOOKUP(A429,BILLING!$B:$I,7,FALSE))</f>
        <v/>
      </c>
      <c r="I429" s="33" t="str">
        <f>IF(A429="","",IF(E429&lt;=0,"Current",IF(TODAY()-VLOOKUP(A429,BILLING!$B:$I,7,FALSE)&lt;=30,"0-30 Days",IF(TODAY()-VLOOKUP(A429,BILLING!$B:$I,7,FALSE)&lt;=60,"31-60 Days","61+ Days"))))</f>
        <v/>
      </c>
    </row>
    <row r="430" ht="15.75" customHeight="1">
      <c r="A430" s="33" t="str">
        <f>IF(BILLING!B430="","",BILLING!B430)</f>
        <v/>
      </c>
      <c r="B430" s="33" t="str">
        <f>IF(A430="","",IFERROR(VLOOKUP(VLOOKUP(VLOOKUP(A430,BILLING!$B:$I,7,FALSE),BOOKINGS!$A:$Q,3,FALSE),CLIENTS!$A:$H,2,FALSE),""))</f>
        <v/>
      </c>
      <c r="C430" s="38" t="str">
        <f>IF(A430="","",IFERROR(VLOOKUP(A430,BILLING!$B:$I,5,FALSE),0))</f>
        <v/>
      </c>
      <c r="D430" s="38"/>
      <c r="E430" s="38" t="str">
        <f t="shared" si="1"/>
        <v/>
      </c>
      <c r="F430" s="39"/>
      <c r="G430" s="33" t="str">
        <f t="shared" si="2"/>
        <v/>
      </c>
      <c r="H430" s="33" t="str">
        <f>IF(OR(A430="",F430=""),"",F430-VLOOKUP(A430,BILLING!$B:$I,7,FALSE))</f>
        <v/>
      </c>
      <c r="I430" s="33" t="str">
        <f>IF(A430="","",IF(E430&lt;=0,"Current",IF(TODAY()-VLOOKUP(A430,BILLING!$B:$I,7,FALSE)&lt;=30,"0-30 Days",IF(TODAY()-VLOOKUP(A430,BILLING!$B:$I,7,FALSE)&lt;=60,"31-60 Days","61+ Days"))))</f>
        <v/>
      </c>
    </row>
    <row r="431" ht="15.75" customHeight="1">
      <c r="A431" s="33" t="str">
        <f>IF(BILLING!B431="","",BILLING!B431)</f>
        <v/>
      </c>
      <c r="B431" s="33" t="str">
        <f>IF(A431="","",IFERROR(VLOOKUP(VLOOKUP(VLOOKUP(A431,BILLING!$B:$I,7,FALSE),BOOKINGS!$A:$Q,3,FALSE),CLIENTS!$A:$H,2,FALSE),""))</f>
        <v/>
      </c>
      <c r="C431" s="38" t="str">
        <f>IF(A431="","",IFERROR(VLOOKUP(A431,BILLING!$B:$I,5,FALSE),0))</f>
        <v/>
      </c>
      <c r="D431" s="38"/>
      <c r="E431" s="38" t="str">
        <f t="shared" si="1"/>
        <v/>
      </c>
      <c r="F431" s="39"/>
      <c r="G431" s="33" t="str">
        <f t="shared" si="2"/>
        <v/>
      </c>
      <c r="H431" s="33" t="str">
        <f>IF(OR(A431="",F431=""),"",F431-VLOOKUP(A431,BILLING!$B:$I,7,FALSE))</f>
        <v/>
      </c>
      <c r="I431" s="33" t="str">
        <f>IF(A431="","",IF(E431&lt;=0,"Current",IF(TODAY()-VLOOKUP(A431,BILLING!$B:$I,7,FALSE)&lt;=30,"0-30 Days",IF(TODAY()-VLOOKUP(A431,BILLING!$B:$I,7,FALSE)&lt;=60,"31-60 Days","61+ Days"))))</f>
        <v/>
      </c>
    </row>
    <row r="432" ht="15.75" customHeight="1">
      <c r="A432" s="33" t="str">
        <f>IF(BILLING!B432="","",BILLING!B432)</f>
        <v/>
      </c>
      <c r="B432" s="33" t="str">
        <f>IF(A432="","",IFERROR(VLOOKUP(VLOOKUP(VLOOKUP(A432,BILLING!$B:$I,7,FALSE),BOOKINGS!$A:$Q,3,FALSE),CLIENTS!$A:$H,2,FALSE),""))</f>
        <v/>
      </c>
      <c r="C432" s="38" t="str">
        <f>IF(A432="","",IFERROR(VLOOKUP(A432,BILLING!$B:$I,5,FALSE),0))</f>
        <v/>
      </c>
      <c r="D432" s="38"/>
      <c r="E432" s="38" t="str">
        <f t="shared" si="1"/>
        <v/>
      </c>
      <c r="F432" s="39"/>
      <c r="G432" s="33" t="str">
        <f t="shared" si="2"/>
        <v/>
      </c>
      <c r="H432" s="33" t="str">
        <f>IF(OR(A432="",F432=""),"",F432-VLOOKUP(A432,BILLING!$B:$I,7,FALSE))</f>
        <v/>
      </c>
      <c r="I432" s="33" t="str">
        <f>IF(A432="","",IF(E432&lt;=0,"Current",IF(TODAY()-VLOOKUP(A432,BILLING!$B:$I,7,FALSE)&lt;=30,"0-30 Days",IF(TODAY()-VLOOKUP(A432,BILLING!$B:$I,7,FALSE)&lt;=60,"31-60 Days","61+ Days"))))</f>
        <v/>
      </c>
    </row>
    <row r="433" ht="15.75" customHeight="1">
      <c r="A433" s="33" t="str">
        <f>IF(BILLING!B433="","",BILLING!B433)</f>
        <v/>
      </c>
      <c r="B433" s="33" t="str">
        <f>IF(A433="","",IFERROR(VLOOKUP(VLOOKUP(VLOOKUP(A433,BILLING!$B:$I,7,FALSE),BOOKINGS!$A:$Q,3,FALSE),CLIENTS!$A:$H,2,FALSE),""))</f>
        <v/>
      </c>
      <c r="C433" s="38" t="str">
        <f>IF(A433="","",IFERROR(VLOOKUP(A433,BILLING!$B:$I,5,FALSE),0))</f>
        <v/>
      </c>
      <c r="D433" s="38"/>
      <c r="E433" s="38" t="str">
        <f t="shared" si="1"/>
        <v/>
      </c>
      <c r="F433" s="39"/>
      <c r="G433" s="33" t="str">
        <f t="shared" si="2"/>
        <v/>
      </c>
      <c r="H433" s="33" t="str">
        <f>IF(OR(A433="",F433=""),"",F433-VLOOKUP(A433,BILLING!$B:$I,7,FALSE))</f>
        <v/>
      </c>
      <c r="I433" s="33" t="str">
        <f>IF(A433="","",IF(E433&lt;=0,"Current",IF(TODAY()-VLOOKUP(A433,BILLING!$B:$I,7,FALSE)&lt;=30,"0-30 Days",IF(TODAY()-VLOOKUP(A433,BILLING!$B:$I,7,FALSE)&lt;=60,"31-60 Days","61+ Days"))))</f>
        <v/>
      </c>
    </row>
    <row r="434" ht="15.75" customHeight="1">
      <c r="A434" s="33" t="str">
        <f>IF(BILLING!B434="","",BILLING!B434)</f>
        <v/>
      </c>
      <c r="B434" s="33" t="str">
        <f>IF(A434="","",IFERROR(VLOOKUP(VLOOKUP(VLOOKUP(A434,BILLING!$B:$I,7,FALSE),BOOKINGS!$A:$Q,3,FALSE),CLIENTS!$A:$H,2,FALSE),""))</f>
        <v/>
      </c>
      <c r="C434" s="38" t="str">
        <f>IF(A434="","",IFERROR(VLOOKUP(A434,BILLING!$B:$I,5,FALSE),0))</f>
        <v/>
      </c>
      <c r="D434" s="38"/>
      <c r="E434" s="38" t="str">
        <f t="shared" si="1"/>
        <v/>
      </c>
      <c r="F434" s="39"/>
      <c r="G434" s="33" t="str">
        <f t="shared" si="2"/>
        <v/>
      </c>
      <c r="H434" s="33" t="str">
        <f>IF(OR(A434="",F434=""),"",F434-VLOOKUP(A434,BILLING!$B:$I,7,FALSE))</f>
        <v/>
      </c>
      <c r="I434" s="33" t="str">
        <f>IF(A434="","",IF(E434&lt;=0,"Current",IF(TODAY()-VLOOKUP(A434,BILLING!$B:$I,7,FALSE)&lt;=30,"0-30 Days",IF(TODAY()-VLOOKUP(A434,BILLING!$B:$I,7,FALSE)&lt;=60,"31-60 Days","61+ Days"))))</f>
        <v/>
      </c>
    </row>
    <row r="435" ht="15.75" customHeight="1">
      <c r="A435" s="33" t="str">
        <f>IF(BILLING!B435="","",BILLING!B435)</f>
        <v/>
      </c>
      <c r="B435" s="33" t="str">
        <f>IF(A435="","",IFERROR(VLOOKUP(VLOOKUP(VLOOKUP(A435,BILLING!$B:$I,7,FALSE),BOOKINGS!$A:$Q,3,FALSE),CLIENTS!$A:$H,2,FALSE),""))</f>
        <v/>
      </c>
      <c r="C435" s="38" t="str">
        <f>IF(A435="","",IFERROR(VLOOKUP(A435,BILLING!$B:$I,5,FALSE),0))</f>
        <v/>
      </c>
      <c r="D435" s="38"/>
      <c r="E435" s="38" t="str">
        <f t="shared" si="1"/>
        <v/>
      </c>
      <c r="F435" s="39"/>
      <c r="G435" s="33" t="str">
        <f t="shared" si="2"/>
        <v/>
      </c>
      <c r="H435" s="33" t="str">
        <f>IF(OR(A435="",F435=""),"",F435-VLOOKUP(A435,BILLING!$B:$I,7,FALSE))</f>
        <v/>
      </c>
      <c r="I435" s="33" t="str">
        <f>IF(A435="","",IF(E435&lt;=0,"Current",IF(TODAY()-VLOOKUP(A435,BILLING!$B:$I,7,FALSE)&lt;=30,"0-30 Days",IF(TODAY()-VLOOKUP(A435,BILLING!$B:$I,7,FALSE)&lt;=60,"31-60 Days","61+ Days"))))</f>
        <v/>
      </c>
    </row>
    <row r="436" ht="15.75" customHeight="1">
      <c r="A436" s="33" t="str">
        <f>IF(BILLING!B436="","",BILLING!B436)</f>
        <v/>
      </c>
      <c r="B436" s="33" t="str">
        <f>IF(A436="","",IFERROR(VLOOKUP(VLOOKUP(VLOOKUP(A436,BILLING!$B:$I,7,FALSE),BOOKINGS!$A:$Q,3,FALSE),CLIENTS!$A:$H,2,FALSE),""))</f>
        <v/>
      </c>
      <c r="C436" s="38" t="str">
        <f>IF(A436="","",IFERROR(VLOOKUP(A436,BILLING!$B:$I,5,FALSE),0))</f>
        <v/>
      </c>
      <c r="D436" s="38"/>
      <c r="E436" s="38" t="str">
        <f t="shared" si="1"/>
        <v/>
      </c>
      <c r="F436" s="39"/>
      <c r="G436" s="33" t="str">
        <f t="shared" si="2"/>
        <v/>
      </c>
      <c r="H436" s="33" t="str">
        <f>IF(OR(A436="",F436=""),"",F436-VLOOKUP(A436,BILLING!$B:$I,7,FALSE))</f>
        <v/>
      </c>
      <c r="I436" s="33" t="str">
        <f>IF(A436="","",IF(E436&lt;=0,"Current",IF(TODAY()-VLOOKUP(A436,BILLING!$B:$I,7,FALSE)&lt;=30,"0-30 Days",IF(TODAY()-VLOOKUP(A436,BILLING!$B:$I,7,FALSE)&lt;=60,"31-60 Days","61+ Days"))))</f>
        <v/>
      </c>
    </row>
    <row r="437" ht="15.75" customHeight="1">
      <c r="A437" s="33" t="str">
        <f>IF(BILLING!B437="","",BILLING!B437)</f>
        <v/>
      </c>
      <c r="B437" s="33" t="str">
        <f>IF(A437="","",IFERROR(VLOOKUP(VLOOKUP(VLOOKUP(A437,BILLING!$B:$I,7,FALSE),BOOKINGS!$A:$Q,3,FALSE),CLIENTS!$A:$H,2,FALSE),""))</f>
        <v/>
      </c>
      <c r="C437" s="38" t="str">
        <f>IF(A437="","",IFERROR(VLOOKUP(A437,BILLING!$B:$I,5,FALSE),0))</f>
        <v/>
      </c>
      <c r="D437" s="38"/>
      <c r="E437" s="38" t="str">
        <f t="shared" si="1"/>
        <v/>
      </c>
      <c r="F437" s="39"/>
      <c r="G437" s="33" t="str">
        <f t="shared" si="2"/>
        <v/>
      </c>
      <c r="H437" s="33" t="str">
        <f>IF(OR(A437="",F437=""),"",F437-VLOOKUP(A437,BILLING!$B:$I,7,FALSE))</f>
        <v/>
      </c>
      <c r="I437" s="33" t="str">
        <f>IF(A437="","",IF(E437&lt;=0,"Current",IF(TODAY()-VLOOKUP(A437,BILLING!$B:$I,7,FALSE)&lt;=30,"0-30 Days",IF(TODAY()-VLOOKUP(A437,BILLING!$B:$I,7,FALSE)&lt;=60,"31-60 Days","61+ Days"))))</f>
        <v/>
      </c>
    </row>
    <row r="438" ht="15.75" customHeight="1">
      <c r="A438" s="33" t="str">
        <f>IF(BILLING!B438="","",BILLING!B438)</f>
        <v/>
      </c>
      <c r="B438" s="33" t="str">
        <f>IF(A438="","",IFERROR(VLOOKUP(VLOOKUP(VLOOKUP(A438,BILLING!$B:$I,7,FALSE),BOOKINGS!$A:$Q,3,FALSE),CLIENTS!$A:$H,2,FALSE),""))</f>
        <v/>
      </c>
      <c r="C438" s="38" t="str">
        <f>IF(A438="","",IFERROR(VLOOKUP(A438,BILLING!$B:$I,5,FALSE),0))</f>
        <v/>
      </c>
      <c r="D438" s="38"/>
      <c r="E438" s="38" t="str">
        <f t="shared" si="1"/>
        <v/>
      </c>
      <c r="F438" s="39"/>
      <c r="G438" s="33" t="str">
        <f t="shared" si="2"/>
        <v/>
      </c>
      <c r="H438" s="33" t="str">
        <f>IF(OR(A438="",F438=""),"",F438-VLOOKUP(A438,BILLING!$B:$I,7,FALSE))</f>
        <v/>
      </c>
      <c r="I438" s="33" t="str">
        <f>IF(A438="","",IF(E438&lt;=0,"Current",IF(TODAY()-VLOOKUP(A438,BILLING!$B:$I,7,FALSE)&lt;=30,"0-30 Days",IF(TODAY()-VLOOKUP(A438,BILLING!$B:$I,7,FALSE)&lt;=60,"31-60 Days","61+ Days"))))</f>
        <v/>
      </c>
    </row>
    <row r="439" ht="15.75" customHeight="1">
      <c r="A439" s="33" t="str">
        <f>IF(BILLING!B439="","",BILLING!B439)</f>
        <v/>
      </c>
      <c r="B439" s="33" t="str">
        <f>IF(A439="","",IFERROR(VLOOKUP(VLOOKUP(VLOOKUP(A439,BILLING!$B:$I,7,FALSE),BOOKINGS!$A:$Q,3,FALSE),CLIENTS!$A:$H,2,FALSE),""))</f>
        <v/>
      </c>
      <c r="C439" s="38" t="str">
        <f>IF(A439="","",IFERROR(VLOOKUP(A439,BILLING!$B:$I,5,FALSE),0))</f>
        <v/>
      </c>
      <c r="D439" s="38"/>
      <c r="E439" s="38" t="str">
        <f t="shared" si="1"/>
        <v/>
      </c>
      <c r="F439" s="39"/>
      <c r="G439" s="33" t="str">
        <f t="shared" si="2"/>
        <v/>
      </c>
      <c r="H439" s="33" t="str">
        <f>IF(OR(A439="",F439=""),"",F439-VLOOKUP(A439,BILLING!$B:$I,7,FALSE))</f>
        <v/>
      </c>
      <c r="I439" s="33" t="str">
        <f>IF(A439="","",IF(E439&lt;=0,"Current",IF(TODAY()-VLOOKUP(A439,BILLING!$B:$I,7,FALSE)&lt;=30,"0-30 Days",IF(TODAY()-VLOOKUP(A439,BILLING!$B:$I,7,FALSE)&lt;=60,"31-60 Days","61+ Days"))))</f>
        <v/>
      </c>
    </row>
    <row r="440" ht="15.75" customHeight="1">
      <c r="A440" s="33" t="str">
        <f>IF(BILLING!B440="","",BILLING!B440)</f>
        <v/>
      </c>
      <c r="B440" s="33" t="str">
        <f>IF(A440="","",IFERROR(VLOOKUP(VLOOKUP(VLOOKUP(A440,BILLING!$B:$I,7,FALSE),BOOKINGS!$A:$Q,3,FALSE),CLIENTS!$A:$H,2,FALSE),""))</f>
        <v/>
      </c>
      <c r="C440" s="38" t="str">
        <f>IF(A440="","",IFERROR(VLOOKUP(A440,BILLING!$B:$I,5,FALSE),0))</f>
        <v/>
      </c>
      <c r="D440" s="38"/>
      <c r="E440" s="38" t="str">
        <f t="shared" si="1"/>
        <v/>
      </c>
      <c r="F440" s="39"/>
      <c r="G440" s="33" t="str">
        <f t="shared" si="2"/>
        <v/>
      </c>
      <c r="H440" s="33" t="str">
        <f>IF(OR(A440="",F440=""),"",F440-VLOOKUP(A440,BILLING!$B:$I,7,FALSE))</f>
        <v/>
      </c>
      <c r="I440" s="33" t="str">
        <f>IF(A440="","",IF(E440&lt;=0,"Current",IF(TODAY()-VLOOKUP(A440,BILLING!$B:$I,7,FALSE)&lt;=30,"0-30 Days",IF(TODAY()-VLOOKUP(A440,BILLING!$B:$I,7,FALSE)&lt;=60,"31-60 Days","61+ Days"))))</f>
        <v/>
      </c>
    </row>
    <row r="441" ht="15.75" customHeight="1">
      <c r="A441" s="33" t="str">
        <f>IF(BILLING!B441="","",BILLING!B441)</f>
        <v/>
      </c>
      <c r="B441" s="33" t="str">
        <f>IF(A441="","",IFERROR(VLOOKUP(VLOOKUP(VLOOKUP(A441,BILLING!$B:$I,7,FALSE),BOOKINGS!$A:$Q,3,FALSE),CLIENTS!$A:$H,2,FALSE),""))</f>
        <v/>
      </c>
      <c r="C441" s="38" t="str">
        <f>IF(A441="","",IFERROR(VLOOKUP(A441,BILLING!$B:$I,5,FALSE),0))</f>
        <v/>
      </c>
      <c r="D441" s="38"/>
      <c r="E441" s="38" t="str">
        <f t="shared" si="1"/>
        <v/>
      </c>
      <c r="F441" s="39"/>
      <c r="G441" s="33" t="str">
        <f t="shared" si="2"/>
        <v/>
      </c>
      <c r="H441" s="33" t="str">
        <f>IF(OR(A441="",F441=""),"",F441-VLOOKUP(A441,BILLING!$B:$I,7,FALSE))</f>
        <v/>
      </c>
      <c r="I441" s="33" t="str">
        <f>IF(A441="","",IF(E441&lt;=0,"Current",IF(TODAY()-VLOOKUP(A441,BILLING!$B:$I,7,FALSE)&lt;=30,"0-30 Days",IF(TODAY()-VLOOKUP(A441,BILLING!$B:$I,7,FALSE)&lt;=60,"31-60 Days","61+ Days"))))</f>
        <v/>
      </c>
    </row>
    <row r="442" ht="15.75" customHeight="1">
      <c r="A442" s="33" t="str">
        <f>IF(BILLING!B442="","",BILLING!B442)</f>
        <v/>
      </c>
      <c r="B442" s="33" t="str">
        <f>IF(A442="","",IFERROR(VLOOKUP(VLOOKUP(VLOOKUP(A442,BILLING!$B:$I,7,FALSE),BOOKINGS!$A:$Q,3,FALSE),CLIENTS!$A:$H,2,FALSE),""))</f>
        <v/>
      </c>
      <c r="C442" s="38" t="str">
        <f>IF(A442="","",IFERROR(VLOOKUP(A442,BILLING!$B:$I,5,FALSE),0))</f>
        <v/>
      </c>
      <c r="D442" s="38"/>
      <c r="E442" s="38" t="str">
        <f t="shared" si="1"/>
        <v/>
      </c>
      <c r="F442" s="39"/>
      <c r="G442" s="33" t="str">
        <f t="shared" si="2"/>
        <v/>
      </c>
      <c r="H442" s="33" t="str">
        <f>IF(OR(A442="",F442=""),"",F442-VLOOKUP(A442,BILLING!$B:$I,7,FALSE))</f>
        <v/>
      </c>
      <c r="I442" s="33" t="str">
        <f>IF(A442="","",IF(E442&lt;=0,"Current",IF(TODAY()-VLOOKUP(A442,BILLING!$B:$I,7,FALSE)&lt;=30,"0-30 Days",IF(TODAY()-VLOOKUP(A442,BILLING!$B:$I,7,FALSE)&lt;=60,"31-60 Days","61+ Days"))))</f>
        <v/>
      </c>
    </row>
    <row r="443" ht="15.75" customHeight="1">
      <c r="A443" s="33" t="str">
        <f>IF(BILLING!B443="","",BILLING!B443)</f>
        <v/>
      </c>
      <c r="B443" s="33" t="str">
        <f>IF(A443="","",IFERROR(VLOOKUP(VLOOKUP(VLOOKUP(A443,BILLING!$B:$I,7,FALSE),BOOKINGS!$A:$Q,3,FALSE),CLIENTS!$A:$H,2,FALSE),""))</f>
        <v/>
      </c>
      <c r="C443" s="38" t="str">
        <f>IF(A443="","",IFERROR(VLOOKUP(A443,BILLING!$B:$I,5,FALSE),0))</f>
        <v/>
      </c>
      <c r="D443" s="38"/>
      <c r="E443" s="38" t="str">
        <f t="shared" si="1"/>
        <v/>
      </c>
      <c r="F443" s="39"/>
      <c r="G443" s="33" t="str">
        <f t="shared" si="2"/>
        <v/>
      </c>
      <c r="H443" s="33" t="str">
        <f>IF(OR(A443="",F443=""),"",F443-VLOOKUP(A443,BILLING!$B:$I,7,FALSE))</f>
        <v/>
      </c>
      <c r="I443" s="33" t="str">
        <f>IF(A443="","",IF(E443&lt;=0,"Current",IF(TODAY()-VLOOKUP(A443,BILLING!$B:$I,7,FALSE)&lt;=30,"0-30 Days",IF(TODAY()-VLOOKUP(A443,BILLING!$B:$I,7,FALSE)&lt;=60,"31-60 Days","61+ Days"))))</f>
        <v/>
      </c>
    </row>
    <row r="444" ht="15.75" customHeight="1">
      <c r="A444" s="33" t="str">
        <f>IF(BILLING!B444="","",BILLING!B444)</f>
        <v/>
      </c>
      <c r="B444" s="33" t="str">
        <f>IF(A444="","",IFERROR(VLOOKUP(VLOOKUP(VLOOKUP(A444,BILLING!$B:$I,7,FALSE),BOOKINGS!$A:$Q,3,FALSE),CLIENTS!$A:$H,2,FALSE),""))</f>
        <v/>
      </c>
      <c r="C444" s="38" t="str">
        <f>IF(A444="","",IFERROR(VLOOKUP(A444,BILLING!$B:$I,5,FALSE),0))</f>
        <v/>
      </c>
      <c r="D444" s="38"/>
      <c r="E444" s="38" t="str">
        <f t="shared" si="1"/>
        <v/>
      </c>
      <c r="F444" s="39"/>
      <c r="G444" s="33" t="str">
        <f t="shared" si="2"/>
        <v/>
      </c>
      <c r="H444" s="33" t="str">
        <f>IF(OR(A444="",F444=""),"",F444-VLOOKUP(A444,BILLING!$B:$I,7,FALSE))</f>
        <v/>
      </c>
      <c r="I444" s="33" t="str">
        <f>IF(A444="","",IF(E444&lt;=0,"Current",IF(TODAY()-VLOOKUP(A444,BILLING!$B:$I,7,FALSE)&lt;=30,"0-30 Days",IF(TODAY()-VLOOKUP(A444,BILLING!$B:$I,7,FALSE)&lt;=60,"31-60 Days","61+ Days"))))</f>
        <v/>
      </c>
    </row>
    <row r="445" ht="15.75" customHeight="1">
      <c r="A445" s="33" t="str">
        <f>IF(BILLING!B445="","",BILLING!B445)</f>
        <v/>
      </c>
      <c r="B445" s="33" t="str">
        <f>IF(A445="","",IFERROR(VLOOKUP(VLOOKUP(VLOOKUP(A445,BILLING!$B:$I,7,FALSE),BOOKINGS!$A:$Q,3,FALSE),CLIENTS!$A:$H,2,FALSE),""))</f>
        <v/>
      </c>
      <c r="C445" s="38" t="str">
        <f>IF(A445="","",IFERROR(VLOOKUP(A445,BILLING!$B:$I,5,FALSE),0))</f>
        <v/>
      </c>
      <c r="D445" s="38"/>
      <c r="E445" s="38" t="str">
        <f t="shared" si="1"/>
        <v/>
      </c>
      <c r="F445" s="39"/>
      <c r="G445" s="33" t="str">
        <f t="shared" si="2"/>
        <v/>
      </c>
      <c r="H445" s="33" t="str">
        <f>IF(OR(A445="",F445=""),"",F445-VLOOKUP(A445,BILLING!$B:$I,7,FALSE))</f>
        <v/>
      </c>
      <c r="I445" s="33" t="str">
        <f>IF(A445="","",IF(E445&lt;=0,"Current",IF(TODAY()-VLOOKUP(A445,BILLING!$B:$I,7,FALSE)&lt;=30,"0-30 Days",IF(TODAY()-VLOOKUP(A445,BILLING!$B:$I,7,FALSE)&lt;=60,"31-60 Days","61+ Days"))))</f>
        <v/>
      </c>
    </row>
    <row r="446" ht="15.75" customHeight="1">
      <c r="A446" s="33" t="str">
        <f>IF(BILLING!B446="","",BILLING!B446)</f>
        <v/>
      </c>
      <c r="B446" s="33" t="str">
        <f>IF(A446="","",IFERROR(VLOOKUP(VLOOKUP(VLOOKUP(A446,BILLING!$B:$I,7,FALSE),BOOKINGS!$A:$Q,3,FALSE),CLIENTS!$A:$H,2,FALSE),""))</f>
        <v/>
      </c>
      <c r="C446" s="38" t="str">
        <f>IF(A446="","",IFERROR(VLOOKUP(A446,BILLING!$B:$I,5,FALSE),0))</f>
        <v/>
      </c>
      <c r="D446" s="38"/>
      <c r="E446" s="38" t="str">
        <f t="shared" si="1"/>
        <v/>
      </c>
      <c r="F446" s="39"/>
      <c r="G446" s="33" t="str">
        <f t="shared" si="2"/>
        <v/>
      </c>
      <c r="H446" s="33" t="str">
        <f>IF(OR(A446="",F446=""),"",F446-VLOOKUP(A446,BILLING!$B:$I,7,FALSE))</f>
        <v/>
      </c>
      <c r="I446" s="33" t="str">
        <f>IF(A446="","",IF(E446&lt;=0,"Current",IF(TODAY()-VLOOKUP(A446,BILLING!$B:$I,7,FALSE)&lt;=30,"0-30 Days",IF(TODAY()-VLOOKUP(A446,BILLING!$B:$I,7,FALSE)&lt;=60,"31-60 Days","61+ Days"))))</f>
        <v/>
      </c>
    </row>
    <row r="447" ht="15.75" customHeight="1">
      <c r="A447" s="33" t="str">
        <f>IF(BILLING!B447="","",BILLING!B447)</f>
        <v/>
      </c>
      <c r="B447" s="33" t="str">
        <f>IF(A447="","",IFERROR(VLOOKUP(VLOOKUP(VLOOKUP(A447,BILLING!$B:$I,7,FALSE),BOOKINGS!$A:$Q,3,FALSE),CLIENTS!$A:$H,2,FALSE),""))</f>
        <v/>
      </c>
      <c r="C447" s="38" t="str">
        <f>IF(A447="","",IFERROR(VLOOKUP(A447,BILLING!$B:$I,5,FALSE),0))</f>
        <v/>
      </c>
      <c r="D447" s="38"/>
      <c r="E447" s="38" t="str">
        <f t="shared" si="1"/>
        <v/>
      </c>
      <c r="F447" s="39"/>
      <c r="G447" s="33" t="str">
        <f t="shared" si="2"/>
        <v/>
      </c>
      <c r="H447" s="33" t="str">
        <f>IF(OR(A447="",F447=""),"",F447-VLOOKUP(A447,BILLING!$B:$I,7,FALSE))</f>
        <v/>
      </c>
      <c r="I447" s="33" t="str">
        <f>IF(A447="","",IF(E447&lt;=0,"Current",IF(TODAY()-VLOOKUP(A447,BILLING!$B:$I,7,FALSE)&lt;=30,"0-30 Days",IF(TODAY()-VLOOKUP(A447,BILLING!$B:$I,7,FALSE)&lt;=60,"31-60 Days","61+ Days"))))</f>
        <v/>
      </c>
    </row>
    <row r="448" ht="15.75" customHeight="1">
      <c r="A448" s="33" t="str">
        <f>IF(BILLING!B448="","",BILLING!B448)</f>
        <v/>
      </c>
      <c r="B448" s="33" t="str">
        <f>IF(A448="","",IFERROR(VLOOKUP(VLOOKUP(VLOOKUP(A448,BILLING!$B:$I,7,FALSE),BOOKINGS!$A:$Q,3,FALSE),CLIENTS!$A:$H,2,FALSE),""))</f>
        <v/>
      </c>
      <c r="C448" s="38" t="str">
        <f>IF(A448="","",IFERROR(VLOOKUP(A448,BILLING!$B:$I,5,FALSE),0))</f>
        <v/>
      </c>
      <c r="D448" s="38"/>
      <c r="E448" s="38" t="str">
        <f t="shared" si="1"/>
        <v/>
      </c>
      <c r="F448" s="39"/>
      <c r="G448" s="33" t="str">
        <f t="shared" si="2"/>
        <v/>
      </c>
      <c r="H448" s="33" t="str">
        <f>IF(OR(A448="",F448=""),"",F448-VLOOKUP(A448,BILLING!$B:$I,7,FALSE))</f>
        <v/>
      </c>
      <c r="I448" s="33" t="str">
        <f>IF(A448="","",IF(E448&lt;=0,"Current",IF(TODAY()-VLOOKUP(A448,BILLING!$B:$I,7,FALSE)&lt;=30,"0-30 Days",IF(TODAY()-VLOOKUP(A448,BILLING!$B:$I,7,FALSE)&lt;=60,"31-60 Days","61+ Days"))))</f>
        <v/>
      </c>
    </row>
    <row r="449" ht="15.75" customHeight="1">
      <c r="A449" s="33" t="str">
        <f>IF(BILLING!B449="","",BILLING!B449)</f>
        <v/>
      </c>
      <c r="B449" s="33" t="str">
        <f>IF(A449="","",IFERROR(VLOOKUP(VLOOKUP(VLOOKUP(A449,BILLING!$B:$I,7,FALSE),BOOKINGS!$A:$Q,3,FALSE),CLIENTS!$A:$H,2,FALSE),""))</f>
        <v/>
      </c>
      <c r="C449" s="38" t="str">
        <f>IF(A449="","",IFERROR(VLOOKUP(A449,BILLING!$B:$I,5,FALSE),0))</f>
        <v/>
      </c>
      <c r="D449" s="38"/>
      <c r="E449" s="38" t="str">
        <f t="shared" si="1"/>
        <v/>
      </c>
      <c r="F449" s="39"/>
      <c r="G449" s="33" t="str">
        <f t="shared" si="2"/>
        <v/>
      </c>
      <c r="H449" s="33" t="str">
        <f>IF(OR(A449="",F449=""),"",F449-VLOOKUP(A449,BILLING!$B:$I,7,FALSE))</f>
        <v/>
      </c>
      <c r="I449" s="33" t="str">
        <f>IF(A449="","",IF(E449&lt;=0,"Current",IF(TODAY()-VLOOKUP(A449,BILLING!$B:$I,7,FALSE)&lt;=30,"0-30 Days",IF(TODAY()-VLOOKUP(A449,BILLING!$B:$I,7,FALSE)&lt;=60,"31-60 Days","61+ Days"))))</f>
        <v/>
      </c>
    </row>
    <row r="450" ht="15.75" customHeight="1">
      <c r="A450" s="33" t="str">
        <f>IF(BILLING!B450="","",BILLING!B450)</f>
        <v/>
      </c>
      <c r="B450" s="33" t="str">
        <f>IF(A450="","",IFERROR(VLOOKUP(VLOOKUP(VLOOKUP(A450,BILLING!$B:$I,7,FALSE),BOOKINGS!$A:$Q,3,FALSE),CLIENTS!$A:$H,2,FALSE),""))</f>
        <v/>
      </c>
      <c r="C450" s="38" t="str">
        <f>IF(A450="","",IFERROR(VLOOKUP(A450,BILLING!$B:$I,5,FALSE),0))</f>
        <v/>
      </c>
      <c r="D450" s="38"/>
      <c r="E450" s="38" t="str">
        <f t="shared" si="1"/>
        <v/>
      </c>
      <c r="F450" s="39"/>
      <c r="G450" s="33" t="str">
        <f t="shared" si="2"/>
        <v/>
      </c>
      <c r="H450" s="33" t="str">
        <f>IF(OR(A450="",F450=""),"",F450-VLOOKUP(A450,BILLING!$B:$I,7,FALSE))</f>
        <v/>
      </c>
      <c r="I450" s="33" t="str">
        <f>IF(A450="","",IF(E450&lt;=0,"Current",IF(TODAY()-VLOOKUP(A450,BILLING!$B:$I,7,FALSE)&lt;=30,"0-30 Days",IF(TODAY()-VLOOKUP(A450,BILLING!$B:$I,7,FALSE)&lt;=60,"31-60 Days","61+ Days"))))</f>
        <v/>
      </c>
    </row>
    <row r="451" ht="15.75" customHeight="1">
      <c r="A451" s="33" t="str">
        <f>IF(BILLING!B451="","",BILLING!B451)</f>
        <v/>
      </c>
      <c r="B451" s="33" t="str">
        <f>IF(A451="","",IFERROR(VLOOKUP(VLOOKUP(VLOOKUP(A451,BILLING!$B:$I,7,FALSE),BOOKINGS!$A:$Q,3,FALSE),CLIENTS!$A:$H,2,FALSE),""))</f>
        <v/>
      </c>
      <c r="C451" s="38" t="str">
        <f>IF(A451="","",IFERROR(VLOOKUP(A451,BILLING!$B:$I,5,FALSE),0))</f>
        <v/>
      </c>
      <c r="D451" s="38"/>
      <c r="E451" s="38" t="str">
        <f t="shared" si="1"/>
        <v/>
      </c>
      <c r="F451" s="39"/>
      <c r="G451" s="33" t="str">
        <f t="shared" si="2"/>
        <v/>
      </c>
      <c r="H451" s="33" t="str">
        <f>IF(OR(A451="",F451=""),"",F451-VLOOKUP(A451,BILLING!$B:$I,7,FALSE))</f>
        <v/>
      </c>
      <c r="I451" s="33" t="str">
        <f>IF(A451="","",IF(E451&lt;=0,"Current",IF(TODAY()-VLOOKUP(A451,BILLING!$B:$I,7,FALSE)&lt;=30,"0-30 Days",IF(TODAY()-VLOOKUP(A451,BILLING!$B:$I,7,FALSE)&lt;=60,"31-60 Days","61+ Days"))))</f>
        <v/>
      </c>
    </row>
    <row r="452" ht="15.75" customHeight="1">
      <c r="A452" s="33" t="str">
        <f>IF(BILLING!B452="","",BILLING!B452)</f>
        <v/>
      </c>
      <c r="B452" s="33" t="str">
        <f>IF(A452="","",IFERROR(VLOOKUP(VLOOKUP(VLOOKUP(A452,BILLING!$B:$I,7,FALSE),BOOKINGS!$A:$Q,3,FALSE),CLIENTS!$A:$H,2,FALSE),""))</f>
        <v/>
      </c>
      <c r="C452" s="38" t="str">
        <f>IF(A452="","",IFERROR(VLOOKUP(A452,BILLING!$B:$I,5,FALSE),0))</f>
        <v/>
      </c>
      <c r="D452" s="38"/>
      <c r="E452" s="38" t="str">
        <f t="shared" si="1"/>
        <v/>
      </c>
      <c r="F452" s="39"/>
      <c r="G452" s="33" t="str">
        <f t="shared" si="2"/>
        <v/>
      </c>
      <c r="H452" s="33" t="str">
        <f>IF(OR(A452="",F452=""),"",F452-VLOOKUP(A452,BILLING!$B:$I,7,FALSE))</f>
        <v/>
      </c>
      <c r="I452" s="33" t="str">
        <f>IF(A452="","",IF(E452&lt;=0,"Current",IF(TODAY()-VLOOKUP(A452,BILLING!$B:$I,7,FALSE)&lt;=30,"0-30 Days",IF(TODAY()-VLOOKUP(A452,BILLING!$B:$I,7,FALSE)&lt;=60,"31-60 Days","61+ Days"))))</f>
        <v/>
      </c>
    </row>
    <row r="453" ht="15.75" customHeight="1">
      <c r="A453" s="33" t="str">
        <f>IF(BILLING!B453="","",BILLING!B453)</f>
        <v/>
      </c>
      <c r="B453" s="33" t="str">
        <f>IF(A453="","",IFERROR(VLOOKUP(VLOOKUP(VLOOKUP(A453,BILLING!$B:$I,7,FALSE),BOOKINGS!$A:$Q,3,FALSE),CLIENTS!$A:$H,2,FALSE),""))</f>
        <v/>
      </c>
      <c r="C453" s="38" t="str">
        <f>IF(A453="","",IFERROR(VLOOKUP(A453,BILLING!$B:$I,5,FALSE),0))</f>
        <v/>
      </c>
      <c r="D453" s="38"/>
      <c r="E453" s="38" t="str">
        <f t="shared" si="1"/>
        <v/>
      </c>
      <c r="F453" s="39"/>
      <c r="G453" s="33" t="str">
        <f t="shared" si="2"/>
        <v/>
      </c>
      <c r="H453" s="33" t="str">
        <f>IF(OR(A453="",F453=""),"",F453-VLOOKUP(A453,BILLING!$B:$I,7,FALSE))</f>
        <v/>
      </c>
      <c r="I453" s="33" t="str">
        <f>IF(A453="","",IF(E453&lt;=0,"Current",IF(TODAY()-VLOOKUP(A453,BILLING!$B:$I,7,FALSE)&lt;=30,"0-30 Days",IF(TODAY()-VLOOKUP(A453,BILLING!$B:$I,7,FALSE)&lt;=60,"31-60 Days","61+ Days"))))</f>
        <v/>
      </c>
    </row>
    <row r="454" ht="15.75" customHeight="1">
      <c r="A454" s="33" t="str">
        <f>IF(BILLING!B454="","",BILLING!B454)</f>
        <v/>
      </c>
      <c r="B454" s="33" t="str">
        <f>IF(A454="","",IFERROR(VLOOKUP(VLOOKUP(VLOOKUP(A454,BILLING!$B:$I,7,FALSE),BOOKINGS!$A:$Q,3,FALSE),CLIENTS!$A:$H,2,FALSE),""))</f>
        <v/>
      </c>
      <c r="C454" s="38" t="str">
        <f>IF(A454="","",IFERROR(VLOOKUP(A454,BILLING!$B:$I,5,FALSE),0))</f>
        <v/>
      </c>
      <c r="D454" s="38"/>
      <c r="E454" s="38" t="str">
        <f t="shared" si="1"/>
        <v/>
      </c>
      <c r="F454" s="39"/>
      <c r="G454" s="33" t="str">
        <f t="shared" si="2"/>
        <v/>
      </c>
      <c r="H454" s="33" t="str">
        <f>IF(OR(A454="",F454=""),"",F454-VLOOKUP(A454,BILLING!$B:$I,7,FALSE))</f>
        <v/>
      </c>
      <c r="I454" s="33" t="str">
        <f>IF(A454="","",IF(E454&lt;=0,"Current",IF(TODAY()-VLOOKUP(A454,BILLING!$B:$I,7,FALSE)&lt;=30,"0-30 Days",IF(TODAY()-VLOOKUP(A454,BILLING!$B:$I,7,FALSE)&lt;=60,"31-60 Days","61+ Days"))))</f>
        <v/>
      </c>
    </row>
    <row r="455" ht="15.75" customHeight="1">
      <c r="A455" s="33" t="str">
        <f>IF(BILLING!B455="","",BILLING!B455)</f>
        <v/>
      </c>
      <c r="B455" s="33" t="str">
        <f>IF(A455="","",IFERROR(VLOOKUP(VLOOKUP(VLOOKUP(A455,BILLING!$B:$I,7,FALSE),BOOKINGS!$A:$Q,3,FALSE),CLIENTS!$A:$H,2,FALSE),""))</f>
        <v/>
      </c>
      <c r="C455" s="38" t="str">
        <f>IF(A455="","",IFERROR(VLOOKUP(A455,BILLING!$B:$I,5,FALSE),0))</f>
        <v/>
      </c>
      <c r="D455" s="38"/>
      <c r="E455" s="38" t="str">
        <f t="shared" si="1"/>
        <v/>
      </c>
      <c r="F455" s="39"/>
      <c r="G455" s="33" t="str">
        <f t="shared" si="2"/>
        <v/>
      </c>
      <c r="H455" s="33" t="str">
        <f>IF(OR(A455="",F455=""),"",F455-VLOOKUP(A455,BILLING!$B:$I,7,FALSE))</f>
        <v/>
      </c>
      <c r="I455" s="33" t="str">
        <f>IF(A455="","",IF(E455&lt;=0,"Current",IF(TODAY()-VLOOKUP(A455,BILLING!$B:$I,7,FALSE)&lt;=30,"0-30 Days",IF(TODAY()-VLOOKUP(A455,BILLING!$B:$I,7,FALSE)&lt;=60,"31-60 Days","61+ Days"))))</f>
        <v/>
      </c>
    </row>
    <row r="456" ht="15.75" customHeight="1">
      <c r="A456" s="33" t="str">
        <f>IF(BILLING!B456="","",BILLING!B456)</f>
        <v/>
      </c>
      <c r="B456" s="33" t="str">
        <f>IF(A456="","",IFERROR(VLOOKUP(VLOOKUP(VLOOKUP(A456,BILLING!$B:$I,7,FALSE),BOOKINGS!$A:$Q,3,FALSE),CLIENTS!$A:$H,2,FALSE),""))</f>
        <v/>
      </c>
      <c r="C456" s="38" t="str">
        <f>IF(A456="","",IFERROR(VLOOKUP(A456,BILLING!$B:$I,5,FALSE),0))</f>
        <v/>
      </c>
      <c r="D456" s="38"/>
      <c r="E456" s="38" t="str">
        <f t="shared" si="1"/>
        <v/>
      </c>
      <c r="F456" s="39"/>
      <c r="G456" s="33" t="str">
        <f t="shared" si="2"/>
        <v/>
      </c>
      <c r="H456" s="33" t="str">
        <f>IF(OR(A456="",F456=""),"",F456-VLOOKUP(A456,BILLING!$B:$I,7,FALSE))</f>
        <v/>
      </c>
      <c r="I456" s="33" t="str">
        <f>IF(A456="","",IF(E456&lt;=0,"Current",IF(TODAY()-VLOOKUP(A456,BILLING!$B:$I,7,FALSE)&lt;=30,"0-30 Days",IF(TODAY()-VLOOKUP(A456,BILLING!$B:$I,7,FALSE)&lt;=60,"31-60 Days","61+ Days"))))</f>
        <v/>
      </c>
    </row>
    <row r="457" ht="15.75" customHeight="1">
      <c r="A457" s="33" t="str">
        <f>IF(BILLING!B457="","",BILLING!B457)</f>
        <v/>
      </c>
      <c r="B457" s="33" t="str">
        <f>IF(A457="","",IFERROR(VLOOKUP(VLOOKUP(VLOOKUP(A457,BILLING!$B:$I,7,FALSE),BOOKINGS!$A:$Q,3,FALSE),CLIENTS!$A:$H,2,FALSE),""))</f>
        <v/>
      </c>
      <c r="C457" s="38" t="str">
        <f>IF(A457="","",IFERROR(VLOOKUP(A457,BILLING!$B:$I,5,FALSE),0))</f>
        <v/>
      </c>
      <c r="D457" s="38"/>
      <c r="E457" s="38" t="str">
        <f t="shared" si="1"/>
        <v/>
      </c>
      <c r="F457" s="39"/>
      <c r="G457" s="33" t="str">
        <f t="shared" si="2"/>
        <v/>
      </c>
      <c r="H457" s="33" t="str">
        <f>IF(OR(A457="",F457=""),"",F457-VLOOKUP(A457,BILLING!$B:$I,7,FALSE))</f>
        <v/>
      </c>
      <c r="I457" s="33" t="str">
        <f>IF(A457="","",IF(E457&lt;=0,"Current",IF(TODAY()-VLOOKUP(A457,BILLING!$B:$I,7,FALSE)&lt;=30,"0-30 Days",IF(TODAY()-VLOOKUP(A457,BILLING!$B:$I,7,FALSE)&lt;=60,"31-60 Days","61+ Days"))))</f>
        <v/>
      </c>
    </row>
    <row r="458" ht="15.75" customHeight="1">
      <c r="A458" s="33" t="str">
        <f>IF(BILLING!B458="","",BILLING!B458)</f>
        <v/>
      </c>
      <c r="B458" s="33" t="str">
        <f>IF(A458="","",IFERROR(VLOOKUP(VLOOKUP(VLOOKUP(A458,BILLING!$B:$I,7,FALSE),BOOKINGS!$A:$Q,3,FALSE),CLIENTS!$A:$H,2,FALSE),""))</f>
        <v/>
      </c>
      <c r="C458" s="38" t="str">
        <f>IF(A458="","",IFERROR(VLOOKUP(A458,BILLING!$B:$I,5,FALSE),0))</f>
        <v/>
      </c>
      <c r="D458" s="38"/>
      <c r="E458" s="38" t="str">
        <f t="shared" si="1"/>
        <v/>
      </c>
      <c r="F458" s="39"/>
      <c r="G458" s="33" t="str">
        <f t="shared" si="2"/>
        <v/>
      </c>
      <c r="H458" s="33" t="str">
        <f>IF(OR(A458="",F458=""),"",F458-VLOOKUP(A458,BILLING!$B:$I,7,FALSE))</f>
        <v/>
      </c>
      <c r="I458" s="33" t="str">
        <f>IF(A458="","",IF(E458&lt;=0,"Current",IF(TODAY()-VLOOKUP(A458,BILLING!$B:$I,7,FALSE)&lt;=30,"0-30 Days",IF(TODAY()-VLOOKUP(A458,BILLING!$B:$I,7,FALSE)&lt;=60,"31-60 Days","61+ Days"))))</f>
        <v/>
      </c>
    </row>
    <row r="459" ht="15.75" customHeight="1">
      <c r="A459" s="33" t="str">
        <f>IF(BILLING!B459="","",BILLING!B459)</f>
        <v/>
      </c>
      <c r="B459" s="33" t="str">
        <f>IF(A459="","",IFERROR(VLOOKUP(VLOOKUP(VLOOKUP(A459,BILLING!$B:$I,7,FALSE),BOOKINGS!$A:$Q,3,FALSE),CLIENTS!$A:$H,2,FALSE),""))</f>
        <v/>
      </c>
      <c r="C459" s="38" t="str">
        <f>IF(A459="","",IFERROR(VLOOKUP(A459,BILLING!$B:$I,5,FALSE),0))</f>
        <v/>
      </c>
      <c r="D459" s="38"/>
      <c r="E459" s="38" t="str">
        <f t="shared" si="1"/>
        <v/>
      </c>
      <c r="F459" s="39"/>
      <c r="G459" s="33" t="str">
        <f t="shared" si="2"/>
        <v/>
      </c>
      <c r="H459" s="33" t="str">
        <f>IF(OR(A459="",F459=""),"",F459-VLOOKUP(A459,BILLING!$B:$I,7,FALSE))</f>
        <v/>
      </c>
      <c r="I459" s="33" t="str">
        <f>IF(A459="","",IF(E459&lt;=0,"Current",IF(TODAY()-VLOOKUP(A459,BILLING!$B:$I,7,FALSE)&lt;=30,"0-30 Days",IF(TODAY()-VLOOKUP(A459,BILLING!$B:$I,7,FALSE)&lt;=60,"31-60 Days","61+ Days"))))</f>
        <v/>
      </c>
    </row>
    <row r="460" ht="15.75" customHeight="1">
      <c r="A460" s="33" t="str">
        <f>IF(BILLING!B460="","",BILLING!B460)</f>
        <v/>
      </c>
      <c r="B460" s="33" t="str">
        <f>IF(A460="","",IFERROR(VLOOKUP(VLOOKUP(VLOOKUP(A460,BILLING!$B:$I,7,FALSE),BOOKINGS!$A:$Q,3,FALSE),CLIENTS!$A:$H,2,FALSE),""))</f>
        <v/>
      </c>
      <c r="C460" s="38" t="str">
        <f>IF(A460="","",IFERROR(VLOOKUP(A460,BILLING!$B:$I,5,FALSE),0))</f>
        <v/>
      </c>
      <c r="D460" s="38"/>
      <c r="E460" s="38" t="str">
        <f t="shared" si="1"/>
        <v/>
      </c>
      <c r="F460" s="39"/>
      <c r="G460" s="33" t="str">
        <f t="shared" si="2"/>
        <v/>
      </c>
      <c r="H460" s="33" t="str">
        <f>IF(OR(A460="",F460=""),"",F460-VLOOKUP(A460,BILLING!$B:$I,7,FALSE))</f>
        <v/>
      </c>
      <c r="I460" s="33" t="str">
        <f>IF(A460="","",IF(E460&lt;=0,"Current",IF(TODAY()-VLOOKUP(A460,BILLING!$B:$I,7,FALSE)&lt;=30,"0-30 Days",IF(TODAY()-VLOOKUP(A460,BILLING!$B:$I,7,FALSE)&lt;=60,"31-60 Days","61+ Days"))))</f>
        <v/>
      </c>
    </row>
    <row r="461" ht="15.75" customHeight="1">
      <c r="A461" s="33" t="str">
        <f>IF(BILLING!B461="","",BILLING!B461)</f>
        <v/>
      </c>
      <c r="B461" s="33" t="str">
        <f>IF(A461="","",IFERROR(VLOOKUP(VLOOKUP(VLOOKUP(A461,BILLING!$B:$I,7,FALSE),BOOKINGS!$A:$Q,3,FALSE),CLIENTS!$A:$H,2,FALSE),""))</f>
        <v/>
      </c>
      <c r="C461" s="38" t="str">
        <f>IF(A461="","",IFERROR(VLOOKUP(A461,BILLING!$B:$I,5,FALSE),0))</f>
        <v/>
      </c>
      <c r="D461" s="38"/>
      <c r="E461" s="38" t="str">
        <f t="shared" si="1"/>
        <v/>
      </c>
      <c r="F461" s="39"/>
      <c r="G461" s="33" t="str">
        <f t="shared" si="2"/>
        <v/>
      </c>
      <c r="H461" s="33" t="str">
        <f>IF(OR(A461="",F461=""),"",F461-VLOOKUP(A461,BILLING!$B:$I,7,FALSE))</f>
        <v/>
      </c>
      <c r="I461" s="33" t="str">
        <f>IF(A461="","",IF(E461&lt;=0,"Current",IF(TODAY()-VLOOKUP(A461,BILLING!$B:$I,7,FALSE)&lt;=30,"0-30 Days",IF(TODAY()-VLOOKUP(A461,BILLING!$B:$I,7,FALSE)&lt;=60,"31-60 Days","61+ Days"))))</f>
        <v/>
      </c>
    </row>
    <row r="462" ht="15.75" customHeight="1">
      <c r="A462" s="33" t="str">
        <f>IF(BILLING!B462="","",BILLING!B462)</f>
        <v/>
      </c>
      <c r="B462" s="33" t="str">
        <f>IF(A462="","",IFERROR(VLOOKUP(VLOOKUP(VLOOKUP(A462,BILLING!$B:$I,7,FALSE),BOOKINGS!$A:$Q,3,FALSE),CLIENTS!$A:$H,2,FALSE),""))</f>
        <v/>
      </c>
      <c r="C462" s="38" t="str">
        <f>IF(A462="","",IFERROR(VLOOKUP(A462,BILLING!$B:$I,5,FALSE),0))</f>
        <v/>
      </c>
      <c r="D462" s="38"/>
      <c r="E462" s="38" t="str">
        <f t="shared" si="1"/>
        <v/>
      </c>
      <c r="F462" s="39"/>
      <c r="G462" s="33" t="str">
        <f t="shared" si="2"/>
        <v/>
      </c>
      <c r="H462" s="33" t="str">
        <f>IF(OR(A462="",F462=""),"",F462-VLOOKUP(A462,BILLING!$B:$I,7,FALSE))</f>
        <v/>
      </c>
      <c r="I462" s="33" t="str">
        <f>IF(A462="","",IF(E462&lt;=0,"Current",IF(TODAY()-VLOOKUP(A462,BILLING!$B:$I,7,FALSE)&lt;=30,"0-30 Days",IF(TODAY()-VLOOKUP(A462,BILLING!$B:$I,7,FALSE)&lt;=60,"31-60 Days","61+ Days"))))</f>
        <v/>
      </c>
    </row>
    <row r="463" ht="15.75" customHeight="1">
      <c r="A463" s="33" t="str">
        <f>IF(BILLING!B463="","",BILLING!B463)</f>
        <v/>
      </c>
      <c r="B463" s="33" t="str">
        <f>IF(A463="","",IFERROR(VLOOKUP(VLOOKUP(VLOOKUP(A463,BILLING!$B:$I,7,FALSE),BOOKINGS!$A:$Q,3,FALSE),CLIENTS!$A:$H,2,FALSE),""))</f>
        <v/>
      </c>
      <c r="C463" s="38" t="str">
        <f>IF(A463="","",IFERROR(VLOOKUP(A463,BILLING!$B:$I,5,FALSE),0))</f>
        <v/>
      </c>
      <c r="D463" s="38"/>
      <c r="E463" s="38" t="str">
        <f t="shared" si="1"/>
        <v/>
      </c>
      <c r="F463" s="39"/>
      <c r="G463" s="33" t="str">
        <f t="shared" si="2"/>
        <v/>
      </c>
      <c r="H463" s="33" t="str">
        <f>IF(OR(A463="",F463=""),"",F463-VLOOKUP(A463,BILLING!$B:$I,7,FALSE))</f>
        <v/>
      </c>
      <c r="I463" s="33" t="str">
        <f>IF(A463="","",IF(E463&lt;=0,"Current",IF(TODAY()-VLOOKUP(A463,BILLING!$B:$I,7,FALSE)&lt;=30,"0-30 Days",IF(TODAY()-VLOOKUP(A463,BILLING!$B:$I,7,FALSE)&lt;=60,"31-60 Days","61+ Days"))))</f>
        <v/>
      </c>
    </row>
    <row r="464" ht="15.75" customHeight="1">
      <c r="A464" s="33" t="str">
        <f>IF(BILLING!B464="","",BILLING!B464)</f>
        <v/>
      </c>
      <c r="B464" s="33" t="str">
        <f>IF(A464="","",IFERROR(VLOOKUP(VLOOKUP(VLOOKUP(A464,BILLING!$B:$I,7,FALSE),BOOKINGS!$A:$Q,3,FALSE),CLIENTS!$A:$H,2,FALSE),""))</f>
        <v/>
      </c>
      <c r="C464" s="38" t="str">
        <f>IF(A464="","",IFERROR(VLOOKUP(A464,BILLING!$B:$I,5,FALSE),0))</f>
        <v/>
      </c>
      <c r="D464" s="38"/>
      <c r="E464" s="38" t="str">
        <f t="shared" si="1"/>
        <v/>
      </c>
      <c r="F464" s="39"/>
      <c r="G464" s="33" t="str">
        <f t="shared" si="2"/>
        <v/>
      </c>
      <c r="H464" s="33" t="str">
        <f>IF(OR(A464="",F464=""),"",F464-VLOOKUP(A464,BILLING!$B:$I,7,FALSE))</f>
        <v/>
      </c>
      <c r="I464" s="33" t="str">
        <f>IF(A464="","",IF(E464&lt;=0,"Current",IF(TODAY()-VLOOKUP(A464,BILLING!$B:$I,7,FALSE)&lt;=30,"0-30 Days",IF(TODAY()-VLOOKUP(A464,BILLING!$B:$I,7,FALSE)&lt;=60,"31-60 Days","61+ Days"))))</f>
        <v/>
      </c>
    </row>
    <row r="465" ht="15.75" customHeight="1">
      <c r="A465" s="33" t="str">
        <f>IF(BILLING!B465="","",BILLING!B465)</f>
        <v/>
      </c>
      <c r="B465" s="33" t="str">
        <f>IF(A465="","",IFERROR(VLOOKUP(VLOOKUP(VLOOKUP(A465,BILLING!$B:$I,7,FALSE),BOOKINGS!$A:$Q,3,FALSE),CLIENTS!$A:$H,2,FALSE),""))</f>
        <v/>
      </c>
      <c r="C465" s="38" t="str">
        <f>IF(A465="","",IFERROR(VLOOKUP(A465,BILLING!$B:$I,5,FALSE),0))</f>
        <v/>
      </c>
      <c r="D465" s="38"/>
      <c r="E465" s="38" t="str">
        <f t="shared" si="1"/>
        <v/>
      </c>
      <c r="F465" s="39"/>
      <c r="G465" s="33" t="str">
        <f t="shared" si="2"/>
        <v/>
      </c>
      <c r="H465" s="33" t="str">
        <f>IF(OR(A465="",F465=""),"",F465-VLOOKUP(A465,BILLING!$B:$I,7,FALSE))</f>
        <v/>
      </c>
      <c r="I465" s="33" t="str">
        <f>IF(A465="","",IF(E465&lt;=0,"Current",IF(TODAY()-VLOOKUP(A465,BILLING!$B:$I,7,FALSE)&lt;=30,"0-30 Days",IF(TODAY()-VLOOKUP(A465,BILLING!$B:$I,7,FALSE)&lt;=60,"31-60 Days","61+ Days"))))</f>
        <v/>
      </c>
    </row>
    <row r="466" ht="15.75" customHeight="1">
      <c r="A466" s="33" t="str">
        <f>IF(BILLING!B466="","",BILLING!B466)</f>
        <v/>
      </c>
      <c r="B466" s="33" t="str">
        <f>IF(A466="","",IFERROR(VLOOKUP(VLOOKUP(VLOOKUP(A466,BILLING!$B:$I,7,FALSE),BOOKINGS!$A:$Q,3,FALSE),CLIENTS!$A:$H,2,FALSE),""))</f>
        <v/>
      </c>
      <c r="C466" s="38" t="str">
        <f>IF(A466="","",IFERROR(VLOOKUP(A466,BILLING!$B:$I,5,FALSE),0))</f>
        <v/>
      </c>
      <c r="D466" s="38"/>
      <c r="E466" s="38" t="str">
        <f t="shared" si="1"/>
        <v/>
      </c>
      <c r="F466" s="39"/>
      <c r="G466" s="33" t="str">
        <f t="shared" si="2"/>
        <v/>
      </c>
      <c r="H466" s="33" t="str">
        <f>IF(OR(A466="",F466=""),"",F466-VLOOKUP(A466,BILLING!$B:$I,7,FALSE))</f>
        <v/>
      </c>
      <c r="I466" s="33" t="str">
        <f>IF(A466="","",IF(E466&lt;=0,"Current",IF(TODAY()-VLOOKUP(A466,BILLING!$B:$I,7,FALSE)&lt;=30,"0-30 Days",IF(TODAY()-VLOOKUP(A466,BILLING!$B:$I,7,FALSE)&lt;=60,"31-60 Days","61+ Days"))))</f>
        <v/>
      </c>
    </row>
    <row r="467" ht="15.75" customHeight="1">
      <c r="A467" s="33" t="str">
        <f>IF(BILLING!B467="","",BILLING!B467)</f>
        <v/>
      </c>
      <c r="B467" s="33" t="str">
        <f>IF(A467="","",IFERROR(VLOOKUP(VLOOKUP(VLOOKUP(A467,BILLING!$B:$I,7,FALSE),BOOKINGS!$A:$Q,3,FALSE),CLIENTS!$A:$H,2,FALSE),""))</f>
        <v/>
      </c>
      <c r="C467" s="38" t="str">
        <f>IF(A467="","",IFERROR(VLOOKUP(A467,BILLING!$B:$I,5,FALSE),0))</f>
        <v/>
      </c>
      <c r="D467" s="38"/>
      <c r="E467" s="38" t="str">
        <f t="shared" si="1"/>
        <v/>
      </c>
      <c r="F467" s="39"/>
      <c r="G467" s="33" t="str">
        <f t="shared" si="2"/>
        <v/>
      </c>
      <c r="H467" s="33" t="str">
        <f>IF(OR(A467="",F467=""),"",F467-VLOOKUP(A467,BILLING!$B:$I,7,FALSE))</f>
        <v/>
      </c>
      <c r="I467" s="33" t="str">
        <f>IF(A467="","",IF(E467&lt;=0,"Current",IF(TODAY()-VLOOKUP(A467,BILLING!$B:$I,7,FALSE)&lt;=30,"0-30 Days",IF(TODAY()-VLOOKUP(A467,BILLING!$B:$I,7,FALSE)&lt;=60,"31-60 Days","61+ Days"))))</f>
        <v/>
      </c>
    </row>
    <row r="468" ht="15.75" customHeight="1">
      <c r="A468" s="33" t="str">
        <f>IF(BILLING!B468="","",BILLING!B468)</f>
        <v/>
      </c>
      <c r="B468" s="33" t="str">
        <f>IF(A468="","",IFERROR(VLOOKUP(VLOOKUP(VLOOKUP(A468,BILLING!$B:$I,7,FALSE),BOOKINGS!$A:$Q,3,FALSE),CLIENTS!$A:$H,2,FALSE),""))</f>
        <v/>
      </c>
      <c r="C468" s="38" t="str">
        <f>IF(A468="","",IFERROR(VLOOKUP(A468,BILLING!$B:$I,5,FALSE),0))</f>
        <v/>
      </c>
      <c r="D468" s="38"/>
      <c r="E468" s="38" t="str">
        <f t="shared" si="1"/>
        <v/>
      </c>
      <c r="F468" s="39"/>
      <c r="G468" s="33" t="str">
        <f t="shared" si="2"/>
        <v/>
      </c>
      <c r="H468" s="33" t="str">
        <f>IF(OR(A468="",F468=""),"",F468-VLOOKUP(A468,BILLING!$B:$I,7,FALSE))</f>
        <v/>
      </c>
      <c r="I468" s="33" t="str">
        <f>IF(A468="","",IF(E468&lt;=0,"Current",IF(TODAY()-VLOOKUP(A468,BILLING!$B:$I,7,FALSE)&lt;=30,"0-30 Days",IF(TODAY()-VLOOKUP(A468,BILLING!$B:$I,7,FALSE)&lt;=60,"31-60 Days","61+ Days"))))</f>
        <v/>
      </c>
    </row>
    <row r="469" ht="15.75" customHeight="1">
      <c r="A469" s="33" t="str">
        <f>IF(BILLING!B469="","",BILLING!B469)</f>
        <v/>
      </c>
      <c r="B469" s="33" t="str">
        <f>IF(A469="","",IFERROR(VLOOKUP(VLOOKUP(VLOOKUP(A469,BILLING!$B:$I,7,FALSE),BOOKINGS!$A:$Q,3,FALSE),CLIENTS!$A:$H,2,FALSE),""))</f>
        <v/>
      </c>
      <c r="C469" s="38" t="str">
        <f>IF(A469="","",IFERROR(VLOOKUP(A469,BILLING!$B:$I,5,FALSE),0))</f>
        <v/>
      </c>
      <c r="D469" s="38"/>
      <c r="E469" s="38" t="str">
        <f t="shared" si="1"/>
        <v/>
      </c>
      <c r="F469" s="39"/>
      <c r="G469" s="33" t="str">
        <f t="shared" si="2"/>
        <v/>
      </c>
      <c r="H469" s="33" t="str">
        <f>IF(OR(A469="",F469=""),"",F469-VLOOKUP(A469,BILLING!$B:$I,7,FALSE))</f>
        <v/>
      </c>
      <c r="I469" s="33" t="str">
        <f>IF(A469="","",IF(E469&lt;=0,"Current",IF(TODAY()-VLOOKUP(A469,BILLING!$B:$I,7,FALSE)&lt;=30,"0-30 Days",IF(TODAY()-VLOOKUP(A469,BILLING!$B:$I,7,FALSE)&lt;=60,"31-60 Days","61+ Days"))))</f>
        <v/>
      </c>
    </row>
    <row r="470" ht="15.75" customHeight="1">
      <c r="A470" s="33" t="str">
        <f>IF(BILLING!B470="","",BILLING!B470)</f>
        <v/>
      </c>
      <c r="B470" s="33" t="str">
        <f>IF(A470="","",IFERROR(VLOOKUP(VLOOKUP(VLOOKUP(A470,BILLING!$B:$I,7,FALSE),BOOKINGS!$A:$Q,3,FALSE),CLIENTS!$A:$H,2,FALSE),""))</f>
        <v/>
      </c>
      <c r="C470" s="38" t="str">
        <f>IF(A470="","",IFERROR(VLOOKUP(A470,BILLING!$B:$I,5,FALSE),0))</f>
        <v/>
      </c>
      <c r="D470" s="38"/>
      <c r="E470" s="38" t="str">
        <f t="shared" si="1"/>
        <v/>
      </c>
      <c r="F470" s="39"/>
      <c r="G470" s="33" t="str">
        <f t="shared" si="2"/>
        <v/>
      </c>
      <c r="H470" s="33" t="str">
        <f>IF(OR(A470="",F470=""),"",F470-VLOOKUP(A470,BILLING!$B:$I,7,FALSE))</f>
        <v/>
      </c>
      <c r="I470" s="33" t="str">
        <f>IF(A470="","",IF(E470&lt;=0,"Current",IF(TODAY()-VLOOKUP(A470,BILLING!$B:$I,7,FALSE)&lt;=30,"0-30 Days",IF(TODAY()-VLOOKUP(A470,BILLING!$B:$I,7,FALSE)&lt;=60,"31-60 Days","61+ Days"))))</f>
        <v/>
      </c>
    </row>
    <row r="471" ht="15.75" customHeight="1">
      <c r="A471" s="33" t="str">
        <f>IF(BILLING!B471="","",BILLING!B471)</f>
        <v/>
      </c>
      <c r="B471" s="33" t="str">
        <f>IF(A471="","",IFERROR(VLOOKUP(VLOOKUP(VLOOKUP(A471,BILLING!$B:$I,7,FALSE),BOOKINGS!$A:$Q,3,FALSE),CLIENTS!$A:$H,2,FALSE),""))</f>
        <v/>
      </c>
      <c r="C471" s="38" t="str">
        <f>IF(A471="","",IFERROR(VLOOKUP(A471,BILLING!$B:$I,5,FALSE),0))</f>
        <v/>
      </c>
      <c r="D471" s="38"/>
      <c r="E471" s="38" t="str">
        <f t="shared" si="1"/>
        <v/>
      </c>
      <c r="F471" s="39"/>
      <c r="G471" s="33" t="str">
        <f t="shared" si="2"/>
        <v/>
      </c>
      <c r="H471" s="33" t="str">
        <f>IF(OR(A471="",F471=""),"",F471-VLOOKUP(A471,BILLING!$B:$I,7,FALSE))</f>
        <v/>
      </c>
      <c r="I471" s="33" t="str">
        <f>IF(A471="","",IF(E471&lt;=0,"Current",IF(TODAY()-VLOOKUP(A471,BILLING!$B:$I,7,FALSE)&lt;=30,"0-30 Days",IF(TODAY()-VLOOKUP(A471,BILLING!$B:$I,7,FALSE)&lt;=60,"31-60 Days","61+ Days"))))</f>
        <v/>
      </c>
    </row>
    <row r="472" ht="15.75" customHeight="1">
      <c r="A472" s="33" t="str">
        <f>IF(BILLING!B472="","",BILLING!B472)</f>
        <v/>
      </c>
      <c r="B472" s="33" t="str">
        <f>IF(A472="","",IFERROR(VLOOKUP(VLOOKUP(VLOOKUP(A472,BILLING!$B:$I,7,FALSE),BOOKINGS!$A:$Q,3,FALSE),CLIENTS!$A:$H,2,FALSE),""))</f>
        <v/>
      </c>
      <c r="C472" s="38" t="str">
        <f>IF(A472="","",IFERROR(VLOOKUP(A472,BILLING!$B:$I,5,FALSE),0))</f>
        <v/>
      </c>
      <c r="D472" s="38"/>
      <c r="E472" s="38" t="str">
        <f t="shared" si="1"/>
        <v/>
      </c>
      <c r="F472" s="39"/>
      <c r="G472" s="33" t="str">
        <f t="shared" si="2"/>
        <v/>
      </c>
      <c r="H472" s="33" t="str">
        <f>IF(OR(A472="",F472=""),"",F472-VLOOKUP(A472,BILLING!$B:$I,7,FALSE))</f>
        <v/>
      </c>
      <c r="I472" s="33" t="str">
        <f>IF(A472="","",IF(E472&lt;=0,"Current",IF(TODAY()-VLOOKUP(A472,BILLING!$B:$I,7,FALSE)&lt;=30,"0-30 Days",IF(TODAY()-VLOOKUP(A472,BILLING!$B:$I,7,FALSE)&lt;=60,"31-60 Days","61+ Days"))))</f>
        <v/>
      </c>
    </row>
    <row r="473" ht="15.75" customHeight="1">
      <c r="A473" s="33" t="str">
        <f>IF(BILLING!B473="","",BILLING!B473)</f>
        <v/>
      </c>
      <c r="B473" s="33" t="str">
        <f>IF(A473="","",IFERROR(VLOOKUP(VLOOKUP(VLOOKUP(A473,BILLING!$B:$I,7,FALSE),BOOKINGS!$A:$Q,3,FALSE),CLIENTS!$A:$H,2,FALSE),""))</f>
        <v/>
      </c>
      <c r="C473" s="38" t="str">
        <f>IF(A473="","",IFERROR(VLOOKUP(A473,BILLING!$B:$I,5,FALSE),0))</f>
        <v/>
      </c>
      <c r="D473" s="38"/>
      <c r="E473" s="38" t="str">
        <f t="shared" si="1"/>
        <v/>
      </c>
      <c r="F473" s="39"/>
      <c r="G473" s="33" t="str">
        <f t="shared" si="2"/>
        <v/>
      </c>
      <c r="H473" s="33" t="str">
        <f>IF(OR(A473="",F473=""),"",F473-VLOOKUP(A473,BILLING!$B:$I,7,FALSE))</f>
        <v/>
      </c>
      <c r="I473" s="33" t="str">
        <f>IF(A473="","",IF(E473&lt;=0,"Current",IF(TODAY()-VLOOKUP(A473,BILLING!$B:$I,7,FALSE)&lt;=30,"0-30 Days",IF(TODAY()-VLOOKUP(A473,BILLING!$B:$I,7,FALSE)&lt;=60,"31-60 Days","61+ Days"))))</f>
        <v/>
      </c>
    </row>
    <row r="474" ht="15.75" customHeight="1">
      <c r="A474" s="33" t="str">
        <f>IF(BILLING!B474="","",BILLING!B474)</f>
        <v/>
      </c>
      <c r="B474" s="33" t="str">
        <f>IF(A474="","",IFERROR(VLOOKUP(VLOOKUP(VLOOKUP(A474,BILLING!$B:$I,7,FALSE),BOOKINGS!$A:$Q,3,FALSE),CLIENTS!$A:$H,2,FALSE),""))</f>
        <v/>
      </c>
      <c r="C474" s="38" t="str">
        <f>IF(A474="","",IFERROR(VLOOKUP(A474,BILLING!$B:$I,5,FALSE),0))</f>
        <v/>
      </c>
      <c r="D474" s="38"/>
      <c r="E474" s="38" t="str">
        <f t="shared" si="1"/>
        <v/>
      </c>
      <c r="F474" s="39"/>
      <c r="G474" s="33" t="str">
        <f t="shared" si="2"/>
        <v/>
      </c>
      <c r="H474" s="33" t="str">
        <f>IF(OR(A474="",F474=""),"",F474-VLOOKUP(A474,BILLING!$B:$I,7,FALSE))</f>
        <v/>
      </c>
      <c r="I474" s="33" t="str">
        <f>IF(A474="","",IF(E474&lt;=0,"Current",IF(TODAY()-VLOOKUP(A474,BILLING!$B:$I,7,FALSE)&lt;=30,"0-30 Days",IF(TODAY()-VLOOKUP(A474,BILLING!$B:$I,7,FALSE)&lt;=60,"31-60 Days","61+ Days"))))</f>
        <v/>
      </c>
    </row>
    <row r="475" ht="15.75" customHeight="1">
      <c r="A475" s="33" t="str">
        <f>IF(BILLING!B475="","",BILLING!B475)</f>
        <v/>
      </c>
      <c r="B475" s="33" t="str">
        <f>IF(A475="","",IFERROR(VLOOKUP(VLOOKUP(VLOOKUP(A475,BILLING!$B:$I,7,FALSE),BOOKINGS!$A:$Q,3,FALSE),CLIENTS!$A:$H,2,FALSE),""))</f>
        <v/>
      </c>
      <c r="C475" s="38" t="str">
        <f>IF(A475="","",IFERROR(VLOOKUP(A475,BILLING!$B:$I,5,FALSE),0))</f>
        <v/>
      </c>
      <c r="D475" s="38"/>
      <c r="E475" s="38" t="str">
        <f t="shared" si="1"/>
        <v/>
      </c>
      <c r="F475" s="39"/>
      <c r="G475" s="33" t="str">
        <f t="shared" si="2"/>
        <v/>
      </c>
      <c r="H475" s="33" t="str">
        <f>IF(OR(A475="",F475=""),"",F475-VLOOKUP(A475,BILLING!$B:$I,7,FALSE))</f>
        <v/>
      </c>
      <c r="I475" s="33" t="str">
        <f>IF(A475="","",IF(E475&lt;=0,"Current",IF(TODAY()-VLOOKUP(A475,BILLING!$B:$I,7,FALSE)&lt;=30,"0-30 Days",IF(TODAY()-VLOOKUP(A475,BILLING!$B:$I,7,FALSE)&lt;=60,"31-60 Days","61+ Days"))))</f>
        <v/>
      </c>
    </row>
    <row r="476" ht="15.75" customHeight="1">
      <c r="A476" s="33" t="str">
        <f>IF(BILLING!B476="","",BILLING!B476)</f>
        <v/>
      </c>
      <c r="B476" s="33" t="str">
        <f>IF(A476="","",IFERROR(VLOOKUP(VLOOKUP(VLOOKUP(A476,BILLING!$B:$I,7,FALSE),BOOKINGS!$A:$Q,3,FALSE),CLIENTS!$A:$H,2,FALSE),""))</f>
        <v/>
      </c>
      <c r="C476" s="38" t="str">
        <f>IF(A476="","",IFERROR(VLOOKUP(A476,BILLING!$B:$I,5,FALSE),0))</f>
        <v/>
      </c>
      <c r="D476" s="38"/>
      <c r="E476" s="38" t="str">
        <f t="shared" si="1"/>
        <v/>
      </c>
      <c r="F476" s="39"/>
      <c r="G476" s="33" t="str">
        <f t="shared" si="2"/>
        <v/>
      </c>
      <c r="H476" s="33" t="str">
        <f>IF(OR(A476="",F476=""),"",F476-VLOOKUP(A476,BILLING!$B:$I,7,FALSE))</f>
        <v/>
      </c>
      <c r="I476" s="33" t="str">
        <f>IF(A476="","",IF(E476&lt;=0,"Current",IF(TODAY()-VLOOKUP(A476,BILLING!$B:$I,7,FALSE)&lt;=30,"0-30 Days",IF(TODAY()-VLOOKUP(A476,BILLING!$B:$I,7,FALSE)&lt;=60,"31-60 Days","61+ Days"))))</f>
        <v/>
      </c>
    </row>
    <row r="477" ht="15.75" customHeight="1">
      <c r="A477" s="33" t="str">
        <f>IF(BILLING!B477="","",BILLING!B477)</f>
        <v/>
      </c>
      <c r="B477" s="33" t="str">
        <f>IF(A477="","",IFERROR(VLOOKUP(VLOOKUP(VLOOKUP(A477,BILLING!$B:$I,7,FALSE),BOOKINGS!$A:$Q,3,FALSE),CLIENTS!$A:$H,2,FALSE),""))</f>
        <v/>
      </c>
      <c r="C477" s="38" t="str">
        <f>IF(A477="","",IFERROR(VLOOKUP(A477,BILLING!$B:$I,5,FALSE),0))</f>
        <v/>
      </c>
      <c r="D477" s="38"/>
      <c r="E477" s="38" t="str">
        <f t="shared" si="1"/>
        <v/>
      </c>
      <c r="F477" s="39"/>
      <c r="G477" s="33" t="str">
        <f t="shared" si="2"/>
        <v/>
      </c>
      <c r="H477" s="33" t="str">
        <f>IF(OR(A477="",F477=""),"",F477-VLOOKUP(A477,BILLING!$B:$I,7,FALSE))</f>
        <v/>
      </c>
      <c r="I477" s="33" t="str">
        <f>IF(A477="","",IF(E477&lt;=0,"Current",IF(TODAY()-VLOOKUP(A477,BILLING!$B:$I,7,FALSE)&lt;=30,"0-30 Days",IF(TODAY()-VLOOKUP(A477,BILLING!$B:$I,7,FALSE)&lt;=60,"31-60 Days","61+ Days"))))</f>
        <v/>
      </c>
    </row>
    <row r="478" ht="15.75" customHeight="1">
      <c r="A478" s="33" t="str">
        <f>IF(BILLING!B478="","",BILLING!B478)</f>
        <v/>
      </c>
      <c r="B478" s="33" t="str">
        <f>IF(A478="","",IFERROR(VLOOKUP(VLOOKUP(VLOOKUP(A478,BILLING!$B:$I,7,FALSE),BOOKINGS!$A:$Q,3,FALSE),CLIENTS!$A:$H,2,FALSE),""))</f>
        <v/>
      </c>
      <c r="C478" s="38" t="str">
        <f>IF(A478="","",IFERROR(VLOOKUP(A478,BILLING!$B:$I,5,FALSE),0))</f>
        <v/>
      </c>
      <c r="D478" s="38"/>
      <c r="E478" s="38" t="str">
        <f t="shared" si="1"/>
        <v/>
      </c>
      <c r="F478" s="39"/>
      <c r="G478" s="33" t="str">
        <f t="shared" si="2"/>
        <v/>
      </c>
      <c r="H478" s="33" t="str">
        <f>IF(OR(A478="",F478=""),"",F478-VLOOKUP(A478,BILLING!$B:$I,7,FALSE))</f>
        <v/>
      </c>
      <c r="I478" s="33" t="str">
        <f>IF(A478="","",IF(E478&lt;=0,"Current",IF(TODAY()-VLOOKUP(A478,BILLING!$B:$I,7,FALSE)&lt;=30,"0-30 Days",IF(TODAY()-VLOOKUP(A478,BILLING!$B:$I,7,FALSE)&lt;=60,"31-60 Days","61+ Days"))))</f>
        <v/>
      </c>
    </row>
    <row r="479" ht="15.75" customHeight="1">
      <c r="A479" s="33" t="str">
        <f>IF(BILLING!B479="","",BILLING!B479)</f>
        <v/>
      </c>
      <c r="B479" s="33" t="str">
        <f>IF(A479="","",IFERROR(VLOOKUP(VLOOKUP(VLOOKUP(A479,BILLING!$B:$I,7,FALSE),BOOKINGS!$A:$Q,3,FALSE),CLIENTS!$A:$H,2,FALSE),""))</f>
        <v/>
      </c>
      <c r="C479" s="38" t="str">
        <f>IF(A479="","",IFERROR(VLOOKUP(A479,BILLING!$B:$I,5,FALSE),0))</f>
        <v/>
      </c>
      <c r="D479" s="38"/>
      <c r="E479" s="38" t="str">
        <f t="shared" si="1"/>
        <v/>
      </c>
      <c r="F479" s="39"/>
      <c r="G479" s="33" t="str">
        <f t="shared" si="2"/>
        <v/>
      </c>
      <c r="H479" s="33" t="str">
        <f>IF(OR(A479="",F479=""),"",F479-VLOOKUP(A479,BILLING!$B:$I,7,FALSE))</f>
        <v/>
      </c>
      <c r="I479" s="33" t="str">
        <f>IF(A479="","",IF(E479&lt;=0,"Current",IF(TODAY()-VLOOKUP(A479,BILLING!$B:$I,7,FALSE)&lt;=30,"0-30 Days",IF(TODAY()-VLOOKUP(A479,BILLING!$B:$I,7,FALSE)&lt;=60,"31-60 Days","61+ Days"))))</f>
        <v/>
      </c>
    </row>
    <row r="480" ht="15.75" customHeight="1">
      <c r="A480" s="33" t="str">
        <f>IF(BILLING!B480="","",BILLING!B480)</f>
        <v/>
      </c>
      <c r="B480" s="33" t="str">
        <f>IF(A480="","",IFERROR(VLOOKUP(VLOOKUP(VLOOKUP(A480,BILLING!$B:$I,7,FALSE),BOOKINGS!$A:$Q,3,FALSE),CLIENTS!$A:$H,2,FALSE),""))</f>
        <v/>
      </c>
      <c r="C480" s="38" t="str">
        <f>IF(A480="","",IFERROR(VLOOKUP(A480,BILLING!$B:$I,5,FALSE),0))</f>
        <v/>
      </c>
      <c r="D480" s="38"/>
      <c r="E480" s="38" t="str">
        <f t="shared" si="1"/>
        <v/>
      </c>
      <c r="F480" s="39"/>
      <c r="G480" s="33" t="str">
        <f t="shared" si="2"/>
        <v/>
      </c>
      <c r="H480" s="33" t="str">
        <f>IF(OR(A480="",F480=""),"",F480-VLOOKUP(A480,BILLING!$B:$I,7,FALSE))</f>
        <v/>
      </c>
      <c r="I480" s="33" t="str">
        <f>IF(A480="","",IF(E480&lt;=0,"Current",IF(TODAY()-VLOOKUP(A480,BILLING!$B:$I,7,FALSE)&lt;=30,"0-30 Days",IF(TODAY()-VLOOKUP(A480,BILLING!$B:$I,7,FALSE)&lt;=60,"31-60 Days","61+ Days"))))</f>
        <v/>
      </c>
    </row>
    <row r="481" ht="15.75" customHeight="1">
      <c r="A481" s="33" t="str">
        <f>IF(BILLING!B481="","",BILLING!B481)</f>
        <v/>
      </c>
      <c r="B481" s="33" t="str">
        <f>IF(A481="","",IFERROR(VLOOKUP(VLOOKUP(VLOOKUP(A481,BILLING!$B:$I,7,FALSE),BOOKINGS!$A:$Q,3,FALSE),CLIENTS!$A:$H,2,FALSE),""))</f>
        <v/>
      </c>
      <c r="C481" s="38" t="str">
        <f>IF(A481="","",IFERROR(VLOOKUP(A481,BILLING!$B:$I,5,FALSE),0))</f>
        <v/>
      </c>
      <c r="D481" s="38"/>
      <c r="E481" s="38" t="str">
        <f t="shared" si="1"/>
        <v/>
      </c>
      <c r="F481" s="39"/>
      <c r="G481" s="33" t="str">
        <f t="shared" si="2"/>
        <v/>
      </c>
      <c r="H481" s="33" t="str">
        <f>IF(OR(A481="",F481=""),"",F481-VLOOKUP(A481,BILLING!$B:$I,7,FALSE))</f>
        <v/>
      </c>
      <c r="I481" s="33" t="str">
        <f>IF(A481="","",IF(E481&lt;=0,"Current",IF(TODAY()-VLOOKUP(A481,BILLING!$B:$I,7,FALSE)&lt;=30,"0-30 Days",IF(TODAY()-VLOOKUP(A481,BILLING!$B:$I,7,FALSE)&lt;=60,"31-60 Days","61+ Days"))))</f>
        <v/>
      </c>
    </row>
    <row r="482" ht="15.75" customHeight="1">
      <c r="A482" s="33" t="str">
        <f>IF(BILLING!B482="","",BILLING!B482)</f>
        <v/>
      </c>
      <c r="B482" s="33" t="str">
        <f>IF(A482="","",IFERROR(VLOOKUP(VLOOKUP(VLOOKUP(A482,BILLING!$B:$I,7,FALSE),BOOKINGS!$A:$Q,3,FALSE),CLIENTS!$A:$H,2,FALSE),""))</f>
        <v/>
      </c>
      <c r="C482" s="38" t="str">
        <f>IF(A482="","",IFERROR(VLOOKUP(A482,BILLING!$B:$I,5,FALSE),0))</f>
        <v/>
      </c>
      <c r="D482" s="38"/>
      <c r="E482" s="38" t="str">
        <f t="shared" si="1"/>
        <v/>
      </c>
      <c r="F482" s="39"/>
      <c r="G482" s="33" t="str">
        <f t="shared" si="2"/>
        <v/>
      </c>
      <c r="H482" s="33" t="str">
        <f>IF(OR(A482="",F482=""),"",F482-VLOOKUP(A482,BILLING!$B:$I,7,FALSE))</f>
        <v/>
      </c>
      <c r="I482" s="33" t="str">
        <f>IF(A482="","",IF(E482&lt;=0,"Current",IF(TODAY()-VLOOKUP(A482,BILLING!$B:$I,7,FALSE)&lt;=30,"0-30 Days",IF(TODAY()-VLOOKUP(A482,BILLING!$B:$I,7,FALSE)&lt;=60,"31-60 Days","61+ Days"))))</f>
        <v/>
      </c>
    </row>
    <row r="483" ht="15.75" customHeight="1">
      <c r="A483" s="33" t="str">
        <f>IF(BILLING!B483="","",BILLING!B483)</f>
        <v/>
      </c>
      <c r="B483" s="33" t="str">
        <f>IF(A483="","",IFERROR(VLOOKUP(VLOOKUP(VLOOKUP(A483,BILLING!$B:$I,7,FALSE),BOOKINGS!$A:$Q,3,FALSE),CLIENTS!$A:$H,2,FALSE),""))</f>
        <v/>
      </c>
      <c r="C483" s="38" t="str">
        <f>IF(A483="","",IFERROR(VLOOKUP(A483,BILLING!$B:$I,5,FALSE),0))</f>
        <v/>
      </c>
      <c r="D483" s="38"/>
      <c r="E483" s="38" t="str">
        <f t="shared" si="1"/>
        <v/>
      </c>
      <c r="F483" s="39"/>
      <c r="G483" s="33" t="str">
        <f t="shared" si="2"/>
        <v/>
      </c>
      <c r="H483" s="33" t="str">
        <f>IF(OR(A483="",F483=""),"",F483-VLOOKUP(A483,BILLING!$B:$I,7,FALSE))</f>
        <v/>
      </c>
      <c r="I483" s="33" t="str">
        <f>IF(A483="","",IF(E483&lt;=0,"Current",IF(TODAY()-VLOOKUP(A483,BILLING!$B:$I,7,FALSE)&lt;=30,"0-30 Days",IF(TODAY()-VLOOKUP(A483,BILLING!$B:$I,7,FALSE)&lt;=60,"31-60 Days","61+ Days"))))</f>
        <v/>
      </c>
    </row>
    <row r="484" ht="15.75" customHeight="1">
      <c r="A484" s="33" t="str">
        <f>IF(BILLING!B484="","",BILLING!B484)</f>
        <v/>
      </c>
      <c r="B484" s="33" t="str">
        <f>IF(A484="","",IFERROR(VLOOKUP(VLOOKUP(VLOOKUP(A484,BILLING!$B:$I,7,FALSE),BOOKINGS!$A:$Q,3,FALSE),CLIENTS!$A:$H,2,FALSE),""))</f>
        <v/>
      </c>
      <c r="C484" s="38" t="str">
        <f>IF(A484="","",IFERROR(VLOOKUP(A484,BILLING!$B:$I,5,FALSE),0))</f>
        <v/>
      </c>
      <c r="D484" s="38"/>
      <c r="E484" s="38" t="str">
        <f t="shared" si="1"/>
        <v/>
      </c>
      <c r="F484" s="39"/>
      <c r="G484" s="33" t="str">
        <f t="shared" si="2"/>
        <v/>
      </c>
      <c r="H484" s="33" t="str">
        <f>IF(OR(A484="",F484=""),"",F484-VLOOKUP(A484,BILLING!$B:$I,7,FALSE))</f>
        <v/>
      </c>
      <c r="I484" s="33" t="str">
        <f>IF(A484="","",IF(E484&lt;=0,"Current",IF(TODAY()-VLOOKUP(A484,BILLING!$B:$I,7,FALSE)&lt;=30,"0-30 Days",IF(TODAY()-VLOOKUP(A484,BILLING!$B:$I,7,FALSE)&lt;=60,"31-60 Days","61+ Days"))))</f>
        <v/>
      </c>
    </row>
    <row r="485" ht="15.75" customHeight="1">
      <c r="A485" s="33" t="str">
        <f>IF(BILLING!B485="","",BILLING!B485)</f>
        <v/>
      </c>
      <c r="B485" s="33" t="str">
        <f>IF(A485="","",IFERROR(VLOOKUP(VLOOKUP(VLOOKUP(A485,BILLING!$B:$I,7,FALSE),BOOKINGS!$A:$Q,3,FALSE),CLIENTS!$A:$H,2,FALSE),""))</f>
        <v/>
      </c>
      <c r="C485" s="38" t="str">
        <f>IF(A485="","",IFERROR(VLOOKUP(A485,BILLING!$B:$I,5,FALSE),0))</f>
        <v/>
      </c>
      <c r="D485" s="38"/>
      <c r="E485" s="38" t="str">
        <f t="shared" si="1"/>
        <v/>
      </c>
      <c r="F485" s="39"/>
      <c r="G485" s="33" t="str">
        <f t="shared" si="2"/>
        <v/>
      </c>
      <c r="H485" s="33" t="str">
        <f>IF(OR(A485="",F485=""),"",F485-VLOOKUP(A485,BILLING!$B:$I,7,FALSE))</f>
        <v/>
      </c>
      <c r="I485" s="33" t="str">
        <f>IF(A485="","",IF(E485&lt;=0,"Current",IF(TODAY()-VLOOKUP(A485,BILLING!$B:$I,7,FALSE)&lt;=30,"0-30 Days",IF(TODAY()-VLOOKUP(A485,BILLING!$B:$I,7,FALSE)&lt;=60,"31-60 Days","61+ Days"))))</f>
        <v/>
      </c>
    </row>
    <row r="486" ht="15.75" customHeight="1">
      <c r="A486" s="33" t="str">
        <f>IF(BILLING!B486="","",BILLING!B486)</f>
        <v/>
      </c>
      <c r="B486" s="33" t="str">
        <f>IF(A486="","",IFERROR(VLOOKUP(VLOOKUP(VLOOKUP(A486,BILLING!$B:$I,7,FALSE),BOOKINGS!$A:$Q,3,FALSE),CLIENTS!$A:$H,2,FALSE),""))</f>
        <v/>
      </c>
      <c r="C486" s="38" t="str">
        <f>IF(A486="","",IFERROR(VLOOKUP(A486,BILLING!$B:$I,5,FALSE),0))</f>
        <v/>
      </c>
      <c r="D486" s="38"/>
      <c r="E486" s="38" t="str">
        <f t="shared" si="1"/>
        <v/>
      </c>
      <c r="F486" s="39"/>
      <c r="G486" s="33" t="str">
        <f t="shared" si="2"/>
        <v/>
      </c>
      <c r="H486" s="33" t="str">
        <f>IF(OR(A486="",F486=""),"",F486-VLOOKUP(A486,BILLING!$B:$I,7,FALSE))</f>
        <v/>
      </c>
      <c r="I486" s="33" t="str">
        <f>IF(A486="","",IF(E486&lt;=0,"Current",IF(TODAY()-VLOOKUP(A486,BILLING!$B:$I,7,FALSE)&lt;=30,"0-30 Days",IF(TODAY()-VLOOKUP(A486,BILLING!$B:$I,7,FALSE)&lt;=60,"31-60 Days","61+ Days"))))</f>
        <v/>
      </c>
    </row>
    <row r="487" ht="15.75" customHeight="1">
      <c r="A487" s="33" t="str">
        <f>IF(BILLING!B487="","",BILLING!B487)</f>
        <v/>
      </c>
      <c r="B487" s="33" t="str">
        <f>IF(A487="","",IFERROR(VLOOKUP(VLOOKUP(VLOOKUP(A487,BILLING!$B:$I,7,FALSE),BOOKINGS!$A:$Q,3,FALSE),CLIENTS!$A:$H,2,FALSE),""))</f>
        <v/>
      </c>
      <c r="C487" s="38" t="str">
        <f>IF(A487="","",IFERROR(VLOOKUP(A487,BILLING!$B:$I,5,FALSE),0))</f>
        <v/>
      </c>
      <c r="D487" s="38"/>
      <c r="E487" s="38" t="str">
        <f t="shared" si="1"/>
        <v/>
      </c>
      <c r="F487" s="39"/>
      <c r="G487" s="33" t="str">
        <f t="shared" si="2"/>
        <v/>
      </c>
      <c r="H487" s="33" t="str">
        <f>IF(OR(A487="",F487=""),"",F487-VLOOKUP(A487,BILLING!$B:$I,7,FALSE))</f>
        <v/>
      </c>
      <c r="I487" s="33" t="str">
        <f>IF(A487="","",IF(E487&lt;=0,"Current",IF(TODAY()-VLOOKUP(A487,BILLING!$B:$I,7,FALSE)&lt;=30,"0-30 Days",IF(TODAY()-VLOOKUP(A487,BILLING!$B:$I,7,FALSE)&lt;=60,"31-60 Days","61+ Days"))))</f>
        <v/>
      </c>
    </row>
    <row r="488" ht="15.75" customHeight="1">
      <c r="A488" s="33" t="str">
        <f>IF(BILLING!B488="","",BILLING!B488)</f>
        <v/>
      </c>
      <c r="B488" s="33" t="str">
        <f>IF(A488="","",IFERROR(VLOOKUP(VLOOKUP(VLOOKUP(A488,BILLING!$B:$I,7,FALSE),BOOKINGS!$A:$Q,3,FALSE),CLIENTS!$A:$H,2,FALSE),""))</f>
        <v/>
      </c>
      <c r="C488" s="38" t="str">
        <f>IF(A488="","",IFERROR(VLOOKUP(A488,BILLING!$B:$I,5,FALSE),0))</f>
        <v/>
      </c>
      <c r="D488" s="38"/>
      <c r="E488" s="38" t="str">
        <f t="shared" si="1"/>
        <v/>
      </c>
      <c r="F488" s="39"/>
      <c r="G488" s="33" t="str">
        <f t="shared" si="2"/>
        <v/>
      </c>
      <c r="H488" s="33" t="str">
        <f>IF(OR(A488="",F488=""),"",F488-VLOOKUP(A488,BILLING!$B:$I,7,FALSE))</f>
        <v/>
      </c>
      <c r="I488" s="33" t="str">
        <f>IF(A488="","",IF(E488&lt;=0,"Current",IF(TODAY()-VLOOKUP(A488,BILLING!$B:$I,7,FALSE)&lt;=30,"0-30 Days",IF(TODAY()-VLOOKUP(A488,BILLING!$B:$I,7,FALSE)&lt;=60,"31-60 Days","61+ Days"))))</f>
        <v/>
      </c>
    </row>
    <row r="489" ht="15.75" customHeight="1">
      <c r="A489" s="33" t="str">
        <f>IF(BILLING!B489="","",BILLING!B489)</f>
        <v/>
      </c>
      <c r="B489" s="33" t="str">
        <f>IF(A489="","",IFERROR(VLOOKUP(VLOOKUP(VLOOKUP(A489,BILLING!$B:$I,7,FALSE),BOOKINGS!$A:$Q,3,FALSE),CLIENTS!$A:$H,2,FALSE),""))</f>
        <v/>
      </c>
      <c r="C489" s="38" t="str">
        <f>IF(A489="","",IFERROR(VLOOKUP(A489,BILLING!$B:$I,5,FALSE),0))</f>
        <v/>
      </c>
      <c r="D489" s="38"/>
      <c r="E489" s="38" t="str">
        <f t="shared" si="1"/>
        <v/>
      </c>
      <c r="F489" s="39"/>
      <c r="G489" s="33" t="str">
        <f t="shared" si="2"/>
        <v/>
      </c>
      <c r="H489" s="33" t="str">
        <f>IF(OR(A489="",F489=""),"",F489-VLOOKUP(A489,BILLING!$B:$I,7,FALSE))</f>
        <v/>
      </c>
      <c r="I489" s="33" t="str">
        <f>IF(A489="","",IF(E489&lt;=0,"Current",IF(TODAY()-VLOOKUP(A489,BILLING!$B:$I,7,FALSE)&lt;=30,"0-30 Days",IF(TODAY()-VLOOKUP(A489,BILLING!$B:$I,7,FALSE)&lt;=60,"31-60 Days","61+ Days"))))</f>
        <v/>
      </c>
    </row>
    <row r="490" ht="15.75" customHeight="1">
      <c r="A490" s="33" t="str">
        <f>IF(BILLING!B490="","",BILLING!B490)</f>
        <v/>
      </c>
      <c r="B490" s="33" t="str">
        <f>IF(A490="","",IFERROR(VLOOKUP(VLOOKUP(VLOOKUP(A490,BILLING!$B:$I,7,FALSE),BOOKINGS!$A:$Q,3,FALSE),CLIENTS!$A:$H,2,FALSE),""))</f>
        <v/>
      </c>
      <c r="C490" s="38" t="str">
        <f>IF(A490="","",IFERROR(VLOOKUP(A490,BILLING!$B:$I,5,FALSE),0))</f>
        <v/>
      </c>
      <c r="D490" s="38"/>
      <c r="E490" s="38" t="str">
        <f t="shared" si="1"/>
        <v/>
      </c>
      <c r="F490" s="39"/>
      <c r="G490" s="33" t="str">
        <f t="shared" si="2"/>
        <v/>
      </c>
      <c r="H490" s="33" t="str">
        <f>IF(OR(A490="",F490=""),"",F490-VLOOKUP(A490,BILLING!$B:$I,7,FALSE))</f>
        <v/>
      </c>
      <c r="I490" s="33" t="str">
        <f>IF(A490="","",IF(E490&lt;=0,"Current",IF(TODAY()-VLOOKUP(A490,BILLING!$B:$I,7,FALSE)&lt;=30,"0-30 Days",IF(TODAY()-VLOOKUP(A490,BILLING!$B:$I,7,FALSE)&lt;=60,"31-60 Days","61+ Days"))))</f>
        <v/>
      </c>
    </row>
    <row r="491" ht="15.75" customHeight="1">
      <c r="A491" s="33" t="str">
        <f>IF(BILLING!B491="","",BILLING!B491)</f>
        <v/>
      </c>
      <c r="B491" s="33" t="str">
        <f>IF(A491="","",IFERROR(VLOOKUP(VLOOKUP(VLOOKUP(A491,BILLING!$B:$I,7,FALSE),BOOKINGS!$A:$Q,3,FALSE),CLIENTS!$A:$H,2,FALSE),""))</f>
        <v/>
      </c>
      <c r="C491" s="38" t="str">
        <f>IF(A491="","",IFERROR(VLOOKUP(A491,BILLING!$B:$I,5,FALSE),0))</f>
        <v/>
      </c>
      <c r="D491" s="38"/>
      <c r="E491" s="38" t="str">
        <f t="shared" si="1"/>
        <v/>
      </c>
      <c r="F491" s="39"/>
      <c r="G491" s="33" t="str">
        <f t="shared" si="2"/>
        <v/>
      </c>
      <c r="H491" s="33" t="str">
        <f>IF(OR(A491="",F491=""),"",F491-VLOOKUP(A491,BILLING!$B:$I,7,FALSE))</f>
        <v/>
      </c>
      <c r="I491" s="33" t="str">
        <f>IF(A491="","",IF(E491&lt;=0,"Current",IF(TODAY()-VLOOKUP(A491,BILLING!$B:$I,7,FALSE)&lt;=30,"0-30 Days",IF(TODAY()-VLOOKUP(A491,BILLING!$B:$I,7,FALSE)&lt;=60,"31-60 Days","61+ Days"))))</f>
        <v/>
      </c>
    </row>
    <row r="492" ht="15.75" customHeight="1">
      <c r="A492" s="33" t="str">
        <f>IF(BILLING!B492="","",BILLING!B492)</f>
        <v/>
      </c>
      <c r="B492" s="33" t="str">
        <f>IF(A492="","",IFERROR(VLOOKUP(VLOOKUP(VLOOKUP(A492,BILLING!$B:$I,7,FALSE),BOOKINGS!$A:$Q,3,FALSE),CLIENTS!$A:$H,2,FALSE),""))</f>
        <v/>
      </c>
      <c r="C492" s="38" t="str">
        <f>IF(A492="","",IFERROR(VLOOKUP(A492,BILLING!$B:$I,5,FALSE),0))</f>
        <v/>
      </c>
      <c r="D492" s="38"/>
      <c r="E492" s="38" t="str">
        <f t="shared" si="1"/>
        <v/>
      </c>
      <c r="F492" s="39"/>
      <c r="G492" s="33" t="str">
        <f t="shared" si="2"/>
        <v/>
      </c>
      <c r="H492" s="33" t="str">
        <f>IF(OR(A492="",F492=""),"",F492-VLOOKUP(A492,BILLING!$B:$I,7,FALSE))</f>
        <v/>
      </c>
      <c r="I492" s="33" t="str">
        <f>IF(A492="","",IF(E492&lt;=0,"Current",IF(TODAY()-VLOOKUP(A492,BILLING!$B:$I,7,FALSE)&lt;=30,"0-30 Days",IF(TODAY()-VLOOKUP(A492,BILLING!$B:$I,7,FALSE)&lt;=60,"31-60 Days","61+ Days"))))</f>
        <v/>
      </c>
    </row>
    <row r="493" ht="15.75" customHeight="1">
      <c r="A493" s="33" t="str">
        <f>IF(BILLING!B493="","",BILLING!B493)</f>
        <v/>
      </c>
      <c r="B493" s="33" t="str">
        <f>IF(A493="","",IFERROR(VLOOKUP(VLOOKUP(VLOOKUP(A493,BILLING!$B:$I,7,FALSE),BOOKINGS!$A:$Q,3,FALSE),CLIENTS!$A:$H,2,FALSE),""))</f>
        <v/>
      </c>
      <c r="C493" s="38" t="str">
        <f>IF(A493="","",IFERROR(VLOOKUP(A493,BILLING!$B:$I,5,FALSE),0))</f>
        <v/>
      </c>
      <c r="D493" s="38"/>
      <c r="E493" s="38" t="str">
        <f t="shared" si="1"/>
        <v/>
      </c>
      <c r="F493" s="39"/>
      <c r="G493" s="33" t="str">
        <f t="shared" si="2"/>
        <v/>
      </c>
      <c r="H493" s="33" t="str">
        <f>IF(OR(A493="",F493=""),"",F493-VLOOKUP(A493,BILLING!$B:$I,7,FALSE))</f>
        <v/>
      </c>
      <c r="I493" s="33" t="str">
        <f>IF(A493="","",IF(E493&lt;=0,"Current",IF(TODAY()-VLOOKUP(A493,BILLING!$B:$I,7,FALSE)&lt;=30,"0-30 Days",IF(TODAY()-VLOOKUP(A493,BILLING!$B:$I,7,FALSE)&lt;=60,"31-60 Days","61+ Days"))))</f>
        <v/>
      </c>
    </row>
    <row r="494" ht="15.75" customHeight="1">
      <c r="A494" s="33" t="str">
        <f>IF(BILLING!B494="","",BILLING!B494)</f>
        <v/>
      </c>
      <c r="B494" s="33" t="str">
        <f>IF(A494="","",IFERROR(VLOOKUP(VLOOKUP(VLOOKUP(A494,BILLING!$B:$I,7,FALSE),BOOKINGS!$A:$Q,3,FALSE),CLIENTS!$A:$H,2,FALSE),""))</f>
        <v/>
      </c>
      <c r="C494" s="38" t="str">
        <f>IF(A494="","",IFERROR(VLOOKUP(A494,BILLING!$B:$I,5,FALSE),0))</f>
        <v/>
      </c>
      <c r="D494" s="38"/>
      <c r="E494" s="38" t="str">
        <f t="shared" si="1"/>
        <v/>
      </c>
      <c r="F494" s="39"/>
      <c r="G494" s="33" t="str">
        <f t="shared" si="2"/>
        <v/>
      </c>
      <c r="H494" s="33" t="str">
        <f>IF(OR(A494="",F494=""),"",F494-VLOOKUP(A494,BILLING!$B:$I,7,FALSE))</f>
        <v/>
      </c>
      <c r="I494" s="33" t="str">
        <f>IF(A494="","",IF(E494&lt;=0,"Current",IF(TODAY()-VLOOKUP(A494,BILLING!$B:$I,7,FALSE)&lt;=30,"0-30 Days",IF(TODAY()-VLOOKUP(A494,BILLING!$B:$I,7,FALSE)&lt;=60,"31-60 Days","61+ Days"))))</f>
        <v/>
      </c>
    </row>
    <row r="495" ht="15.75" customHeight="1">
      <c r="A495" s="33" t="str">
        <f>IF(BILLING!B495="","",BILLING!B495)</f>
        <v/>
      </c>
      <c r="B495" s="33" t="str">
        <f>IF(A495="","",IFERROR(VLOOKUP(VLOOKUP(VLOOKUP(A495,BILLING!$B:$I,7,FALSE),BOOKINGS!$A:$Q,3,FALSE),CLIENTS!$A:$H,2,FALSE),""))</f>
        <v/>
      </c>
      <c r="C495" s="38" t="str">
        <f>IF(A495="","",IFERROR(VLOOKUP(A495,BILLING!$B:$I,5,FALSE),0))</f>
        <v/>
      </c>
      <c r="D495" s="38"/>
      <c r="E495" s="38" t="str">
        <f t="shared" si="1"/>
        <v/>
      </c>
      <c r="F495" s="39"/>
      <c r="G495" s="33" t="str">
        <f t="shared" si="2"/>
        <v/>
      </c>
      <c r="H495" s="33" t="str">
        <f>IF(OR(A495="",F495=""),"",F495-VLOOKUP(A495,BILLING!$B:$I,7,FALSE))</f>
        <v/>
      </c>
      <c r="I495" s="33" t="str">
        <f>IF(A495="","",IF(E495&lt;=0,"Current",IF(TODAY()-VLOOKUP(A495,BILLING!$B:$I,7,FALSE)&lt;=30,"0-30 Days",IF(TODAY()-VLOOKUP(A495,BILLING!$B:$I,7,FALSE)&lt;=60,"31-60 Days","61+ Days"))))</f>
        <v/>
      </c>
    </row>
    <row r="496" ht="15.75" customHeight="1">
      <c r="A496" s="33" t="str">
        <f>IF(BILLING!B496="","",BILLING!B496)</f>
        <v/>
      </c>
      <c r="B496" s="33" t="str">
        <f>IF(A496="","",IFERROR(VLOOKUP(VLOOKUP(VLOOKUP(A496,BILLING!$B:$I,7,FALSE),BOOKINGS!$A:$Q,3,FALSE),CLIENTS!$A:$H,2,FALSE),""))</f>
        <v/>
      </c>
      <c r="C496" s="38" t="str">
        <f>IF(A496="","",IFERROR(VLOOKUP(A496,BILLING!$B:$I,5,FALSE),0))</f>
        <v/>
      </c>
      <c r="D496" s="38"/>
      <c r="E496" s="38" t="str">
        <f t="shared" si="1"/>
        <v/>
      </c>
      <c r="F496" s="39"/>
      <c r="G496" s="33" t="str">
        <f t="shared" si="2"/>
        <v/>
      </c>
      <c r="H496" s="33" t="str">
        <f>IF(OR(A496="",F496=""),"",F496-VLOOKUP(A496,BILLING!$B:$I,7,FALSE))</f>
        <v/>
      </c>
      <c r="I496" s="33" t="str">
        <f>IF(A496="","",IF(E496&lt;=0,"Current",IF(TODAY()-VLOOKUP(A496,BILLING!$B:$I,7,FALSE)&lt;=30,"0-30 Days",IF(TODAY()-VLOOKUP(A496,BILLING!$B:$I,7,FALSE)&lt;=60,"31-60 Days","61+ Days"))))</f>
        <v/>
      </c>
    </row>
    <row r="497" ht="15.75" customHeight="1">
      <c r="A497" s="33" t="str">
        <f>IF(BILLING!B497="","",BILLING!B497)</f>
        <v/>
      </c>
      <c r="B497" s="33" t="str">
        <f>IF(A497="","",IFERROR(VLOOKUP(VLOOKUP(VLOOKUP(A497,BILLING!$B:$I,7,FALSE),BOOKINGS!$A:$Q,3,FALSE),CLIENTS!$A:$H,2,FALSE),""))</f>
        <v/>
      </c>
      <c r="C497" s="38" t="str">
        <f>IF(A497="","",IFERROR(VLOOKUP(A497,BILLING!$B:$I,5,FALSE),0))</f>
        <v/>
      </c>
      <c r="D497" s="38"/>
      <c r="E497" s="38" t="str">
        <f t="shared" si="1"/>
        <v/>
      </c>
      <c r="F497" s="39"/>
      <c r="G497" s="33" t="str">
        <f t="shared" si="2"/>
        <v/>
      </c>
      <c r="H497" s="33" t="str">
        <f>IF(OR(A497="",F497=""),"",F497-VLOOKUP(A497,BILLING!$B:$I,7,FALSE))</f>
        <v/>
      </c>
      <c r="I497" s="33" t="str">
        <f>IF(A497="","",IF(E497&lt;=0,"Current",IF(TODAY()-VLOOKUP(A497,BILLING!$B:$I,7,FALSE)&lt;=30,"0-30 Days",IF(TODAY()-VLOOKUP(A497,BILLING!$B:$I,7,FALSE)&lt;=60,"31-60 Days","61+ Days"))))</f>
        <v/>
      </c>
    </row>
    <row r="498" ht="15.75" customHeight="1">
      <c r="A498" s="33" t="str">
        <f>IF(BILLING!B498="","",BILLING!B498)</f>
        <v/>
      </c>
      <c r="B498" s="33" t="str">
        <f>IF(A498="","",IFERROR(VLOOKUP(VLOOKUP(VLOOKUP(A498,BILLING!$B:$I,7,FALSE),BOOKINGS!$A:$Q,3,FALSE),CLIENTS!$A:$H,2,FALSE),""))</f>
        <v/>
      </c>
      <c r="C498" s="38" t="str">
        <f>IF(A498="","",IFERROR(VLOOKUP(A498,BILLING!$B:$I,5,FALSE),0))</f>
        <v/>
      </c>
      <c r="D498" s="38"/>
      <c r="E498" s="38" t="str">
        <f t="shared" si="1"/>
        <v/>
      </c>
      <c r="F498" s="39"/>
      <c r="G498" s="33" t="str">
        <f t="shared" si="2"/>
        <v/>
      </c>
      <c r="H498" s="33" t="str">
        <f>IF(OR(A498="",F498=""),"",F498-VLOOKUP(A498,BILLING!$B:$I,7,FALSE))</f>
        <v/>
      </c>
      <c r="I498" s="33" t="str">
        <f>IF(A498="","",IF(E498&lt;=0,"Current",IF(TODAY()-VLOOKUP(A498,BILLING!$B:$I,7,FALSE)&lt;=30,"0-30 Days",IF(TODAY()-VLOOKUP(A498,BILLING!$B:$I,7,FALSE)&lt;=60,"31-60 Days","61+ Days"))))</f>
        <v/>
      </c>
    </row>
    <row r="499" ht="15.75" customHeight="1">
      <c r="A499" s="33" t="str">
        <f>IF(BILLING!B499="","",BILLING!B499)</f>
        <v/>
      </c>
      <c r="B499" s="33" t="str">
        <f>IF(A499="","",IFERROR(VLOOKUP(VLOOKUP(VLOOKUP(A499,BILLING!$B:$I,7,FALSE),BOOKINGS!$A:$Q,3,FALSE),CLIENTS!$A:$H,2,FALSE),""))</f>
        <v/>
      </c>
      <c r="C499" s="38" t="str">
        <f>IF(A499="","",IFERROR(VLOOKUP(A499,BILLING!$B:$I,5,FALSE),0))</f>
        <v/>
      </c>
      <c r="D499" s="38"/>
      <c r="E499" s="38" t="str">
        <f t="shared" si="1"/>
        <v/>
      </c>
      <c r="F499" s="39"/>
      <c r="G499" s="33" t="str">
        <f t="shared" si="2"/>
        <v/>
      </c>
      <c r="H499" s="33" t="str">
        <f>IF(OR(A499="",F499=""),"",F499-VLOOKUP(A499,BILLING!$B:$I,7,FALSE))</f>
        <v/>
      </c>
      <c r="I499" s="33" t="str">
        <f>IF(A499="","",IF(E499&lt;=0,"Current",IF(TODAY()-VLOOKUP(A499,BILLING!$B:$I,7,FALSE)&lt;=30,"0-30 Days",IF(TODAY()-VLOOKUP(A499,BILLING!$B:$I,7,FALSE)&lt;=60,"31-60 Days","61+ Days"))))</f>
        <v/>
      </c>
    </row>
    <row r="500" ht="15.75" customHeight="1">
      <c r="A500" s="33" t="str">
        <f>IF(BILLING!B500="","",BILLING!B500)</f>
        <v/>
      </c>
      <c r="B500" s="33" t="str">
        <f>IF(A500="","",IFERROR(VLOOKUP(VLOOKUP(VLOOKUP(A500,BILLING!$B:$I,7,FALSE),BOOKINGS!$A:$Q,3,FALSE),CLIENTS!$A:$H,2,FALSE),""))</f>
        <v/>
      </c>
      <c r="C500" s="38" t="str">
        <f>IF(A500="","",IFERROR(VLOOKUP(A500,BILLING!$B:$I,5,FALSE),0))</f>
        <v/>
      </c>
      <c r="D500" s="38"/>
      <c r="E500" s="38" t="str">
        <f t="shared" si="1"/>
        <v/>
      </c>
      <c r="F500" s="39"/>
      <c r="G500" s="33" t="str">
        <f t="shared" si="2"/>
        <v/>
      </c>
      <c r="H500" s="33" t="str">
        <f>IF(OR(A500="",F500=""),"",F500-VLOOKUP(A500,BILLING!$B:$I,7,FALSE))</f>
        <v/>
      </c>
      <c r="I500" s="33" t="str">
        <f>IF(A500="","",IF(E500&lt;=0,"Current",IF(TODAY()-VLOOKUP(A500,BILLING!$B:$I,7,FALSE)&lt;=30,"0-30 Days",IF(TODAY()-VLOOKUP(A500,BILLING!$B:$I,7,FALSE)&lt;=60,"31-60 Days","61+ Days"))))</f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500">
    <cfRule type="expression" dxfId="5" priority="1">
      <formula>E2&gt;0</formula>
    </cfRule>
  </conditionalFormatting>
  <dataValidations>
    <dataValidation type="list" allowBlank="1" sqref="G2:G500">
      <formula1>"Unpaid,Partial,Paid"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0"/>
    <col customWidth="1" min="3" max="3" width="18.86"/>
    <col customWidth="1" min="4" max="4" width="19.43"/>
    <col customWidth="1" min="5" max="6" width="13.29"/>
    <col customWidth="1" min="7" max="7" width="17.86"/>
    <col customWidth="1" min="8" max="8" width="9.29"/>
    <col customWidth="1" min="9" max="9" width="13.71"/>
    <col customWidth="1" min="10" max="10" width="12.57"/>
    <col customWidth="1" min="11" max="11" width="13.14"/>
    <col customWidth="1" hidden="1" min="12" max="17" width="8.71"/>
    <col customWidth="1" min="18" max="26" width="8.71"/>
  </cols>
  <sheetData>
    <row r="1" ht="16.5" customHeight="1">
      <c r="A1" s="29" t="s">
        <v>125</v>
      </c>
      <c r="B1" s="29" t="s">
        <v>185</v>
      </c>
      <c r="C1" s="29" t="s">
        <v>186</v>
      </c>
      <c r="D1" s="29" t="s">
        <v>187</v>
      </c>
      <c r="E1" s="29" t="s">
        <v>188</v>
      </c>
      <c r="F1" s="29" t="s">
        <v>189</v>
      </c>
      <c r="G1" s="29" t="s">
        <v>190</v>
      </c>
      <c r="H1" s="29" t="s">
        <v>191</v>
      </c>
      <c r="I1" s="3" t="s">
        <v>192</v>
      </c>
      <c r="J1" s="3" t="s">
        <v>193</v>
      </c>
      <c r="K1" s="3" t="s">
        <v>194</v>
      </c>
      <c r="L1" s="3"/>
      <c r="M1" s="3"/>
      <c r="N1" s="3"/>
      <c r="O1" s="3"/>
      <c r="P1" s="3"/>
      <c r="Q1" s="3"/>
    </row>
    <row r="2" ht="16.5" customHeight="1">
      <c r="A2" s="31"/>
      <c r="B2" s="31"/>
      <c r="C2" s="31"/>
      <c r="D2" s="31"/>
      <c r="E2" s="31"/>
      <c r="F2" s="31"/>
      <c r="G2" s="31"/>
      <c r="H2" s="31"/>
      <c r="I2" s="33" t="str">
        <f t="shared" ref="I2:K2" si="1">IF(B2="","",IF(B2&gt;=4,"A",IF(B2&gt;=3,"B","C")))</f>
        <v/>
      </c>
      <c r="J2" s="33" t="str">
        <f t="shared" si="1"/>
        <v/>
      </c>
      <c r="K2" s="33" t="str">
        <f t="shared" si="1"/>
        <v/>
      </c>
    </row>
    <row r="3" ht="16.5" customHeight="1">
      <c r="B3" s="33"/>
      <c r="C3" s="33"/>
      <c r="D3" s="33"/>
      <c r="F3" s="33"/>
      <c r="I3" s="33" t="str">
        <f t="shared" ref="I3:K3" si="2">IF(B3="","",IF(B3&gt;=4,"A",IF(B3&gt;=3,"B","C")))</f>
        <v/>
      </c>
      <c r="J3" s="33" t="str">
        <f t="shared" si="2"/>
        <v/>
      </c>
      <c r="K3" s="33" t="str">
        <f t="shared" si="2"/>
        <v/>
      </c>
    </row>
    <row r="4" ht="16.5" customHeight="1">
      <c r="B4" s="33"/>
      <c r="C4" s="33"/>
      <c r="D4" s="33"/>
      <c r="F4" s="33"/>
      <c r="I4" s="33" t="str">
        <f t="shared" ref="I4:K4" si="3">IF(B4="","",IF(B4&gt;=4,"A",IF(B4&gt;=3,"B","C")))</f>
        <v/>
      </c>
      <c r="J4" s="33" t="str">
        <f t="shared" si="3"/>
        <v/>
      </c>
      <c r="K4" s="33" t="str">
        <f t="shared" si="3"/>
        <v/>
      </c>
    </row>
    <row r="5" ht="16.5" customHeight="1">
      <c r="B5" s="33"/>
      <c r="C5" s="33"/>
      <c r="D5" s="33"/>
      <c r="F5" s="33"/>
      <c r="I5" s="33" t="str">
        <f t="shared" ref="I5:K5" si="4">IF(B5="","",IF(B5&gt;=4,"A",IF(B5&gt;=3,"B","C")))</f>
        <v/>
      </c>
      <c r="J5" s="33" t="str">
        <f t="shared" si="4"/>
        <v/>
      </c>
      <c r="K5" s="33" t="str">
        <f t="shared" si="4"/>
        <v/>
      </c>
    </row>
    <row r="6" ht="16.5" customHeight="1">
      <c r="B6" s="33"/>
      <c r="C6" s="33"/>
      <c r="D6" s="33"/>
      <c r="F6" s="33"/>
      <c r="I6" s="33" t="str">
        <f t="shared" ref="I6:K6" si="5">IF(B6="","",IF(B6&gt;=4,"A",IF(B6&gt;=3,"B","C")))</f>
        <v/>
      </c>
      <c r="J6" s="33" t="str">
        <f t="shared" si="5"/>
        <v/>
      </c>
      <c r="K6" s="33" t="str">
        <f t="shared" si="5"/>
        <v/>
      </c>
    </row>
    <row r="7" ht="16.5" customHeight="1">
      <c r="B7" s="33"/>
      <c r="C7" s="33"/>
      <c r="D7" s="33"/>
      <c r="F7" s="33"/>
      <c r="I7" s="33" t="str">
        <f t="shared" ref="I7:K7" si="6">IF(B7="","",IF(B7&gt;=4,"A",IF(B7&gt;=3,"B","C")))</f>
        <v/>
      </c>
      <c r="J7" s="33" t="str">
        <f t="shared" si="6"/>
        <v/>
      </c>
      <c r="K7" s="33" t="str">
        <f t="shared" si="6"/>
        <v/>
      </c>
    </row>
    <row r="8" ht="16.5" customHeight="1">
      <c r="B8" s="33"/>
      <c r="C8" s="33"/>
      <c r="D8" s="33"/>
      <c r="F8" s="33"/>
      <c r="I8" s="33" t="str">
        <f t="shared" ref="I8:K8" si="7">IF(B8="","",IF(B8&gt;=4,"A",IF(B8&gt;=3,"B","C")))</f>
        <v/>
      </c>
      <c r="J8" s="33" t="str">
        <f t="shared" si="7"/>
        <v/>
      </c>
      <c r="K8" s="33" t="str">
        <f t="shared" si="7"/>
        <v/>
      </c>
    </row>
    <row r="9" ht="16.5" customHeight="1">
      <c r="B9" s="33"/>
      <c r="C9" s="33"/>
      <c r="D9" s="33"/>
      <c r="F9" s="33"/>
      <c r="I9" s="33" t="str">
        <f t="shared" ref="I9:K9" si="8">IF(B9="","",IF(B9&gt;=4,"A",IF(B9&gt;=3,"B","C")))</f>
        <v/>
      </c>
      <c r="J9" s="33" t="str">
        <f t="shared" si="8"/>
        <v/>
      </c>
      <c r="K9" s="33" t="str">
        <f t="shared" si="8"/>
        <v/>
      </c>
    </row>
    <row r="10" ht="16.5" customHeight="1">
      <c r="B10" s="33"/>
      <c r="C10" s="33"/>
      <c r="D10" s="33"/>
      <c r="F10" s="33"/>
      <c r="I10" s="33" t="str">
        <f t="shared" ref="I10:K10" si="9">IF(B10="","",IF(B10&gt;=4,"A",IF(B10&gt;=3,"B","C")))</f>
        <v/>
      </c>
      <c r="J10" s="33" t="str">
        <f t="shared" si="9"/>
        <v/>
      </c>
      <c r="K10" s="33" t="str">
        <f t="shared" si="9"/>
        <v/>
      </c>
    </row>
    <row r="11">
      <c r="B11" s="33"/>
      <c r="C11" s="33"/>
      <c r="D11" s="33"/>
      <c r="F11" s="33"/>
      <c r="I11" s="33" t="str">
        <f t="shared" ref="I11:K11" si="10">IF(B11="","",IF(B11&gt;=4,"A",IF(B11&gt;=3,"B","C")))</f>
        <v/>
      </c>
      <c r="J11" s="33" t="str">
        <f t="shared" si="10"/>
        <v/>
      </c>
      <c r="K11" s="33" t="str">
        <f t="shared" si="10"/>
        <v/>
      </c>
    </row>
    <row r="12">
      <c r="B12" s="33"/>
      <c r="C12" s="33"/>
      <c r="D12" s="33"/>
      <c r="F12" s="33"/>
      <c r="I12" s="33" t="str">
        <f t="shared" ref="I12:K12" si="11">IF(B12="","",IF(B12&gt;=4,"A",IF(B12&gt;=3,"B","C")))</f>
        <v/>
      </c>
      <c r="J12" s="33" t="str">
        <f t="shared" si="11"/>
        <v/>
      </c>
      <c r="K12" s="33" t="str">
        <f t="shared" si="11"/>
        <v/>
      </c>
    </row>
    <row r="13">
      <c r="B13" s="33"/>
      <c r="C13" s="33"/>
      <c r="D13" s="33"/>
      <c r="F13" s="33"/>
      <c r="I13" s="33" t="str">
        <f t="shared" ref="I13:K13" si="12">IF(B13="","",IF(B13&gt;=4,"A",IF(B13&gt;=3,"B","C")))</f>
        <v/>
      </c>
      <c r="J13" s="33" t="str">
        <f t="shared" si="12"/>
        <v/>
      </c>
      <c r="K13" s="33" t="str">
        <f t="shared" si="12"/>
        <v/>
      </c>
    </row>
    <row r="14">
      <c r="B14" s="33"/>
      <c r="C14" s="33"/>
      <c r="D14" s="33"/>
      <c r="F14" s="33"/>
      <c r="I14" s="33" t="str">
        <f t="shared" ref="I14:K14" si="13">IF(B14="","",IF(B14&gt;=4,"A",IF(B14&gt;=3,"B","C")))</f>
        <v/>
      </c>
      <c r="J14" s="33" t="str">
        <f t="shared" si="13"/>
        <v/>
      </c>
      <c r="K14" s="33" t="str">
        <f t="shared" si="13"/>
        <v/>
      </c>
    </row>
    <row r="15">
      <c r="B15" s="33"/>
      <c r="C15" s="33"/>
      <c r="D15" s="33"/>
      <c r="F15" s="33"/>
      <c r="I15" s="33" t="str">
        <f t="shared" ref="I15:K15" si="14">IF(B15="","",IF(B15&gt;=4,"A",IF(B15&gt;=3,"B","C")))</f>
        <v/>
      </c>
      <c r="J15" s="33" t="str">
        <f t="shared" si="14"/>
        <v/>
      </c>
      <c r="K15" s="33" t="str">
        <f t="shared" si="14"/>
        <v/>
      </c>
    </row>
    <row r="16">
      <c r="B16" s="33"/>
      <c r="C16" s="33"/>
      <c r="D16" s="33"/>
      <c r="F16" s="33"/>
      <c r="I16" s="33" t="str">
        <f t="shared" ref="I16:K16" si="15">IF(B16="","",IF(B16&gt;=4,"A",IF(B16&gt;=3,"B","C")))</f>
        <v/>
      </c>
      <c r="J16" s="33" t="str">
        <f t="shared" si="15"/>
        <v/>
      </c>
      <c r="K16" s="33" t="str">
        <f t="shared" si="15"/>
        <v/>
      </c>
    </row>
    <row r="17">
      <c r="B17" s="33"/>
      <c r="C17" s="33"/>
      <c r="D17" s="33"/>
      <c r="F17" s="33"/>
      <c r="I17" s="33" t="str">
        <f t="shared" ref="I17:K17" si="16">IF(B17="","",IF(B17&gt;=4,"A",IF(B17&gt;=3,"B","C")))</f>
        <v/>
      </c>
      <c r="J17" s="33" t="str">
        <f t="shared" si="16"/>
        <v/>
      </c>
      <c r="K17" s="33" t="str">
        <f t="shared" si="16"/>
        <v/>
      </c>
    </row>
    <row r="18">
      <c r="B18" s="33"/>
      <c r="C18" s="33"/>
      <c r="D18" s="33"/>
      <c r="F18" s="33"/>
      <c r="I18" s="33" t="str">
        <f t="shared" ref="I18:K18" si="17">IF(B18="","",IF(B18&gt;=4,"A",IF(B18&gt;=3,"B","C")))</f>
        <v/>
      </c>
      <c r="J18" s="33" t="str">
        <f t="shared" si="17"/>
        <v/>
      </c>
      <c r="K18" s="33" t="str">
        <f t="shared" si="17"/>
        <v/>
      </c>
    </row>
    <row r="19">
      <c r="B19" s="33"/>
      <c r="C19" s="33"/>
      <c r="D19" s="33"/>
      <c r="F19" s="33"/>
      <c r="I19" s="33" t="str">
        <f t="shared" ref="I19:K19" si="18">IF(B19="","",IF(B19&gt;=4,"A",IF(B19&gt;=3,"B","C")))</f>
        <v/>
      </c>
      <c r="J19" s="33" t="str">
        <f t="shared" si="18"/>
        <v/>
      </c>
      <c r="K19" s="33" t="str">
        <f t="shared" si="18"/>
        <v/>
      </c>
    </row>
    <row r="20">
      <c r="B20" s="33"/>
      <c r="C20" s="33"/>
      <c r="D20" s="33"/>
      <c r="F20" s="33"/>
      <c r="I20" s="33" t="str">
        <f t="shared" ref="I20:K20" si="19">IF(B20="","",IF(B20&gt;=4,"A",IF(B20&gt;=3,"B","C")))</f>
        <v/>
      </c>
      <c r="J20" s="33" t="str">
        <f t="shared" si="19"/>
        <v/>
      </c>
      <c r="K20" s="33" t="str">
        <f t="shared" si="19"/>
        <v/>
      </c>
    </row>
    <row r="21" ht="15.75" customHeight="1">
      <c r="B21" s="33"/>
      <c r="C21" s="33"/>
      <c r="D21" s="33"/>
      <c r="F21" s="33"/>
      <c r="I21" s="33" t="str">
        <f t="shared" ref="I21:K21" si="20">IF(B21="","",IF(B21&gt;=4,"A",IF(B21&gt;=3,"B","C")))</f>
        <v/>
      </c>
      <c r="J21" s="33" t="str">
        <f t="shared" si="20"/>
        <v/>
      </c>
      <c r="K21" s="33" t="str">
        <f t="shared" si="20"/>
        <v/>
      </c>
    </row>
    <row r="22" ht="15.75" customHeight="1">
      <c r="B22" s="33"/>
      <c r="C22" s="33"/>
      <c r="D22" s="33"/>
      <c r="F22" s="33"/>
      <c r="I22" s="33" t="str">
        <f t="shared" ref="I22:K22" si="21">IF(B22="","",IF(B22&gt;=4,"A",IF(B22&gt;=3,"B","C")))</f>
        <v/>
      </c>
      <c r="J22" s="33" t="str">
        <f t="shared" si="21"/>
        <v/>
      </c>
      <c r="K22" s="33" t="str">
        <f t="shared" si="21"/>
        <v/>
      </c>
    </row>
    <row r="23" ht="15.75" customHeight="1">
      <c r="B23" s="33"/>
      <c r="C23" s="33"/>
      <c r="D23" s="33"/>
      <c r="F23" s="33"/>
      <c r="I23" s="33" t="str">
        <f t="shared" ref="I23:K23" si="22">IF(B23="","",IF(B23&gt;=4,"A",IF(B23&gt;=3,"B","C")))</f>
        <v/>
      </c>
      <c r="J23" s="33" t="str">
        <f t="shared" si="22"/>
        <v/>
      </c>
      <c r="K23" s="33" t="str">
        <f t="shared" si="22"/>
        <v/>
      </c>
    </row>
    <row r="24" ht="15.75" customHeight="1">
      <c r="B24" s="33"/>
      <c r="C24" s="33"/>
      <c r="D24" s="33"/>
      <c r="F24" s="33"/>
      <c r="I24" s="33" t="str">
        <f t="shared" ref="I24:K24" si="23">IF(B24="","",IF(B24&gt;=4,"A",IF(B24&gt;=3,"B","C")))</f>
        <v/>
      </c>
      <c r="J24" s="33" t="str">
        <f t="shared" si="23"/>
        <v/>
      </c>
      <c r="K24" s="33" t="str">
        <f t="shared" si="23"/>
        <v/>
      </c>
    </row>
    <row r="25" ht="15.75" customHeight="1">
      <c r="B25" s="33"/>
      <c r="C25" s="33"/>
      <c r="D25" s="33"/>
      <c r="F25" s="33"/>
      <c r="I25" s="33" t="str">
        <f t="shared" ref="I25:K25" si="24">IF(B25="","",IF(B25&gt;=4,"A",IF(B25&gt;=3,"B","C")))</f>
        <v/>
      </c>
      <c r="J25" s="33" t="str">
        <f t="shared" si="24"/>
        <v/>
      </c>
      <c r="K25" s="33" t="str">
        <f t="shared" si="24"/>
        <v/>
      </c>
    </row>
    <row r="26" ht="15.75" customHeight="1">
      <c r="B26" s="33"/>
      <c r="C26" s="33"/>
      <c r="D26" s="33"/>
      <c r="F26" s="33"/>
      <c r="I26" s="33" t="str">
        <f t="shared" ref="I26:K26" si="25">IF(B26="","",IF(B26&gt;=4,"A",IF(B26&gt;=3,"B","C")))</f>
        <v/>
      </c>
      <c r="J26" s="33" t="str">
        <f t="shared" si="25"/>
        <v/>
      </c>
      <c r="K26" s="33" t="str">
        <f t="shared" si="25"/>
        <v/>
      </c>
    </row>
    <row r="27" ht="15.75" customHeight="1">
      <c r="B27" s="33"/>
      <c r="C27" s="33"/>
      <c r="D27" s="33"/>
      <c r="F27" s="33"/>
      <c r="I27" s="33" t="str">
        <f t="shared" ref="I27:K27" si="26">IF(B27="","",IF(B27&gt;=4,"A",IF(B27&gt;=3,"B","C")))</f>
        <v/>
      </c>
      <c r="J27" s="33" t="str">
        <f t="shared" si="26"/>
        <v/>
      </c>
      <c r="K27" s="33" t="str">
        <f t="shared" si="26"/>
        <v/>
      </c>
    </row>
    <row r="28" ht="15.75" customHeight="1">
      <c r="B28" s="33"/>
      <c r="C28" s="33"/>
      <c r="D28" s="33"/>
      <c r="F28" s="33"/>
      <c r="I28" s="33" t="str">
        <f t="shared" ref="I28:K28" si="27">IF(B28="","",IF(B28&gt;=4,"A",IF(B28&gt;=3,"B","C")))</f>
        <v/>
      </c>
      <c r="J28" s="33" t="str">
        <f t="shared" si="27"/>
        <v/>
      </c>
      <c r="K28" s="33" t="str">
        <f t="shared" si="27"/>
        <v/>
      </c>
    </row>
    <row r="29" ht="15.75" customHeight="1">
      <c r="B29" s="33"/>
      <c r="C29" s="33"/>
      <c r="D29" s="33"/>
      <c r="F29" s="33"/>
      <c r="I29" s="33" t="str">
        <f t="shared" ref="I29:K29" si="28">IF(B29="","",IF(B29&gt;=4,"A",IF(B29&gt;=3,"B","C")))</f>
        <v/>
      </c>
      <c r="J29" s="33" t="str">
        <f t="shared" si="28"/>
        <v/>
      </c>
      <c r="K29" s="33" t="str">
        <f t="shared" si="28"/>
        <v/>
      </c>
    </row>
    <row r="30" ht="15.75" customHeight="1">
      <c r="B30" s="33"/>
      <c r="C30" s="33"/>
      <c r="D30" s="33"/>
      <c r="F30" s="33"/>
      <c r="I30" s="33" t="str">
        <f t="shared" ref="I30:K30" si="29">IF(B30="","",IF(B30&gt;=4,"A",IF(B30&gt;=3,"B","C")))</f>
        <v/>
      </c>
      <c r="J30" s="33" t="str">
        <f t="shared" si="29"/>
        <v/>
      </c>
      <c r="K30" s="33" t="str">
        <f t="shared" si="29"/>
        <v/>
      </c>
    </row>
    <row r="31" ht="15.75" customHeight="1">
      <c r="B31" s="33"/>
      <c r="C31" s="33"/>
      <c r="D31" s="33"/>
      <c r="F31" s="33"/>
      <c r="I31" s="33" t="str">
        <f t="shared" ref="I31:K31" si="30">IF(B31="","",IF(B31&gt;=4,"A",IF(B31&gt;=3,"B","C")))</f>
        <v/>
      </c>
      <c r="J31" s="33" t="str">
        <f t="shared" si="30"/>
        <v/>
      </c>
      <c r="K31" s="33" t="str">
        <f t="shared" si="30"/>
        <v/>
      </c>
    </row>
    <row r="32" ht="15.75" customHeight="1">
      <c r="B32" s="33"/>
      <c r="C32" s="33"/>
      <c r="D32" s="33"/>
      <c r="F32" s="33"/>
      <c r="I32" s="33" t="str">
        <f t="shared" ref="I32:K32" si="31">IF(B32="","",IF(B32&gt;=4,"A",IF(B32&gt;=3,"B","C")))</f>
        <v/>
      </c>
      <c r="J32" s="33" t="str">
        <f t="shared" si="31"/>
        <v/>
      </c>
      <c r="K32" s="33" t="str">
        <f t="shared" si="31"/>
        <v/>
      </c>
    </row>
    <row r="33" ht="15.75" customHeight="1">
      <c r="B33" s="33"/>
      <c r="C33" s="33"/>
      <c r="D33" s="33"/>
      <c r="F33" s="33"/>
      <c r="I33" s="33" t="str">
        <f t="shared" ref="I33:K33" si="32">IF(B33="","",IF(B33&gt;=4,"A",IF(B33&gt;=3,"B","C")))</f>
        <v/>
      </c>
      <c r="J33" s="33" t="str">
        <f t="shared" si="32"/>
        <v/>
      </c>
      <c r="K33" s="33" t="str">
        <f t="shared" si="32"/>
        <v/>
      </c>
    </row>
    <row r="34" ht="15.75" customHeight="1">
      <c r="B34" s="33"/>
      <c r="C34" s="33"/>
      <c r="D34" s="33"/>
      <c r="F34" s="33"/>
      <c r="I34" s="33" t="str">
        <f t="shared" ref="I34:K34" si="33">IF(B34="","",IF(B34&gt;=4,"A",IF(B34&gt;=3,"B","C")))</f>
        <v/>
      </c>
      <c r="J34" s="33" t="str">
        <f t="shared" si="33"/>
        <v/>
      </c>
      <c r="K34" s="33" t="str">
        <f t="shared" si="33"/>
        <v/>
      </c>
    </row>
    <row r="35" ht="15.75" customHeight="1">
      <c r="B35" s="33"/>
      <c r="C35" s="33"/>
      <c r="D35" s="33"/>
      <c r="F35" s="33"/>
      <c r="I35" s="33" t="str">
        <f t="shared" ref="I35:K35" si="34">IF(B35="","",IF(B35&gt;=4,"A",IF(B35&gt;=3,"B","C")))</f>
        <v/>
      </c>
      <c r="J35" s="33" t="str">
        <f t="shared" si="34"/>
        <v/>
      </c>
      <c r="K35" s="33" t="str">
        <f t="shared" si="34"/>
        <v/>
      </c>
    </row>
    <row r="36" ht="15.75" customHeight="1">
      <c r="B36" s="33"/>
      <c r="C36" s="33"/>
      <c r="D36" s="33"/>
      <c r="F36" s="33"/>
      <c r="I36" s="33" t="str">
        <f t="shared" ref="I36:K36" si="35">IF(B36="","",IF(B36&gt;=4,"A",IF(B36&gt;=3,"B","C")))</f>
        <v/>
      </c>
      <c r="J36" s="33" t="str">
        <f t="shared" si="35"/>
        <v/>
      </c>
      <c r="K36" s="33" t="str">
        <f t="shared" si="35"/>
        <v/>
      </c>
    </row>
    <row r="37" ht="15.75" customHeight="1">
      <c r="B37" s="33"/>
      <c r="C37" s="33"/>
      <c r="D37" s="33"/>
      <c r="F37" s="33"/>
      <c r="I37" s="33" t="str">
        <f t="shared" ref="I37:K37" si="36">IF(B37="","",IF(B37&gt;=4,"A",IF(B37&gt;=3,"B","C")))</f>
        <v/>
      </c>
      <c r="J37" s="33" t="str">
        <f t="shared" si="36"/>
        <v/>
      </c>
      <c r="K37" s="33" t="str">
        <f t="shared" si="36"/>
        <v/>
      </c>
    </row>
    <row r="38" ht="15.75" customHeight="1">
      <c r="B38" s="33"/>
      <c r="C38" s="33"/>
      <c r="D38" s="33"/>
      <c r="F38" s="33"/>
      <c r="I38" s="33" t="str">
        <f t="shared" ref="I38:K38" si="37">IF(B38="","",IF(B38&gt;=4,"A",IF(B38&gt;=3,"B","C")))</f>
        <v/>
      </c>
      <c r="J38" s="33" t="str">
        <f t="shared" si="37"/>
        <v/>
      </c>
      <c r="K38" s="33" t="str">
        <f t="shared" si="37"/>
        <v/>
      </c>
    </row>
    <row r="39" ht="15.75" customHeight="1">
      <c r="B39" s="33"/>
      <c r="C39" s="33"/>
      <c r="D39" s="33"/>
      <c r="F39" s="33"/>
      <c r="I39" s="33" t="str">
        <f t="shared" ref="I39:K39" si="38">IF(B39="","",IF(B39&gt;=4,"A",IF(B39&gt;=3,"B","C")))</f>
        <v/>
      </c>
      <c r="J39" s="33" t="str">
        <f t="shared" si="38"/>
        <v/>
      </c>
      <c r="K39" s="33" t="str">
        <f t="shared" si="38"/>
        <v/>
      </c>
    </row>
    <row r="40" ht="15.75" customHeight="1">
      <c r="B40" s="33"/>
      <c r="C40" s="33"/>
      <c r="D40" s="33"/>
      <c r="F40" s="33"/>
      <c r="I40" s="33" t="str">
        <f t="shared" ref="I40:K40" si="39">IF(B40="","",IF(B40&gt;=4,"A",IF(B40&gt;=3,"B","C")))</f>
        <v/>
      </c>
      <c r="J40" s="33" t="str">
        <f t="shared" si="39"/>
        <v/>
      </c>
      <c r="K40" s="33" t="str">
        <f t="shared" si="39"/>
        <v/>
      </c>
    </row>
    <row r="41" ht="15.75" customHeight="1">
      <c r="B41" s="33"/>
      <c r="C41" s="33"/>
      <c r="D41" s="33"/>
      <c r="F41" s="33"/>
      <c r="I41" s="33" t="str">
        <f t="shared" ref="I41:K41" si="40">IF(B41="","",IF(B41&gt;=4,"A",IF(B41&gt;=3,"B","C")))</f>
        <v/>
      </c>
      <c r="J41" s="33" t="str">
        <f t="shared" si="40"/>
        <v/>
      </c>
      <c r="K41" s="33" t="str">
        <f t="shared" si="40"/>
        <v/>
      </c>
    </row>
    <row r="42" ht="15.75" customHeight="1">
      <c r="B42" s="33"/>
      <c r="C42" s="33"/>
      <c r="D42" s="33"/>
      <c r="F42" s="33"/>
      <c r="I42" s="33" t="str">
        <f t="shared" ref="I42:K42" si="41">IF(B42="","",IF(B42&gt;=4,"A",IF(B42&gt;=3,"B","C")))</f>
        <v/>
      </c>
      <c r="J42" s="33" t="str">
        <f t="shared" si="41"/>
        <v/>
      </c>
      <c r="K42" s="33" t="str">
        <f t="shared" si="41"/>
        <v/>
      </c>
    </row>
    <row r="43" ht="15.75" customHeight="1">
      <c r="B43" s="33"/>
      <c r="C43" s="33"/>
      <c r="D43" s="33"/>
      <c r="F43" s="33"/>
      <c r="I43" s="33" t="str">
        <f t="shared" ref="I43:K43" si="42">IF(B43="","",IF(B43&gt;=4,"A",IF(B43&gt;=3,"B","C")))</f>
        <v/>
      </c>
      <c r="J43" s="33" t="str">
        <f t="shared" si="42"/>
        <v/>
      </c>
      <c r="K43" s="33" t="str">
        <f t="shared" si="42"/>
        <v/>
      </c>
    </row>
    <row r="44" ht="15.75" customHeight="1">
      <c r="B44" s="33"/>
      <c r="C44" s="33"/>
      <c r="D44" s="33"/>
      <c r="F44" s="33"/>
      <c r="I44" s="33" t="str">
        <f t="shared" ref="I44:K44" si="43">IF(B44="","",IF(B44&gt;=4,"A",IF(B44&gt;=3,"B","C")))</f>
        <v/>
      </c>
      <c r="J44" s="33" t="str">
        <f t="shared" si="43"/>
        <v/>
      </c>
      <c r="K44" s="33" t="str">
        <f t="shared" si="43"/>
        <v/>
      </c>
    </row>
    <row r="45" ht="15.75" customHeight="1">
      <c r="B45" s="33"/>
      <c r="C45" s="33"/>
      <c r="D45" s="33"/>
      <c r="F45" s="33"/>
      <c r="I45" s="33" t="str">
        <f t="shared" ref="I45:K45" si="44">IF(B45="","",IF(B45&gt;=4,"A",IF(B45&gt;=3,"B","C")))</f>
        <v/>
      </c>
      <c r="J45" s="33" t="str">
        <f t="shared" si="44"/>
        <v/>
      </c>
      <c r="K45" s="33" t="str">
        <f t="shared" si="44"/>
        <v/>
      </c>
    </row>
    <row r="46" ht="15.75" customHeight="1">
      <c r="B46" s="33"/>
      <c r="C46" s="33"/>
      <c r="D46" s="33"/>
      <c r="F46" s="33"/>
      <c r="I46" s="33" t="str">
        <f t="shared" ref="I46:K46" si="45">IF(B46="","",IF(B46&gt;=4,"A",IF(B46&gt;=3,"B","C")))</f>
        <v/>
      </c>
      <c r="J46" s="33" t="str">
        <f t="shared" si="45"/>
        <v/>
      </c>
      <c r="K46" s="33" t="str">
        <f t="shared" si="45"/>
        <v/>
      </c>
    </row>
    <row r="47" ht="15.75" customHeight="1">
      <c r="B47" s="33"/>
      <c r="C47" s="33"/>
      <c r="D47" s="33"/>
      <c r="F47" s="33"/>
      <c r="I47" s="33" t="str">
        <f t="shared" ref="I47:K47" si="46">IF(B47="","",IF(B47&gt;=4,"A",IF(B47&gt;=3,"B","C")))</f>
        <v/>
      </c>
      <c r="J47" s="33" t="str">
        <f t="shared" si="46"/>
        <v/>
      </c>
      <c r="K47" s="33" t="str">
        <f t="shared" si="46"/>
        <v/>
      </c>
    </row>
    <row r="48" ht="15.75" customHeight="1">
      <c r="B48" s="33"/>
      <c r="C48" s="33"/>
      <c r="D48" s="33"/>
      <c r="F48" s="33"/>
      <c r="I48" s="33" t="str">
        <f t="shared" ref="I48:K48" si="47">IF(B48="","",IF(B48&gt;=4,"A",IF(B48&gt;=3,"B","C")))</f>
        <v/>
      </c>
      <c r="J48" s="33" t="str">
        <f t="shared" si="47"/>
        <v/>
      </c>
      <c r="K48" s="33" t="str">
        <f t="shared" si="47"/>
        <v/>
      </c>
    </row>
    <row r="49" ht="15.75" customHeight="1">
      <c r="B49" s="33"/>
      <c r="C49" s="33"/>
      <c r="D49" s="33"/>
      <c r="F49" s="33"/>
      <c r="I49" s="33" t="str">
        <f t="shared" ref="I49:K49" si="48">IF(B49="","",IF(B49&gt;=4,"A",IF(B49&gt;=3,"B","C")))</f>
        <v/>
      </c>
      <c r="J49" s="33" t="str">
        <f t="shared" si="48"/>
        <v/>
      </c>
      <c r="K49" s="33" t="str">
        <f t="shared" si="48"/>
        <v/>
      </c>
    </row>
    <row r="50" ht="15.75" customHeight="1">
      <c r="B50" s="33"/>
      <c r="C50" s="33"/>
      <c r="D50" s="33"/>
      <c r="F50" s="33"/>
      <c r="I50" s="33" t="str">
        <f t="shared" ref="I50:K50" si="49">IF(B50="","",IF(B50&gt;=4,"A",IF(B50&gt;=3,"B","C")))</f>
        <v/>
      </c>
      <c r="J50" s="33" t="str">
        <f t="shared" si="49"/>
        <v/>
      </c>
      <c r="K50" s="33" t="str">
        <f t="shared" si="49"/>
        <v/>
      </c>
    </row>
    <row r="51" ht="15.75" customHeight="1">
      <c r="B51" s="33"/>
      <c r="C51" s="33"/>
      <c r="D51" s="33"/>
      <c r="F51" s="33"/>
      <c r="I51" s="33" t="str">
        <f t="shared" ref="I51:K51" si="50">IF(B51="","",IF(B51&gt;=4,"A",IF(B51&gt;=3,"B","C")))</f>
        <v/>
      </c>
      <c r="J51" s="33" t="str">
        <f t="shared" si="50"/>
        <v/>
      </c>
      <c r="K51" s="33" t="str">
        <f t="shared" si="50"/>
        <v/>
      </c>
    </row>
    <row r="52" ht="15.75" customHeight="1">
      <c r="B52" s="33"/>
      <c r="C52" s="33"/>
      <c r="D52" s="33"/>
      <c r="F52" s="33"/>
      <c r="I52" s="33" t="str">
        <f t="shared" ref="I52:K52" si="51">IF(B52="","",IF(B52&gt;=4,"A",IF(B52&gt;=3,"B","C")))</f>
        <v/>
      </c>
      <c r="J52" s="33" t="str">
        <f t="shared" si="51"/>
        <v/>
      </c>
      <c r="K52" s="33" t="str">
        <f t="shared" si="51"/>
        <v/>
      </c>
    </row>
    <row r="53" ht="15.75" customHeight="1">
      <c r="B53" s="33"/>
      <c r="C53" s="33"/>
      <c r="D53" s="33"/>
      <c r="F53" s="33"/>
      <c r="I53" s="33" t="str">
        <f t="shared" ref="I53:K53" si="52">IF(B53="","",IF(B53&gt;=4,"A",IF(B53&gt;=3,"B","C")))</f>
        <v/>
      </c>
      <c r="J53" s="33" t="str">
        <f t="shared" si="52"/>
        <v/>
      </c>
      <c r="K53" s="33" t="str">
        <f t="shared" si="52"/>
        <v/>
      </c>
    </row>
    <row r="54" ht="15.75" customHeight="1">
      <c r="B54" s="33"/>
      <c r="C54" s="33"/>
      <c r="D54" s="33"/>
      <c r="F54" s="33"/>
      <c r="I54" s="33" t="str">
        <f t="shared" ref="I54:K54" si="53">IF(B54="","",IF(B54&gt;=4,"A",IF(B54&gt;=3,"B","C")))</f>
        <v/>
      </c>
      <c r="J54" s="33" t="str">
        <f t="shared" si="53"/>
        <v/>
      </c>
      <c r="K54" s="33" t="str">
        <f t="shared" si="53"/>
        <v/>
      </c>
    </row>
    <row r="55" ht="15.75" customHeight="1">
      <c r="B55" s="33"/>
      <c r="C55" s="33"/>
      <c r="D55" s="33"/>
      <c r="F55" s="33"/>
      <c r="I55" s="33" t="str">
        <f t="shared" ref="I55:K55" si="54">IF(B55="","",IF(B55&gt;=4,"A",IF(B55&gt;=3,"B","C")))</f>
        <v/>
      </c>
      <c r="J55" s="33" t="str">
        <f t="shared" si="54"/>
        <v/>
      </c>
      <c r="K55" s="33" t="str">
        <f t="shared" si="54"/>
        <v/>
      </c>
    </row>
    <row r="56" ht="15.75" customHeight="1">
      <c r="B56" s="33"/>
      <c r="C56" s="33"/>
      <c r="D56" s="33"/>
      <c r="F56" s="33"/>
      <c r="I56" s="33" t="str">
        <f t="shared" ref="I56:K56" si="55">IF(B56="","",IF(B56&gt;=4,"A",IF(B56&gt;=3,"B","C")))</f>
        <v/>
      </c>
      <c r="J56" s="33" t="str">
        <f t="shared" si="55"/>
        <v/>
      </c>
      <c r="K56" s="33" t="str">
        <f t="shared" si="55"/>
        <v/>
      </c>
    </row>
    <row r="57" ht="15.75" customHeight="1">
      <c r="B57" s="33"/>
      <c r="C57" s="33"/>
      <c r="D57" s="33"/>
      <c r="F57" s="33"/>
      <c r="I57" s="33" t="str">
        <f t="shared" ref="I57:K57" si="56">IF(B57="","",IF(B57&gt;=4,"A",IF(B57&gt;=3,"B","C")))</f>
        <v/>
      </c>
      <c r="J57" s="33" t="str">
        <f t="shared" si="56"/>
        <v/>
      </c>
      <c r="K57" s="33" t="str">
        <f t="shared" si="56"/>
        <v/>
      </c>
    </row>
    <row r="58" ht="15.75" customHeight="1">
      <c r="B58" s="33"/>
      <c r="C58" s="33"/>
      <c r="D58" s="33"/>
      <c r="F58" s="33"/>
      <c r="I58" s="33" t="str">
        <f t="shared" ref="I58:K58" si="57">IF(B58="","",IF(B58&gt;=4,"A",IF(B58&gt;=3,"B","C")))</f>
        <v/>
      </c>
      <c r="J58" s="33" t="str">
        <f t="shared" si="57"/>
        <v/>
      </c>
      <c r="K58" s="33" t="str">
        <f t="shared" si="57"/>
        <v/>
      </c>
    </row>
    <row r="59" ht="15.75" customHeight="1">
      <c r="B59" s="33"/>
      <c r="C59" s="33"/>
      <c r="D59" s="33"/>
      <c r="F59" s="33"/>
      <c r="I59" s="33" t="str">
        <f t="shared" ref="I59:K59" si="58">IF(B59="","",IF(B59&gt;=4,"A",IF(B59&gt;=3,"B","C")))</f>
        <v/>
      </c>
      <c r="J59" s="33" t="str">
        <f t="shared" si="58"/>
        <v/>
      </c>
      <c r="K59" s="33" t="str">
        <f t="shared" si="58"/>
        <v/>
      </c>
    </row>
    <row r="60" ht="15.75" customHeight="1">
      <c r="B60" s="33"/>
      <c r="C60" s="33"/>
      <c r="D60" s="33"/>
      <c r="F60" s="33"/>
      <c r="I60" s="33" t="str">
        <f t="shared" ref="I60:K60" si="59">IF(B60="","",IF(B60&gt;=4,"A",IF(B60&gt;=3,"B","C")))</f>
        <v/>
      </c>
      <c r="J60" s="33" t="str">
        <f t="shared" si="59"/>
        <v/>
      </c>
      <c r="K60" s="33" t="str">
        <f t="shared" si="59"/>
        <v/>
      </c>
    </row>
    <row r="61" ht="15.75" customHeight="1">
      <c r="B61" s="33"/>
      <c r="C61" s="33"/>
      <c r="D61" s="33"/>
      <c r="F61" s="33"/>
      <c r="I61" s="33" t="str">
        <f t="shared" ref="I61:K61" si="60">IF(B61="","",IF(B61&gt;=4,"A",IF(B61&gt;=3,"B","C")))</f>
        <v/>
      </c>
      <c r="J61" s="33" t="str">
        <f t="shared" si="60"/>
        <v/>
      </c>
      <c r="K61" s="33" t="str">
        <f t="shared" si="60"/>
        <v/>
      </c>
    </row>
    <row r="62" ht="15.75" customHeight="1">
      <c r="B62" s="33"/>
      <c r="C62" s="33"/>
      <c r="D62" s="33"/>
      <c r="F62" s="33"/>
      <c r="I62" s="33" t="str">
        <f t="shared" ref="I62:K62" si="61">IF(B62="","",IF(B62&gt;=4,"A",IF(B62&gt;=3,"B","C")))</f>
        <v/>
      </c>
      <c r="J62" s="33" t="str">
        <f t="shared" si="61"/>
        <v/>
      </c>
      <c r="K62" s="33" t="str">
        <f t="shared" si="61"/>
        <v/>
      </c>
    </row>
    <row r="63" ht="15.75" customHeight="1">
      <c r="B63" s="33"/>
      <c r="C63" s="33"/>
      <c r="D63" s="33"/>
      <c r="F63" s="33"/>
      <c r="I63" s="33" t="str">
        <f t="shared" ref="I63:K63" si="62">IF(B63="","",IF(B63&gt;=4,"A",IF(B63&gt;=3,"B","C")))</f>
        <v/>
      </c>
      <c r="J63" s="33" t="str">
        <f t="shared" si="62"/>
        <v/>
      </c>
      <c r="K63" s="33" t="str">
        <f t="shared" si="62"/>
        <v/>
      </c>
    </row>
    <row r="64" ht="15.75" customHeight="1">
      <c r="B64" s="33"/>
      <c r="C64" s="33"/>
      <c r="D64" s="33"/>
      <c r="F64" s="33"/>
      <c r="I64" s="33" t="str">
        <f t="shared" ref="I64:K64" si="63">IF(B64="","",IF(B64&gt;=4,"A",IF(B64&gt;=3,"B","C")))</f>
        <v/>
      </c>
      <c r="J64" s="33" t="str">
        <f t="shared" si="63"/>
        <v/>
      </c>
      <c r="K64" s="33" t="str">
        <f t="shared" si="63"/>
        <v/>
      </c>
    </row>
    <row r="65" ht="15.75" customHeight="1">
      <c r="B65" s="33"/>
      <c r="C65" s="33"/>
      <c r="D65" s="33"/>
      <c r="F65" s="33"/>
      <c r="I65" s="33" t="str">
        <f t="shared" ref="I65:K65" si="64">IF(B65="","",IF(B65&gt;=4,"A",IF(B65&gt;=3,"B","C")))</f>
        <v/>
      </c>
      <c r="J65" s="33" t="str">
        <f t="shared" si="64"/>
        <v/>
      </c>
      <c r="K65" s="33" t="str">
        <f t="shared" si="64"/>
        <v/>
      </c>
    </row>
    <row r="66" ht="15.75" customHeight="1">
      <c r="B66" s="33"/>
      <c r="C66" s="33"/>
      <c r="D66" s="33"/>
      <c r="F66" s="33"/>
      <c r="I66" s="33" t="str">
        <f t="shared" ref="I66:K66" si="65">IF(B66="","",IF(B66&gt;=4,"A",IF(B66&gt;=3,"B","C")))</f>
        <v/>
      </c>
      <c r="J66" s="33" t="str">
        <f t="shared" si="65"/>
        <v/>
      </c>
      <c r="K66" s="33" t="str">
        <f t="shared" si="65"/>
        <v/>
      </c>
    </row>
    <row r="67" ht="15.75" customHeight="1">
      <c r="B67" s="33"/>
      <c r="C67" s="33"/>
      <c r="D67" s="33"/>
      <c r="F67" s="33"/>
      <c r="I67" s="33" t="str">
        <f t="shared" ref="I67:K67" si="66">IF(B67="","",IF(B67&gt;=4,"A",IF(B67&gt;=3,"B","C")))</f>
        <v/>
      </c>
      <c r="J67" s="33" t="str">
        <f t="shared" si="66"/>
        <v/>
      </c>
      <c r="K67" s="33" t="str">
        <f t="shared" si="66"/>
        <v/>
      </c>
    </row>
    <row r="68" ht="15.75" customHeight="1">
      <c r="B68" s="33"/>
      <c r="C68" s="33"/>
      <c r="D68" s="33"/>
      <c r="F68" s="33"/>
      <c r="I68" s="33" t="str">
        <f t="shared" ref="I68:K68" si="67">IF(B68="","",IF(B68&gt;=4,"A",IF(B68&gt;=3,"B","C")))</f>
        <v/>
      </c>
      <c r="J68" s="33" t="str">
        <f t="shared" si="67"/>
        <v/>
      </c>
      <c r="K68" s="33" t="str">
        <f t="shared" si="67"/>
        <v/>
      </c>
    </row>
    <row r="69" ht="15.75" customHeight="1">
      <c r="B69" s="33"/>
      <c r="C69" s="33"/>
      <c r="D69" s="33"/>
      <c r="F69" s="33"/>
      <c r="I69" s="33" t="str">
        <f t="shared" ref="I69:K69" si="68">IF(B69="","",IF(B69&gt;=4,"A",IF(B69&gt;=3,"B","C")))</f>
        <v/>
      </c>
      <c r="J69" s="33" t="str">
        <f t="shared" si="68"/>
        <v/>
      </c>
      <c r="K69" s="33" t="str">
        <f t="shared" si="68"/>
        <v/>
      </c>
    </row>
    <row r="70" ht="15.75" customHeight="1">
      <c r="B70" s="33"/>
      <c r="C70" s="33"/>
      <c r="D70" s="33"/>
      <c r="F70" s="33"/>
      <c r="I70" s="33" t="str">
        <f t="shared" ref="I70:K70" si="69">IF(B70="","",IF(B70&gt;=4,"A",IF(B70&gt;=3,"B","C")))</f>
        <v/>
      </c>
      <c r="J70" s="33" t="str">
        <f t="shared" si="69"/>
        <v/>
      </c>
      <c r="K70" s="33" t="str">
        <f t="shared" si="69"/>
        <v/>
      </c>
    </row>
    <row r="71" ht="15.75" customHeight="1">
      <c r="B71" s="33"/>
      <c r="C71" s="33"/>
      <c r="D71" s="33"/>
      <c r="F71" s="33"/>
      <c r="I71" s="33" t="str">
        <f t="shared" ref="I71:K71" si="70">IF(B71="","",IF(B71&gt;=4,"A",IF(B71&gt;=3,"B","C")))</f>
        <v/>
      </c>
      <c r="J71" s="33" t="str">
        <f t="shared" si="70"/>
        <v/>
      </c>
      <c r="K71" s="33" t="str">
        <f t="shared" si="70"/>
        <v/>
      </c>
    </row>
    <row r="72" ht="15.75" customHeight="1">
      <c r="B72" s="33"/>
      <c r="C72" s="33"/>
      <c r="D72" s="33"/>
      <c r="F72" s="33"/>
      <c r="I72" s="33" t="str">
        <f t="shared" ref="I72:K72" si="71">IF(B72="","",IF(B72&gt;=4,"A",IF(B72&gt;=3,"B","C")))</f>
        <v/>
      </c>
      <c r="J72" s="33" t="str">
        <f t="shared" si="71"/>
        <v/>
      </c>
      <c r="K72" s="33" t="str">
        <f t="shared" si="71"/>
        <v/>
      </c>
    </row>
    <row r="73" ht="15.75" customHeight="1">
      <c r="B73" s="33"/>
      <c r="C73" s="33"/>
      <c r="D73" s="33"/>
      <c r="F73" s="33"/>
      <c r="I73" s="33" t="str">
        <f t="shared" ref="I73:K73" si="72">IF(B73="","",IF(B73&gt;=4,"A",IF(B73&gt;=3,"B","C")))</f>
        <v/>
      </c>
      <c r="J73" s="33" t="str">
        <f t="shared" si="72"/>
        <v/>
      </c>
      <c r="K73" s="33" t="str">
        <f t="shared" si="72"/>
        <v/>
      </c>
    </row>
    <row r="74" ht="15.75" customHeight="1">
      <c r="B74" s="33"/>
      <c r="C74" s="33"/>
      <c r="D74" s="33"/>
      <c r="F74" s="33"/>
      <c r="I74" s="33" t="str">
        <f t="shared" ref="I74:K74" si="73">IF(B74="","",IF(B74&gt;=4,"A",IF(B74&gt;=3,"B","C")))</f>
        <v/>
      </c>
      <c r="J74" s="33" t="str">
        <f t="shared" si="73"/>
        <v/>
      </c>
      <c r="K74" s="33" t="str">
        <f t="shared" si="73"/>
        <v/>
      </c>
    </row>
    <row r="75" ht="15.75" customHeight="1">
      <c r="B75" s="33"/>
      <c r="C75" s="33"/>
      <c r="D75" s="33"/>
      <c r="F75" s="33"/>
      <c r="I75" s="33" t="str">
        <f t="shared" ref="I75:K75" si="74">IF(B75="","",IF(B75&gt;=4,"A",IF(B75&gt;=3,"B","C")))</f>
        <v/>
      </c>
      <c r="J75" s="33" t="str">
        <f t="shared" si="74"/>
        <v/>
      </c>
      <c r="K75" s="33" t="str">
        <f t="shared" si="74"/>
        <v/>
      </c>
    </row>
    <row r="76" ht="15.75" customHeight="1">
      <c r="B76" s="33"/>
      <c r="C76" s="33"/>
      <c r="D76" s="33"/>
      <c r="F76" s="33"/>
      <c r="I76" s="33" t="str">
        <f t="shared" ref="I76:K76" si="75">IF(B76="","",IF(B76&gt;=4,"A",IF(B76&gt;=3,"B","C")))</f>
        <v/>
      </c>
      <c r="J76" s="33" t="str">
        <f t="shared" si="75"/>
        <v/>
      </c>
      <c r="K76" s="33" t="str">
        <f t="shared" si="75"/>
        <v/>
      </c>
    </row>
    <row r="77" ht="15.75" customHeight="1">
      <c r="B77" s="33"/>
      <c r="C77" s="33"/>
      <c r="D77" s="33"/>
      <c r="F77" s="33"/>
      <c r="I77" s="33" t="str">
        <f t="shared" ref="I77:K77" si="76">IF(B77="","",IF(B77&gt;=4,"A",IF(B77&gt;=3,"B","C")))</f>
        <v/>
      </c>
      <c r="J77" s="33" t="str">
        <f t="shared" si="76"/>
        <v/>
      </c>
      <c r="K77" s="33" t="str">
        <f t="shared" si="76"/>
        <v/>
      </c>
    </row>
    <row r="78" ht="15.75" customHeight="1">
      <c r="B78" s="33"/>
      <c r="C78" s="33"/>
      <c r="D78" s="33"/>
      <c r="F78" s="33"/>
      <c r="I78" s="33" t="str">
        <f t="shared" ref="I78:K78" si="77">IF(B78="","",IF(B78&gt;=4,"A",IF(B78&gt;=3,"B","C")))</f>
        <v/>
      </c>
      <c r="J78" s="33" t="str">
        <f t="shared" si="77"/>
        <v/>
      </c>
      <c r="K78" s="33" t="str">
        <f t="shared" si="77"/>
        <v/>
      </c>
    </row>
    <row r="79" ht="15.75" customHeight="1">
      <c r="B79" s="33"/>
      <c r="C79" s="33"/>
      <c r="D79" s="33"/>
      <c r="F79" s="33"/>
      <c r="I79" s="33" t="str">
        <f t="shared" ref="I79:K79" si="78">IF(B79="","",IF(B79&gt;=4,"A",IF(B79&gt;=3,"B","C")))</f>
        <v/>
      </c>
      <c r="J79" s="33" t="str">
        <f t="shared" si="78"/>
        <v/>
      </c>
      <c r="K79" s="33" t="str">
        <f t="shared" si="78"/>
        <v/>
      </c>
    </row>
    <row r="80" ht="15.75" customHeight="1">
      <c r="B80" s="33"/>
      <c r="C80" s="33"/>
      <c r="D80" s="33"/>
      <c r="F80" s="33"/>
      <c r="I80" s="33" t="str">
        <f t="shared" ref="I80:K80" si="79">IF(B80="","",IF(B80&gt;=4,"A",IF(B80&gt;=3,"B","C")))</f>
        <v/>
      </c>
      <c r="J80" s="33" t="str">
        <f t="shared" si="79"/>
        <v/>
      </c>
      <c r="K80" s="33" t="str">
        <f t="shared" si="79"/>
        <v/>
      </c>
    </row>
    <row r="81" ht="15.75" customHeight="1">
      <c r="B81" s="33"/>
      <c r="C81" s="33"/>
      <c r="D81" s="33"/>
      <c r="F81" s="33"/>
      <c r="I81" s="33" t="str">
        <f t="shared" ref="I81:K81" si="80">IF(B81="","",IF(B81&gt;=4,"A",IF(B81&gt;=3,"B","C")))</f>
        <v/>
      </c>
      <c r="J81" s="33" t="str">
        <f t="shared" si="80"/>
        <v/>
      </c>
      <c r="K81" s="33" t="str">
        <f t="shared" si="80"/>
        <v/>
      </c>
    </row>
    <row r="82" ht="15.75" customHeight="1">
      <c r="B82" s="33"/>
      <c r="C82" s="33"/>
      <c r="D82" s="33"/>
      <c r="F82" s="33"/>
      <c r="I82" s="33" t="str">
        <f t="shared" ref="I82:K82" si="81">IF(B82="","",IF(B82&gt;=4,"A",IF(B82&gt;=3,"B","C")))</f>
        <v/>
      </c>
      <c r="J82" s="33" t="str">
        <f t="shared" si="81"/>
        <v/>
      </c>
      <c r="K82" s="33" t="str">
        <f t="shared" si="81"/>
        <v/>
      </c>
    </row>
    <row r="83" ht="15.75" customHeight="1">
      <c r="B83" s="33"/>
      <c r="C83" s="33"/>
      <c r="D83" s="33"/>
      <c r="F83" s="33"/>
      <c r="I83" s="33" t="str">
        <f t="shared" ref="I83:K83" si="82">IF(B83="","",IF(B83&gt;=4,"A",IF(B83&gt;=3,"B","C")))</f>
        <v/>
      </c>
      <c r="J83" s="33" t="str">
        <f t="shared" si="82"/>
        <v/>
      </c>
      <c r="K83" s="33" t="str">
        <f t="shared" si="82"/>
        <v/>
      </c>
    </row>
    <row r="84" ht="15.75" customHeight="1">
      <c r="B84" s="33"/>
      <c r="C84" s="33"/>
      <c r="D84" s="33"/>
      <c r="F84" s="33"/>
      <c r="I84" s="33" t="str">
        <f t="shared" ref="I84:K84" si="83">IF(B84="","",IF(B84&gt;=4,"A",IF(B84&gt;=3,"B","C")))</f>
        <v/>
      </c>
      <c r="J84" s="33" t="str">
        <f t="shared" si="83"/>
        <v/>
      </c>
      <c r="K84" s="33" t="str">
        <f t="shared" si="83"/>
        <v/>
      </c>
    </row>
    <row r="85" ht="15.75" customHeight="1">
      <c r="B85" s="33"/>
      <c r="C85" s="33"/>
      <c r="D85" s="33"/>
      <c r="F85" s="33"/>
      <c r="I85" s="33" t="str">
        <f t="shared" ref="I85:K85" si="84">IF(B85="","",IF(B85&gt;=4,"A",IF(B85&gt;=3,"B","C")))</f>
        <v/>
      </c>
      <c r="J85" s="33" t="str">
        <f t="shared" si="84"/>
        <v/>
      </c>
      <c r="K85" s="33" t="str">
        <f t="shared" si="84"/>
        <v/>
      </c>
    </row>
    <row r="86" ht="15.75" customHeight="1">
      <c r="B86" s="33"/>
      <c r="C86" s="33"/>
      <c r="D86" s="33"/>
      <c r="F86" s="33"/>
      <c r="I86" s="33" t="str">
        <f t="shared" ref="I86:K86" si="85">IF(B86="","",IF(B86&gt;=4,"A",IF(B86&gt;=3,"B","C")))</f>
        <v/>
      </c>
      <c r="J86" s="33" t="str">
        <f t="shared" si="85"/>
        <v/>
      </c>
      <c r="K86" s="33" t="str">
        <f t="shared" si="85"/>
        <v/>
      </c>
    </row>
    <row r="87" ht="15.75" customHeight="1">
      <c r="B87" s="33"/>
      <c r="C87" s="33"/>
      <c r="D87" s="33"/>
      <c r="F87" s="33"/>
      <c r="I87" s="33" t="str">
        <f t="shared" ref="I87:K87" si="86">IF(B87="","",IF(B87&gt;=4,"A",IF(B87&gt;=3,"B","C")))</f>
        <v/>
      </c>
      <c r="J87" s="33" t="str">
        <f t="shared" si="86"/>
        <v/>
      </c>
      <c r="K87" s="33" t="str">
        <f t="shared" si="86"/>
        <v/>
      </c>
    </row>
    <row r="88" ht="15.75" customHeight="1">
      <c r="B88" s="33"/>
      <c r="C88" s="33"/>
      <c r="D88" s="33"/>
      <c r="F88" s="33"/>
      <c r="I88" s="33" t="str">
        <f t="shared" ref="I88:K88" si="87">IF(B88="","",IF(B88&gt;=4,"A",IF(B88&gt;=3,"B","C")))</f>
        <v/>
      </c>
      <c r="J88" s="33" t="str">
        <f t="shared" si="87"/>
        <v/>
      </c>
      <c r="K88" s="33" t="str">
        <f t="shared" si="87"/>
        <v/>
      </c>
    </row>
    <row r="89" ht="15.75" customHeight="1">
      <c r="B89" s="33"/>
      <c r="C89" s="33"/>
      <c r="D89" s="33"/>
      <c r="F89" s="33"/>
      <c r="I89" s="33" t="str">
        <f t="shared" ref="I89:K89" si="88">IF(B89="","",IF(B89&gt;=4,"A",IF(B89&gt;=3,"B","C")))</f>
        <v/>
      </c>
      <c r="J89" s="33" t="str">
        <f t="shared" si="88"/>
        <v/>
      </c>
      <c r="K89" s="33" t="str">
        <f t="shared" si="88"/>
        <v/>
      </c>
    </row>
    <row r="90" ht="15.75" customHeight="1">
      <c r="B90" s="33"/>
      <c r="C90" s="33"/>
      <c r="D90" s="33"/>
      <c r="F90" s="33"/>
      <c r="I90" s="33" t="str">
        <f t="shared" ref="I90:K90" si="89">IF(B90="","",IF(B90&gt;=4,"A",IF(B90&gt;=3,"B","C")))</f>
        <v/>
      </c>
      <c r="J90" s="33" t="str">
        <f t="shared" si="89"/>
        <v/>
      </c>
      <c r="K90" s="33" t="str">
        <f t="shared" si="89"/>
        <v/>
      </c>
    </row>
    <row r="91" ht="15.75" customHeight="1">
      <c r="B91" s="33"/>
      <c r="C91" s="33"/>
      <c r="D91" s="33"/>
      <c r="F91" s="33"/>
      <c r="I91" s="33" t="str">
        <f t="shared" ref="I91:K91" si="90">IF(B91="","",IF(B91&gt;=4,"A",IF(B91&gt;=3,"B","C")))</f>
        <v/>
      </c>
      <c r="J91" s="33" t="str">
        <f t="shared" si="90"/>
        <v/>
      </c>
      <c r="K91" s="33" t="str">
        <f t="shared" si="90"/>
        <v/>
      </c>
    </row>
    <row r="92" ht="15.75" customHeight="1">
      <c r="B92" s="33"/>
      <c r="C92" s="33"/>
      <c r="D92" s="33"/>
      <c r="F92" s="33"/>
      <c r="I92" s="33" t="str">
        <f t="shared" ref="I92:K92" si="91">IF(B92="","",IF(B92&gt;=4,"A",IF(B92&gt;=3,"B","C")))</f>
        <v/>
      </c>
      <c r="J92" s="33" t="str">
        <f t="shared" si="91"/>
        <v/>
      </c>
      <c r="K92" s="33" t="str">
        <f t="shared" si="91"/>
        <v/>
      </c>
    </row>
    <row r="93" ht="15.75" customHeight="1">
      <c r="B93" s="33"/>
      <c r="C93" s="33"/>
      <c r="D93" s="33"/>
      <c r="F93" s="33"/>
      <c r="I93" s="33" t="str">
        <f t="shared" ref="I93:K93" si="92">IF(B93="","",IF(B93&gt;=4,"A",IF(B93&gt;=3,"B","C")))</f>
        <v/>
      </c>
      <c r="J93" s="33" t="str">
        <f t="shared" si="92"/>
        <v/>
      </c>
      <c r="K93" s="33" t="str">
        <f t="shared" si="92"/>
        <v/>
      </c>
    </row>
    <row r="94" ht="15.75" customHeight="1">
      <c r="B94" s="33"/>
      <c r="C94" s="33"/>
      <c r="D94" s="33"/>
      <c r="F94" s="33"/>
      <c r="I94" s="33" t="str">
        <f t="shared" ref="I94:K94" si="93">IF(B94="","",IF(B94&gt;=4,"A",IF(B94&gt;=3,"B","C")))</f>
        <v/>
      </c>
      <c r="J94" s="33" t="str">
        <f t="shared" si="93"/>
        <v/>
      </c>
      <c r="K94" s="33" t="str">
        <f t="shared" si="93"/>
        <v/>
      </c>
    </row>
    <row r="95" ht="15.75" customHeight="1">
      <c r="B95" s="33"/>
      <c r="C95" s="33"/>
      <c r="D95" s="33"/>
      <c r="F95" s="33"/>
      <c r="I95" s="33" t="str">
        <f t="shared" ref="I95:K95" si="94">IF(B95="","",IF(B95&gt;=4,"A",IF(B95&gt;=3,"B","C")))</f>
        <v/>
      </c>
      <c r="J95" s="33" t="str">
        <f t="shared" si="94"/>
        <v/>
      </c>
      <c r="K95" s="33" t="str">
        <f t="shared" si="94"/>
        <v/>
      </c>
    </row>
    <row r="96" ht="15.75" customHeight="1">
      <c r="B96" s="33"/>
      <c r="C96" s="33"/>
      <c r="D96" s="33"/>
      <c r="F96" s="33"/>
      <c r="I96" s="33" t="str">
        <f t="shared" ref="I96:K96" si="95">IF(B96="","",IF(B96&gt;=4,"A",IF(B96&gt;=3,"B","C")))</f>
        <v/>
      </c>
      <c r="J96" s="33" t="str">
        <f t="shared" si="95"/>
        <v/>
      </c>
      <c r="K96" s="33" t="str">
        <f t="shared" si="95"/>
        <v/>
      </c>
    </row>
    <row r="97" ht="15.75" customHeight="1">
      <c r="B97" s="33"/>
      <c r="C97" s="33"/>
      <c r="D97" s="33"/>
      <c r="F97" s="33"/>
      <c r="I97" s="33" t="str">
        <f t="shared" ref="I97:K97" si="96">IF(B97="","",IF(B97&gt;=4,"A",IF(B97&gt;=3,"B","C")))</f>
        <v/>
      </c>
      <c r="J97" s="33" t="str">
        <f t="shared" si="96"/>
        <v/>
      </c>
      <c r="K97" s="33" t="str">
        <f t="shared" si="96"/>
        <v/>
      </c>
    </row>
    <row r="98" ht="15.75" customHeight="1">
      <c r="B98" s="33"/>
      <c r="C98" s="33"/>
      <c r="D98" s="33"/>
      <c r="F98" s="33"/>
      <c r="I98" s="33" t="str">
        <f t="shared" ref="I98:K98" si="97">IF(B98="","",IF(B98&gt;=4,"A",IF(B98&gt;=3,"B","C")))</f>
        <v/>
      </c>
      <c r="J98" s="33" t="str">
        <f t="shared" si="97"/>
        <v/>
      </c>
      <c r="K98" s="33" t="str">
        <f t="shared" si="97"/>
        <v/>
      </c>
    </row>
    <row r="99" ht="15.75" customHeight="1">
      <c r="B99" s="33"/>
      <c r="C99" s="33"/>
      <c r="D99" s="33"/>
      <c r="F99" s="33"/>
      <c r="I99" s="33" t="str">
        <f t="shared" ref="I99:K99" si="98">IF(B99="","",IF(B99&gt;=4,"A",IF(B99&gt;=3,"B","C")))</f>
        <v/>
      </c>
      <c r="J99" s="33" t="str">
        <f t="shared" si="98"/>
        <v/>
      </c>
      <c r="K99" s="33" t="str">
        <f t="shared" si="98"/>
        <v/>
      </c>
    </row>
    <row r="100" ht="15.75" customHeight="1">
      <c r="B100" s="33"/>
      <c r="C100" s="33"/>
      <c r="D100" s="33"/>
      <c r="F100" s="33"/>
      <c r="I100" s="33" t="str">
        <f t="shared" ref="I100:K100" si="99">IF(B100="","",IF(B100&gt;=4,"A",IF(B100&gt;=3,"B","C")))</f>
        <v/>
      </c>
      <c r="J100" s="33" t="str">
        <f t="shared" si="99"/>
        <v/>
      </c>
      <c r="K100" s="33" t="str">
        <f t="shared" si="99"/>
        <v/>
      </c>
    </row>
    <row r="101" ht="15.75" customHeight="1">
      <c r="B101" s="33"/>
      <c r="C101" s="33"/>
      <c r="D101" s="33"/>
      <c r="F101" s="33"/>
      <c r="I101" s="33" t="str">
        <f t="shared" ref="I101:K101" si="100">IF(B101="","",IF(B101&gt;=4,"A",IF(B101&gt;=3,"B","C")))</f>
        <v/>
      </c>
      <c r="J101" s="33" t="str">
        <f t="shared" si="100"/>
        <v/>
      </c>
      <c r="K101" s="33" t="str">
        <f t="shared" si="100"/>
        <v/>
      </c>
    </row>
    <row r="102" ht="15.75" customHeight="1">
      <c r="B102" s="33"/>
      <c r="C102" s="33"/>
      <c r="D102" s="33"/>
      <c r="F102" s="33"/>
      <c r="I102" s="33" t="str">
        <f t="shared" ref="I102:K102" si="101">IF(B102="","",IF(B102&gt;=4,"A",IF(B102&gt;=3,"B","C")))</f>
        <v/>
      </c>
      <c r="J102" s="33" t="str">
        <f t="shared" si="101"/>
        <v/>
      </c>
      <c r="K102" s="33" t="str">
        <f t="shared" si="101"/>
        <v/>
      </c>
    </row>
    <row r="103" ht="15.75" customHeight="1">
      <c r="B103" s="33"/>
      <c r="C103" s="33"/>
      <c r="D103" s="33"/>
      <c r="F103" s="33"/>
      <c r="I103" s="33" t="str">
        <f t="shared" ref="I103:K103" si="102">IF(B103="","",IF(B103&gt;=4,"A",IF(B103&gt;=3,"B","C")))</f>
        <v/>
      </c>
      <c r="J103" s="33" t="str">
        <f t="shared" si="102"/>
        <v/>
      </c>
      <c r="K103" s="33" t="str">
        <f t="shared" si="102"/>
        <v/>
      </c>
    </row>
    <row r="104" ht="15.75" customHeight="1">
      <c r="B104" s="33"/>
      <c r="C104" s="33"/>
      <c r="D104" s="33"/>
      <c r="F104" s="33"/>
      <c r="I104" s="33" t="str">
        <f t="shared" ref="I104:K104" si="103">IF(B104="","",IF(B104&gt;=4,"A",IF(B104&gt;=3,"B","C")))</f>
        <v/>
      </c>
      <c r="J104" s="33" t="str">
        <f t="shared" si="103"/>
        <v/>
      </c>
      <c r="K104" s="33" t="str">
        <f t="shared" si="103"/>
        <v/>
      </c>
    </row>
    <row r="105" ht="15.75" customHeight="1">
      <c r="B105" s="33"/>
      <c r="C105" s="33"/>
      <c r="D105" s="33"/>
      <c r="F105" s="33"/>
      <c r="I105" s="33" t="str">
        <f t="shared" ref="I105:K105" si="104">IF(B105="","",IF(B105&gt;=4,"A",IF(B105&gt;=3,"B","C")))</f>
        <v/>
      </c>
      <c r="J105" s="33" t="str">
        <f t="shared" si="104"/>
        <v/>
      </c>
      <c r="K105" s="33" t="str">
        <f t="shared" si="104"/>
        <v/>
      </c>
    </row>
    <row r="106" ht="15.75" customHeight="1">
      <c r="B106" s="33"/>
      <c r="C106" s="33"/>
      <c r="D106" s="33"/>
      <c r="F106" s="33"/>
      <c r="I106" s="33" t="str">
        <f t="shared" ref="I106:K106" si="105">IF(B106="","",IF(B106&gt;=4,"A",IF(B106&gt;=3,"B","C")))</f>
        <v/>
      </c>
      <c r="J106" s="33" t="str">
        <f t="shared" si="105"/>
        <v/>
      </c>
      <c r="K106" s="33" t="str">
        <f t="shared" si="105"/>
        <v/>
      </c>
    </row>
    <row r="107" ht="15.75" customHeight="1">
      <c r="B107" s="33"/>
      <c r="C107" s="33"/>
      <c r="D107" s="33"/>
      <c r="F107" s="33"/>
      <c r="I107" s="33" t="str">
        <f t="shared" ref="I107:K107" si="106">IF(B107="","",IF(B107&gt;=4,"A",IF(B107&gt;=3,"B","C")))</f>
        <v/>
      </c>
      <c r="J107" s="33" t="str">
        <f t="shared" si="106"/>
        <v/>
      </c>
      <c r="K107" s="33" t="str">
        <f t="shared" si="106"/>
        <v/>
      </c>
    </row>
    <row r="108" ht="15.75" customHeight="1">
      <c r="B108" s="33"/>
      <c r="C108" s="33"/>
      <c r="D108" s="33"/>
      <c r="F108" s="33"/>
      <c r="I108" s="33" t="str">
        <f t="shared" ref="I108:K108" si="107">IF(B108="","",IF(B108&gt;=4,"A",IF(B108&gt;=3,"B","C")))</f>
        <v/>
      </c>
      <c r="J108" s="33" t="str">
        <f t="shared" si="107"/>
        <v/>
      </c>
      <c r="K108" s="33" t="str">
        <f t="shared" si="107"/>
        <v/>
      </c>
    </row>
    <row r="109" ht="15.75" customHeight="1">
      <c r="B109" s="33"/>
      <c r="C109" s="33"/>
      <c r="D109" s="33"/>
      <c r="F109" s="33"/>
      <c r="I109" s="33" t="str">
        <f t="shared" ref="I109:K109" si="108">IF(B109="","",IF(B109&gt;=4,"A",IF(B109&gt;=3,"B","C")))</f>
        <v/>
      </c>
      <c r="J109" s="33" t="str">
        <f t="shared" si="108"/>
        <v/>
      </c>
      <c r="K109" s="33" t="str">
        <f t="shared" si="108"/>
        <v/>
      </c>
    </row>
    <row r="110" ht="15.75" customHeight="1">
      <c r="B110" s="33"/>
      <c r="C110" s="33"/>
      <c r="D110" s="33"/>
      <c r="F110" s="33"/>
      <c r="I110" s="33" t="str">
        <f t="shared" ref="I110:K110" si="109">IF(B110="","",IF(B110&gt;=4,"A",IF(B110&gt;=3,"B","C")))</f>
        <v/>
      </c>
      <c r="J110" s="33" t="str">
        <f t="shared" si="109"/>
        <v/>
      </c>
      <c r="K110" s="33" t="str">
        <f t="shared" si="109"/>
        <v/>
      </c>
    </row>
    <row r="111" ht="15.75" customHeight="1">
      <c r="B111" s="33"/>
      <c r="C111" s="33"/>
      <c r="D111" s="33"/>
      <c r="F111" s="33"/>
      <c r="I111" s="33" t="str">
        <f t="shared" ref="I111:K111" si="110">IF(B111="","",IF(B111&gt;=4,"A",IF(B111&gt;=3,"B","C")))</f>
        <v/>
      </c>
      <c r="J111" s="33" t="str">
        <f t="shared" si="110"/>
        <v/>
      </c>
      <c r="K111" s="33" t="str">
        <f t="shared" si="110"/>
        <v/>
      </c>
    </row>
    <row r="112" ht="15.75" customHeight="1">
      <c r="B112" s="33"/>
      <c r="C112" s="33"/>
      <c r="D112" s="33"/>
      <c r="F112" s="33"/>
      <c r="I112" s="33" t="str">
        <f t="shared" ref="I112:K112" si="111">IF(B112="","",IF(B112&gt;=4,"A",IF(B112&gt;=3,"B","C")))</f>
        <v/>
      </c>
      <c r="J112" s="33" t="str">
        <f t="shared" si="111"/>
        <v/>
      </c>
      <c r="K112" s="33" t="str">
        <f t="shared" si="111"/>
        <v/>
      </c>
    </row>
    <row r="113" ht="15.75" customHeight="1">
      <c r="B113" s="33"/>
      <c r="C113" s="33"/>
      <c r="D113" s="33"/>
      <c r="F113" s="33"/>
      <c r="I113" s="33" t="str">
        <f t="shared" ref="I113:K113" si="112">IF(B113="","",IF(B113&gt;=4,"A",IF(B113&gt;=3,"B","C")))</f>
        <v/>
      </c>
      <c r="J113" s="33" t="str">
        <f t="shared" si="112"/>
        <v/>
      </c>
      <c r="K113" s="33" t="str">
        <f t="shared" si="112"/>
        <v/>
      </c>
    </row>
    <row r="114" ht="15.75" customHeight="1">
      <c r="B114" s="33"/>
      <c r="C114" s="33"/>
      <c r="D114" s="33"/>
      <c r="F114" s="33"/>
      <c r="I114" s="33" t="str">
        <f t="shared" ref="I114:K114" si="113">IF(B114="","",IF(B114&gt;=4,"A",IF(B114&gt;=3,"B","C")))</f>
        <v/>
      </c>
      <c r="J114" s="33" t="str">
        <f t="shared" si="113"/>
        <v/>
      </c>
      <c r="K114" s="33" t="str">
        <f t="shared" si="113"/>
        <v/>
      </c>
    </row>
    <row r="115" ht="15.75" customHeight="1">
      <c r="B115" s="33"/>
      <c r="C115" s="33"/>
      <c r="D115" s="33"/>
      <c r="F115" s="33"/>
      <c r="I115" s="33" t="str">
        <f t="shared" ref="I115:K115" si="114">IF(B115="","",IF(B115&gt;=4,"A",IF(B115&gt;=3,"B","C")))</f>
        <v/>
      </c>
      <c r="J115" s="33" t="str">
        <f t="shared" si="114"/>
        <v/>
      </c>
      <c r="K115" s="33" t="str">
        <f t="shared" si="114"/>
        <v/>
      </c>
    </row>
    <row r="116" ht="15.75" customHeight="1">
      <c r="B116" s="33"/>
      <c r="C116" s="33"/>
      <c r="D116" s="33"/>
      <c r="F116" s="33"/>
      <c r="I116" s="33" t="str">
        <f t="shared" ref="I116:K116" si="115">IF(B116="","",IF(B116&gt;=4,"A",IF(B116&gt;=3,"B","C")))</f>
        <v/>
      </c>
      <c r="J116" s="33" t="str">
        <f t="shared" si="115"/>
        <v/>
      </c>
      <c r="K116" s="33" t="str">
        <f t="shared" si="115"/>
        <v/>
      </c>
    </row>
    <row r="117" ht="15.75" customHeight="1">
      <c r="B117" s="33"/>
      <c r="C117" s="33"/>
      <c r="D117" s="33"/>
      <c r="F117" s="33"/>
      <c r="I117" s="33" t="str">
        <f t="shared" ref="I117:K117" si="116">IF(B117="","",IF(B117&gt;=4,"A",IF(B117&gt;=3,"B","C")))</f>
        <v/>
      </c>
      <c r="J117" s="33" t="str">
        <f t="shared" si="116"/>
        <v/>
      </c>
      <c r="K117" s="33" t="str">
        <f t="shared" si="116"/>
        <v/>
      </c>
    </row>
    <row r="118" ht="15.75" customHeight="1">
      <c r="B118" s="33"/>
      <c r="C118" s="33"/>
      <c r="D118" s="33"/>
      <c r="F118" s="33"/>
      <c r="I118" s="33" t="str">
        <f t="shared" ref="I118:K118" si="117">IF(B118="","",IF(B118&gt;=4,"A",IF(B118&gt;=3,"B","C")))</f>
        <v/>
      </c>
      <c r="J118" s="33" t="str">
        <f t="shared" si="117"/>
        <v/>
      </c>
      <c r="K118" s="33" t="str">
        <f t="shared" si="117"/>
        <v/>
      </c>
    </row>
    <row r="119" ht="15.75" customHeight="1">
      <c r="B119" s="33"/>
      <c r="C119" s="33"/>
      <c r="D119" s="33"/>
      <c r="F119" s="33"/>
      <c r="I119" s="33" t="str">
        <f t="shared" ref="I119:K119" si="118">IF(B119="","",IF(B119&gt;=4,"A",IF(B119&gt;=3,"B","C")))</f>
        <v/>
      </c>
      <c r="J119" s="33" t="str">
        <f t="shared" si="118"/>
        <v/>
      </c>
      <c r="K119" s="33" t="str">
        <f t="shared" si="118"/>
        <v/>
      </c>
    </row>
    <row r="120" ht="15.75" customHeight="1">
      <c r="B120" s="33"/>
      <c r="C120" s="33"/>
      <c r="D120" s="33"/>
      <c r="F120" s="33"/>
      <c r="I120" s="33" t="str">
        <f t="shared" ref="I120:K120" si="119">IF(B120="","",IF(B120&gt;=4,"A",IF(B120&gt;=3,"B","C")))</f>
        <v/>
      </c>
      <c r="J120" s="33" t="str">
        <f t="shared" si="119"/>
        <v/>
      </c>
      <c r="K120" s="33" t="str">
        <f t="shared" si="119"/>
        <v/>
      </c>
    </row>
    <row r="121" ht="15.75" customHeight="1">
      <c r="B121" s="33"/>
      <c r="C121" s="33"/>
      <c r="D121" s="33"/>
      <c r="F121" s="33"/>
      <c r="I121" s="33" t="str">
        <f t="shared" ref="I121:K121" si="120">IF(B121="","",IF(B121&gt;=4,"A",IF(B121&gt;=3,"B","C")))</f>
        <v/>
      </c>
      <c r="J121" s="33" t="str">
        <f t="shared" si="120"/>
        <v/>
      </c>
      <c r="K121" s="33" t="str">
        <f t="shared" si="120"/>
        <v/>
      </c>
    </row>
    <row r="122" ht="15.75" customHeight="1">
      <c r="B122" s="33"/>
      <c r="C122" s="33"/>
      <c r="D122" s="33"/>
      <c r="F122" s="33"/>
      <c r="I122" s="33" t="str">
        <f t="shared" ref="I122:K122" si="121">IF(B122="","",IF(B122&gt;=4,"A",IF(B122&gt;=3,"B","C")))</f>
        <v/>
      </c>
      <c r="J122" s="33" t="str">
        <f t="shared" si="121"/>
        <v/>
      </c>
      <c r="K122" s="33" t="str">
        <f t="shared" si="121"/>
        <v/>
      </c>
    </row>
    <row r="123" ht="15.75" customHeight="1">
      <c r="B123" s="33"/>
      <c r="C123" s="33"/>
      <c r="D123" s="33"/>
      <c r="F123" s="33"/>
      <c r="I123" s="33" t="str">
        <f t="shared" ref="I123:K123" si="122">IF(B123="","",IF(B123&gt;=4,"A",IF(B123&gt;=3,"B","C")))</f>
        <v/>
      </c>
      <c r="J123" s="33" t="str">
        <f t="shared" si="122"/>
        <v/>
      </c>
      <c r="K123" s="33" t="str">
        <f t="shared" si="122"/>
        <v/>
      </c>
    </row>
    <row r="124" ht="15.75" customHeight="1">
      <c r="B124" s="33"/>
      <c r="C124" s="33"/>
      <c r="D124" s="33"/>
      <c r="F124" s="33"/>
      <c r="I124" s="33" t="str">
        <f t="shared" ref="I124:K124" si="123">IF(B124="","",IF(B124&gt;=4,"A",IF(B124&gt;=3,"B","C")))</f>
        <v/>
      </c>
      <c r="J124" s="33" t="str">
        <f t="shared" si="123"/>
        <v/>
      </c>
      <c r="K124" s="33" t="str">
        <f t="shared" si="123"/>
        <v/>
      </c>
    </row>
    <row r="125" ht="15.75" customHeight="1">
      <c r="B125" s="33"/>
      <c r="C125" s="33"/>
      <c r="D125" s="33"/>
      <c r="F125" s="33"/>
      <c r="I125" s="33" t="str">
        <f t="shared" ref="I125:K125" si="124">IF(B125="","",IF(B125&gt;=4,"A",IF(B125&gt;=3,"B","C")))</f>
        <v/>
      </c>
      <c r="J125" s="33" t="str">
        <f t="shared" si="124"/>
        <v/>
      </c>
      <c r="K125" s="33" t="str">
        <f t="shared" si="124"/>
        <v/>
      </c>
    </row>
    <row r="126" ht="15.75" customHeight="1">
      <c r="B126" s="33"/>
      <c r="C126" s="33"/>
      <c r="D126" s="33"/>
      <c r="F126" s="33"/>
      <c r="I126" s="33" t="str">
        <f t="shared" ref="I126:K126" si="125">IF(B126="","",IF(B126&gt;=4,"A",IF(B126&gt;=3,"B","C")))</f>
        <v/>
      </c>
      <c r="J126" s="33" t="str">
        <f t="shared" si="125"/>
        <v/>
      </c>
      <c r="K126" s="33" t="str">
        <f t="shared" si="125"/>
        <v/>
      </c>
    </row>
    <row r="127" ht="15.75" customHeight="1">
      <c r="B127" s="33"/>
      <c r="C127" s="33"/>
      <c r="D127" s="33"/>
      <c r="F127" s="33"/>
      <c r="I127" s="33" t="str">
        <f t="shared" ref="I127:K127" si="126">IF(B127="","",IF(B127&gt;=4,"A",IF(B127&gt;=3,"B","C")))</f>
        <v/>
      </c>
      <c r="J127" s="33" t="str">
        <f t="shared" si="126"/>
        <v/>
      </c>
      <c r="K127" s="33" t="str">
        <f t="shared" si="126"/>
        <v/>
      </c>
    </row>
    <row r="128" ht="15.75" customHeight="1">
      <c r="B128" s="33"/>
      <c r="C128" s="33"/>
      <c r="D128" s="33"/>
      <c r="F128" s="33"/>
      <c r="I128" s="33" t="str">
        <f t="shared" ref="I128:K128" si="127">IF(B128="","",IF(B128&gt;=4,"A",IF(B128&gt;=3,"B","C")))</f>
        <v/>
      </c>
      <c r="J128" s="33" t="str">
        <f t="shared" si="127"/>
        <v/>
      </c>
      <c r="K128" s="33" t="str">
        <f t="shared" si="127"/>
        <v/>
      </c>
    </row>
    <row r="129" ht="15.75" customHeight="1">
      <c r="B129" s="33"/>
      <c r="C129" s="33"/>
      <c r="D129" s="33"/>
      <c r="F129" s="33"/>
      <c r="I129" s="33" t="str">
        <f t="shared" ref="I129:K129" si="128">IF(B129="","",IF(B129&gt;=4,"A",IF(B129&gt;=3,"B","C")))</f>
        <v/>
      </c>
      <c r="J129" s="33" t="str">
        <f t="shared" si="128"/>
        <v/>
      </c>
      <c r="K129" s="33" t="str">
        <f t="shared" si="128"/>
        <v/>
      </c>
    </row>
    <row r="130" ht="15.75" customHeight="1">
      <c r="B130" s="33"/>
      <c r="C130" s="33"/>
      <c r="D130" s="33"/>
      <c r="F130" s="33"/>
      <c r="I130" s="33" t="str">
        <f t="shared" ref="I130:K130" si="129">IF(B130="","",IF(B130&gt;=4,"A",IF(B130&gt;=3,"B","C")))</f>
        <v/>
      </c>
      <c r="J130" s="33" t="str">
        <f t="shared" si="129"/>
        <v/>
      </c>
      <c r="K130" s="33" t="str">
        <f t="shared" si="129"/>
        <v/>
      </c>
    </row>
    <row r="131" ht="15.75" customHeight="1">
      <c r="B131" s="33"/>
      <c r="C131" s="33"/>
      <c r="D131" s="33"/>
      <c r="F131" s="33"/>
      <c r="I131" s="33" t="str">
        <f t="shared" ref="I131:K131" si="130">IF(B131="","",IF(B131&gt;=4,"A",IF(B131&gt;=3,"B","C")))</f>
        <v/>
      </c>
      <c r="J131" s="33" t="str">
        <f t="shared" si="130"/>
        <v/>
      </c>
      <c r="K131" s="33" t="str">
        <f t="shared" si="130"/>
        <v/>
      </c>
    </row>
    <row r="132" ht="15.75" customHeight="1">
      <c r="B132" s="33"/>
      <c r="C132" s="33"/>
      <c r="D132" s="33"/>
      <c r="F132" s="33"/>
      <c r="I132" s="33" t="str">
        <f t="shared" ref="I132:K132" si="131">IF(B132="","",IF(B132&gt;=4,"A",IF(B132&gt;=3,"B","C")))</f>
        <v/>
      </c>
      <c r="J132" s="33" t="str">
        <f t="shared" si="131"/>
        <v/>
      </c>
      <c r="K132" s="33" t="str">
        <f t="shared" si="131"/>
        <v/>
      </c>
    </row>
    <row r="133" ht="15.75" customHeight="1">
      <c r="B133" s="33"/>
      <c r="C133" s="33"/>
      <c r="D133" s="33"/>
      <c r="F133" s="33"/>
      <c r="I133" s="33" t="str">
        <f t="shared" ref="I133:K133" si="132">IF(B133="","",IF(B133&gt;=4,"A",IF(B133&gt;=3,"B","C")))</f>
        <v/>
      </c>
      <c r="J133" s="33" t="str">
        <f t="shared" si="132"/>
        <v/>
      </c>
      <c r="K133" s="33" t="str">
        <f t="shared" si="132"/>
        <v/>
      </c>
    </row>
    <row r="134" ht="15.75" customHeight="1">
      <c r="B134" s="33"/>
      <c r="C134" s="33"/>
      <c r="D134" s="33"/>
      <c r="F134" s="33"/>
      <c r="I134" s="33" t="str">
        <f t="shared" ref="I134:K134" si="133">IF(B134="","",IF(B134&gt;=4,"A",IF(B134&gt;=3,"B","C")))</f>
        <v/>
      </c>
      <c r="J134" s="33" t="str">
        <f t="shared" si="133"/>
        <v/>
      </c>
      <c r="K134" s="33" t="str">
        <f t="shared" si="133"/>
        <v/>
      </c>
    </row>
    <row r="135" ht="15.75" customHeight="1">
      <c r="B135" s="33"/>
      <c r="C135" s="33"/>
      <c r="D135" s="33"/>
      <c r="F135" s="33"/>
      <c r="I135" s="33" t="str">
        <f t="shared" ref="I135:K135" si="134">IF(B135="","",IF(B135&gt;=4,"A",IF(B135&gt;=3,"B","C")))</f>
        <v/>
      </c>
      <c r="J135" s="33" t="str">
        <f t="shared" si="134"/>
        <v/>
      </c>
      <c r="K135" s="33" t="str">
        <f t="shared" si="134"/>
        <v/>
      </c>
    </row>
    <row r="136" ht="15.75" customHeight="1">
      <c r="B136" s="33"/>
      <c r="C136" s="33"/>
      <c r="D136" s="33"/>
      <c r="F136" s="33"/>
      <c r="I136" s="33" t="str">
        <f t="shared" ref="I136:K136" si="135">IF(B136="","",IF(B136&gt;=4,"A",IF(B136&gt;=3,"B","C")))</f>
        <v/>
      </c>
      <c r="J136" s="33" t="str">
        <f t="shared" si="135"/>
        <v/>
      </c>
      <c r="K136" s="33" t="str">
        <f t="shared" si="135"/>
        <v/>
      </c>
    </row>
    <row r="137" ht="15.75" customHeight="1">
      <c r="B137" s="33"/>
      <c r="C137" s="33"/>
      <c r="D137" s="33"/>
      <c r="F137" s="33"/>
      <c r="I137" s="33" t="str">
        <f t="shared" ref="I137:K137" si="136">IF(B137="","",IF(B137&gt;=4,"A",IF(B137&gt;=3,"B","C")))</f>
        <v/>
      </c>
      <c r="J137" s="33" t="str">
        <f t="shared" si="136"/>
        <v/>
      </c>
      <c r="K137" s="33" t="str">
        <f t="shared" si="136"/>
        <v/>
      </c>
    </row>
    <row r="138" ht="15.75" customHeight="1">
      <c r="B138" s="33"/>
      <c r="C138" s="33"/>
      <c r="D138" s="33"/>
      <c r="F138" s="33"/>
      <c r="I138" s="33" t="str">
        <f t="shared" ref="I138:K138" si="137">IF(B138="","",IF(B138&gt;=4,"A",IF(B138&gt;=3,"B","C")))</f>
        <v/>
      </c>
      <c r="J138" s="33" t="str">
        <f t="shared" si="137"/>
        <v/>
      </c>
      <c r="K138" s="33" t="str">
        <f t="shared" si="137"/>
        <v/>
      </c>
    </row>
    <row r="139" ht="15.75" customHeight="1">
      <c r="B139" s="33"/>
      <c r="C139" s="33"/>
      <c r="D139" s="33"/>
      <c r="F139" s="33"/>
      <c r="I139" s="33" t="str">
        <f t="shared" ref="I139:K139" si="138">IF(B139="","",IF(B139&gt;=4,"A",IF(B139&gt;=3,"B","C")))</f>
        <v/>
      </c>
      <c r="J139" s="33" t="str">
        <f t="shared" si="138"/>
        <v/>
      </c>
      <c r="K139" s="33" t="str">
        <f t="shared" si="138"/>
        <v/>
      </c>
    </row>
    <row r="140" ht="15.75" customHeight="1">
      <c r="B140" s="33"/>
      <c r="C140" s="33"/>
      <c r="D140" s="33"/>
      <c r="F140" s="33"/>
      <c r="I140" s="33" t="str">
        <f t="shared" ref="I140:K140" si="139">IF(B140="","",IF(B140&gt;=4,"A",IF(B140&gt;=3,"B","C")))</f>
        <v/>
      </c>
      <c r="J140" s="33" t="str">
        <f t="shared" si="139"/>
        <v/>
      </c>
      <c r="K140" s="33" t="str">
        <f t="shared" si="139"/>
        <v/>
      </c>
    </row>
    <row r="141" ht="15.75" customHeight="1">
      <c r="B141" s="33"/>
      <c r="C141" s="33"/>
      <c r="D141" s="33"/>
      <c r="F141" s="33"/>
      <c r="I141" s="33" t="str">
        <f t="shared" ref="I141:K141" si="140">IF(B141="","",IF(B141&gt;=4,"A",IF(B141&gt;=3,"B","C")))</f>
        <v/>
      </c>
      <c r="J141" s="33" t="str">
        <f t="shared" si="140"/>
        <v/>
      </c>
      <c r="K141" s="33" t="str">
        <f t="shared" si="140"/>
        <v/>
      </c>
    </row>
    <row r="142" ht="15.75" customHeight="1">
      <c r="B142" s="33"/>
      <c r="C142" s="33"/>
      <c r="D142" s="33"/>
      <c r="F142" s="33"/>
      <c r="I142" s="33" t="str">
        <f t="shared" ref="I142:K142" si="141">IF(B142="","",IF(B142&gt;=4,"A",IF(B142&gt;=3,"B","C")))</f>
        <v/>
      </c>
      <c r="J142" s="33" t="str">
        <f t="shared" si="141"/>
        <v/>
      </c>
      <c r="K142" s="33" t="str">
        <f t="shared" si="141"/>
        <v/>
      </c>
    </row>
    <row r="143" ht="15.75" customHeight="1">
      <c r="B143" s="33"/>
      <c r="C143" s="33"/>
      <c r="D143" s="33"/>
      <c r="F143" s="33"/>
      <c r="I143" s="33" t="str">
        <f t="shared" ref="I143:K143" si="142">IF(B143="","",IF(B143&gt;=4,"A",IF(B143&gt;=3,"B","C")))</f>
        <v/>
      </c>
      <c r="J143" s="33" t="str">
        <f t="shared" si="142"/>
        <v/>
      </c>
      <c r="K143" s="33" t="str">
        <f t="shared" si="142"/>
        <v/>
      </c>
    </row>
    <row r="144" ht="15.75" customHeight="1">
      <c r="B144" s="33"/>
      <c r="C144" s="33"/>
      <c r="D144" s="33"/>
      <c r="F144" s="33"/>
      <c r="I144" s="33" t="str">
        <f t="shared" ref="I144:K144" si="143">IF(B144="","",IF(B144&gt;=4,"A",IF(B144&gt;=3,"B","C")))</f>
        <v/>
      </c>
      <c r="J144" s="33" t="str">
        <f t="shared" si="143"/>
        <v/>
      </c>
      <c r="K144" s="33" t="str">
        <f t="shared" si="143"/>
        <v/>
      </c>
    </row>
    <row r="145" ht="15.75" customHeight="1">
      <c r="B145" s="33"/>
      <c r="C145" s="33"/>
      <c r="D145" s="33"/>
      <c r="F145" s="33"/>
      <c r="I145" s="33" t="str">
        <f t="shared" ref="I145:K145" si="144">IF(B145="","",IF(B145&gt;=4,"A",IF(B145&gt;=3,"B","C")))</f>
        <v/>
      </c>
      <c r="J145" s="33" t="str">
        <f t="shared" si="144"/>
        <v/>
      </c>
      <c r="K145" s="33" t="str">
        <f t="shared" si="144"/>
        <v/>
      </c>
    </row>
    <row r="146" ht="15.75" customHeight="1">
      <c r="B146" s="33"/>
      <c r="C146" s="33"/>
      <c r="D146" s="33"/>
      <c r="F146" s="33"/>
      <c r="I146" s="33" t="str">
        <f t="shared" ref="I146:K146" si="145">IF(B146="","",IF(B146&gt;=4,"A",IF(B146&gt;=3,"B","C")))</f>
        <v/>
      </c>
      <c r="J146" s="33" t="str">
        <f t="shared" si="145"/>
        <v/>
      </c>
      <c r="K146" s="33" t="str">
        <f t="shared" si="145"/>
        <v/>
      </c>
    </row>
    <row r="147" ht="15.75" customHeight="1">
      <c r="B147" s="33"/>
      <c r="C147" s="33"/>
      <c r="D147" s="33"/>
      <c r="F147" s="33"/>
      <c r="I147" s="33" t="str">
        <f t="shared" ref="I147:K147" si="146">IF(B147="","",IF(B147&gt;=4,"A",IF(B147&gt;=3,"B","C")))</f>
        <v/>
      </c>
      <c r="J147" s="33" t="str">
        <f t="shared" si="146"/>
        <v/>
      </c>
      <c r="K147" s="33" t="str">
        <f t="shared" si="146"/>
        <v/>
      </c>
    </row>
    <row r="148" ht="15.75" customHeight="1">
      <c r="B148" s="33"/>
      <c r="C148" s="33"/>
      <c r="D148" s="33"/>
      <c r="F148" s="33"/>
      <c r="I148" s="33" t="str">
        <f t="shared" ref="I148:K148" si="147">IF(B148="","",IF(B148&gt;=4,"A",IF(B148&gt;=3,"B","C")))</f>
        <v/>
      </c>
      <c r="J148" s="33" t="str">
        <f t="shared" si="147"/>
        <v/>
      </c>
      <c r="K148" s="33" t="str">
        <f t="shared" si="147"/>
        <v/>
      </c>
    </row>
    <row r="149" ht="15.75" customHeight="1">
      <c r="B149" s="33"/>
      <c r="C149" s="33"/>
      <c r="D149" s="33"/>
      <c r="F149" s="33"/>
      <c r="I149" s="33" t="str">
        <f t="shared" ref="I149:K149" si="148">IF(B149="","",IF(B149&gt;=4,"A",IF(B149&gt;=3,"B","C")))</f>
        <v/>
      </c>
      <c r="J149" s="33" t="str">
        <f t="shared" si="148"/>
        <v/>
      </c>
      <c r="K149" s="33" t="str">
        <f t="shared" si="148"/>
        <v/>
      </c>
    </row>
    <row r="150" ht="15.75" customHeight="1">
      <c r="B150" s="33"/>
      <c r="C150" s="33"/>
      <c r="D150" s="33"/>
      <c r="F150" s="33"/>
      <c r="I150" s="33" t="str">
        <f t="shared" ref="I150:K150" si="149">IF(B150="","",IF(B150&gt;=4,"A",IF(B150&gt;=3,"B","C")))</f>
        <v/>
      </c>
      <c r="J150" s="33" t="str">
        <f t="shared" si="149"/>
        <v/>
      </c>
      <c r="K150" s="33" t="str">
        <f t="shared" si="149"/>
        <v/>
      </c>
    </row>
    <row r="151" ht="15.75" customHeight="1">
      <c r="B151" s="33"/>
      <c r="C151" s="33"/>
      <c r="D151" s="33"/>
      <c r="F151" s="33"/>
      <c r="I151" s="33" t="str">
        <f t="shared" ref="I151:K151" si="150">IF(B151="","",IF(B151&gt;=4,"A",IF(B151&gt;=3,"B","C")))</f>
        <v/>
      </c>
      <c r="J151" s="33" t="str">
        <f t="shared" si="150"/>
        <v/>
      </c>
      <c r="K151" s="33" t="str">
        <f t="shared" si="150"/>
        <v/>
      </c>
    </row>
    <row r="152" ht="15.75" customHeight="1">
      <c r="B152" s="33"/>
      <c r="C152" s="33"/>
      <c r="D152" s="33"/>
      <c r="F152" s="33"/>
      <c r="I152" s="33" t="str">
        <f t="shared" ref="I152:K152" si="151">IF(B152="","",IF(B152&gt;=4,"A",IF(B152&gt;=3,"B","C")))</f>
        <v/>
      </c>
      <c r="J152" s="33" t="str">
        <f t="shared" si="151"/>
        <v/>
      </c>
      <c r="K152" s="33" t="str">
        <f t="shared" si="151"/>
        <v/>
      </c>
    </row>
    <row r="153" ht="15.75" customHeight="1">
      <c r="B153" s="33"/>
      <c r="C153" s="33"/>
      <c r="D153" s="33"/>
      <c r="F153" s="33"/>
      <c r="I153" s="33" t="str">
        <f t="shared" ref="I153:K153" si="152">IF(B153="","",IF(B153&gt;=4,"A",IF(B153&gt;=3,"B","C")))</f>
        <v/>
      </c>
      <c r="J153" s="33" t="str">
        <f t="shared" si="152"/>
        <v/>
      </c>
      <c r="K153" s="33" t="str">
        <f t="shared" si="152"/>
        <v/>
      </c>
    </row>
    <row r="154" ht="15.75" customHeight="1">
      <c r="B154" s="33"/>
      <c r="C154" s="33"/>
      <c r="D154" s="33"/>
      <c r="F154" s="33"/>
      <c r="I154" s="33" t="str">
        <f t="shared" ref="I154:K154" si="153">IF(B154="","",IF(B154&gt;=4,"A",IF(B154&gt;=3,"B","C")))</f>
        <v/>
      </c>
      <c r="J154" s="33" t="str">
        <f t="shared" si="153"/>
        <v/>
      </c>
      <c r="K154" s="33" t="str">
        <f t="shared" si="153"/>
        <v/>
      </c>
    </row>
    <row r="155" ht="15.75" customHeight="1">
      <c r="B155" s="33"/>
      <c r="C155" s="33"/>
      <c r="D155" s="33"/>
      <c r="F155" s="33"/>
      <c r="I155" s="33" t="str">
        <f t="shared" ref="I155:K155" si="154">IF(B155="","",IF(B155&gt;=4,"A",IF(B155&gt;=3,"B","C")))</f>
        <v/>
      </c>
      <c r="J155" s="33" t="str">
        <f t="shared" si="154"/>
        <v/>
      </c>
      <c r="K155" s="33" t="str">
        <f t="shared" si="154"/>
        <v/>
      </c>
    </row>
    <row r="156" ht="15.75" customHeight="1">
      <c r="B156" s="33"/>
      <c r="C156" s="33"/>
      <c r="D156" s="33"/>
      <c r="F156" s="33"/>
      <c r="I156" s="33" t="str">
        <f t="shared" ref="I156:K156" si="155">IF(B156="","",IF(B156&gt;=4,"A",IF(B156&gt;=3,"B","C")))</f>
        <v/>
      </c>
      <c r="J156" s="33" t="str">
        <f t="shared" si="155"/>
        <v/>
      </c>
      <c r="K156" s="33" t="str">
        <f t="shared" si="155"/>
        <v/>
      </c>
    </row>
    <row r="157" ht="15.75" customHeight="1">
      <c r="B157" s="33"/>
      <c r="C157" s="33"/>
      <c r="D157" s="33"/>
      <c r="F157" s="33"/>
      <c r="I157" s="33" t="str">
        <f t="shared" ref="I157:K157" si="156">IF(B157="","",IF(B157&gt;=4,"A",IF(B157&gt;=3,"B","C")))</f>
        <v/>
      </c>
      <c r="J157" s="33" t="str">
        <f t="shared" si="156"/>
        <v/>
      </c>
      <c r="K157" s="33" t="str">
        <f t="shared" si="156"/>
        <v/>
      </c>
    </row>
    <row r="158" ht="15.75" customHeight="1">
      <c r="B158" s="33"/>
      <c r="C158" s="33"/>
      <c r="D158" s="33"/>
      <c r="F158" s="33"/>
      <c r="I158" s="33" t="str">
        <f t="shared" ref="I158:K158" si="157">IF(B158="","",IF(B158&gt;=4,"A",IF(B158&gt;=3,"B","C")))</f>
        <v/>
      </c>
      <c r="J158" s="33" t="str">
        <f t="shared" si="157"/>
        <v/>
      </c>
      <c r="K158" s="33" t="str">
        <f t="shared" si="157"/>
        <v/>
      </c>
    </row>
    <row r="159" ht="15.75" customHeight="1">
      <c r="B159" s="33"/>
      <c r="C159" s="33"/>
      <c r="D159" s="33"/>
      <c r="F159" s="33"/>
      <c r="I159" s="33" t="str">
        <f t="shared" ref="I159:K159" si="158">IF(B159="","",IF(B159&gt;=4,"A",IF(B159&gt;=3,"B","C")))</f>
        <v/>
      </c>
      <c r="J159" s="33" t="str">
        <f t="shared" si="158"/>
        <v/>
      </c>
      <c r="K159" s="33" t="str">
        <f t="shared" si="158"/>
        <v/>
      </c>
    </row>
    <row r="160" ht="15.75" customHeight="1">
      <c r="B160" s="33"/>
      <c r="C160" s="33"/>
      <c r="D160" s="33"/>
      <c r="F160" s="33"/>
      <c r="I160" s="33" t="str">
        <f t="shared" ref="I160:K160" si="159">IF(B160="","",IF(B160&gt;=4,"A",IF(B160&gt;=3,"B","C")))</f>
        <v/>
      </c>
      <c r="J160" s="33" t="str">
        <f t="shared" si="159"/>
        <v/>
      </c>
      <c r="K160" s="33" t="str">
        <f t="shared" si="159"/>
        <v/>
      </c>
    </row>
    <row r="161" ht="15.75" customHeight="1">
      <c r="B161" s="33"/>
      <c r="C161" s="33"/>
      <c r="D161" s="33"/>
      <c r="F161" s="33"/>
      <c r="I161" s="33" t="str">
        <f t="shared" ref="I161:K161" si="160">IF(B161="","",IF(B161&gt;=4,"A",IF(B161&gt;=3,"B","C")))</f>
        <v/>
      </c>
      <c r="J161" s="33" t="str">
        <f t="shared" si="160"/>
        <v/>
      </c>
      <c r="K161" s="33" t="str">
        <f t="shared" si="160"/>
        <v/>
      </c>
    </row>
    <row r="162" ht="15.75" customHeight="1">
      <c r="B162" s="33"/>
      <c r="C162" s="33"/>
      <c r="D162" s="33"/>
      <c r="F162" s="33"/>
      <c r="I162" s="33" t="str">
        <f t="shared" ref="I162:K162" si="161">IF(B162="","",IF(B162&gt;=4,"A",IF(B162&gt;=3,"B","C")))</f>
        <v/>
      </c>
      <c r="J162" s="33" t="str">
        <f t="shared" si="161"/>
        <v/>
      </c>
      <c r="K162" s="33" t="str">
        <f t="shared" si="161"/>
        <v/>
      </c>
    </row>
    <row r="163" ht="15.75" customHeight="1">
      <c r="B163" s="33"/>
      <c r="C163" s="33"/>
      <c r="D163" s="33"/>
      <c r="F163" s="33"/>
      <c r="I163" s="33" t="str">
        <f t="shared" ref="I163:K163" si="162">IF(B163="","",IF(B163&gt;=4,"A",IF(B163&gt;=3,"B","C")))</f>
        <v/>
      </c>
      <c r="J163" s="33" t="str">
        <f t="shared" si="162"/>
        <v/>
      </c>
      <c r="K163" s="33" t="str">
        <f t="shared" si="162"/>
        <v/>
      </c>
    </row>
    <row r="164" ht="15.75" customHeight="1">
      <c r="B164" s="33"/>
      <c r="C164" s="33"/>
      <c r="D164" s="33"/>
      <c r="F164" s="33"/>
      <c r="I164" s="33" t="str">
        <f t="shared" ref="I164:K164" si="163">IF(B164="","",IF(B164&gt;=4,"A",IF(B164&gt;=3,"B","C")))</f>
        <v/>
      </c>
      <c r="J164" s="33" t="str">
        <f t="shared" si="163"/>
        <v/>
      </c>
      <c r="K164" s="33" t="str">
        <f t="shared" si="163"/>
        <v/>
      </c>
    </row>
    <row r="165" ht="15.75" customHeight="1">
      <c r="B165" s="33"/>
      <c r="C165" s="33"/>
      <c r="D165" s="33"/>
      <c r="F165" s="33"/>
      <c r="I165" s="33" t="str">
        <f t="shared" ref="I165:K165" si="164">IF(B165="","",IF(B165&gt;=4,"A",IF(B165&gt;=3,"B","C")))</f>
        <v/>
      </c>
      <c r="J165" s="33" t="str">
        <f t="shared" si="164"/>
        <v/>
      </c>
      <c r="K165" s="33" t="str">
        <f t="shared" si="164"/>
        <v/>
      </c>
    </row>
    <row r="166" ht="15.75" customHeight="1">
      <c r="B166" s="33"/>
      <c r="C166" s="33"/>
      <c r="D166" s="33"/>
      <c r="F166" s="33"/>
      <c r="I166" s="33" t="str">
        <f t="shared" ref="I166:K166" si="165">IF(B166="","",IF(B166&gt;=4,"A",IF(B166&gt;=3,"B","C")))</f>
        <v/>
      </c>
      <c r="J166" s="33" t="str">
        <f t="shared" si="165"/>
        <v/>
      </c>
      <c r="K166" s="33" t="str">
        <f t="shared" si="165"/>
        <v/>
      </c>
    </row>
    <row r="167" ht="15.75" customHeight="1">
      <c r="B167" s="33"/>
      <c r="C167" s="33"/>
      <c r="D167" s="33"/>
      <c r="F167" s="33"/>
      <c r="I167" s="33" t="str">
        <f t="shared" ref="I167:K167" si="166">IF(B167="","",IF(B167&gt;=4,"A",IF(B167&gt;=3,"B","C")))</f>
        <v/>
      </c>
      <c r="J167" s="33" t="str">
        <f t="shared" si="166"/>
        <v/>
      </c>
      <c r="K167" s="33" t="str">
        <f t="shared" si="166"/>
        <v/>
      </c>
    </row>
    <row r="168" ht="15.75" customHeight="1">
      <c r="B168" s="33"/>
      <c r="C168" s="33"/>
      <c r="D168" s="33"/>
      <c r="F168" s="33"/>
      <c r="I168" s="33" t="str">
        <f t="shared" ref="I168:K168" si="167">IF(B168="","",IF(B168&gt;=4,"A",IF(B168&gt;=3,"B","C")))</f>
        <v/>
      </c>
      <c r="J168" s="33" t="str">
        <f t="shared" si="167"/>
        <v/>
      </c>
      <c r="K168" s="33" t="str">
        <f t="shared" si="167"/>
        <v/>
      </c>
    </row>
    <row r="169" ht="15.75" customHeight="1">
      <c r="B169" s="33"/>
      <c r="C169" s="33"/>
      <c r="D169" s="33"/>
      <c r="F169" s="33"/>
      <c r="I169" s="33" t="str">
        <f t="shared" ref="I169:K169" si="168">IF(B169="","",IF(B169&gt;=4,"A",IF(B169&gt;=3,"B","C")))</f>
        <v/>
      </c>
      <c r="J169" s="33" t="str">
        <f t="shared" si="168"/>
        <v/>
      </c>
      <c r="K169" s="33" t="str">
        <f t="shared" si="168"/>
        <v/>
      </c>
    </row>
    <row r="170" ht="15.75" customHeight="1">
      <c r="B170" s="33"/>
      <c r="C170" s="33"/>
      <c r="D170" s="33"/>
      <c r="F170" s="33"/>
      <c r="I170" s="33" t="str">
        <f t="shared" ref="I170:K170" si="169">IF(B170="","",IF(B170&gt;=4,"A",IF(B170&gt;=3,"B","C")))</f>
        <v/>
      </c>
      <c r="J170" s="33" t="str">
        <f t="shared" si="169"/>
        <v/>
      </c>
      <c r="K170" s="33" t="str">
        <f t="shared" si="169"/>
        <v/>
      </c>
    </row>
    <row r="171" ht="15.75" customHeight="1">
      <c r="B171" s="33"/>
      <c r="C171" s="33"/>
      <c r="D171" s="33"/>
      <c r="F171" s="33"/>
      <c r="I171" s="33" t="str">
        <f t="shared" ref="I171:K171" si="170">IF(B171="","",IF(B171&gt;=4,"A",IF(B171&gt;=3,"B","C")))</f>
        <v/>
      </c>
      <c r="J171" s="33" t="str">
        <f t="shared" si="170"/>
        <v/>
      </c>
      <c r="K171" s="33" t="str">
        <f t="shared" si="170"/>
        <v/>
      </c>
    </row>
    <row r="172" ht="15.75" customHeight="1">
      <c r="B172" s="33"/>
      <c r="C172" s="33"/>
      <c r="D172" s="33"/>
      <c r="F172" s="33"/>
      <c r="I172" s="33" t="str">
        <f t="shared" ref="I172:K172" si="171">IF(B172="","",IF(B172&gt;=4,"A",IF(B172&gt;=3,"B","C")))</f>
        <v/>
      </c>
      <c r="J172" s="33" t="str">
        <f t="shared" si="171"/>
        <v/>
      </c>
      <c r="K172" s="33" t="str">
        <f t="shared" si="171"/>
        <v/>
      </c>
    </row>
    <row r="173" ht="15.75" customHeight="1">
      <c r="B173" s="33"/>
      <c r="C173" s="33"/>
      <c r="D173" s="33"/>
      <c r="F173" s="33"/>
      <c r="I173" s="33" t="str">
        <f t="shared" ref="I173:K173" si="172">IF(B173="","",IF(B173&gt;=4,"A",IF(B173&gt;=3,"B","C")))</f>
        <v/>
      </c>
      <c r="J173" s="33" t="str">
        <f t="shared" si="172"/>
        <v/>
      </c>
      <c r="K173" s="33" t="str">
        <f t="shared" si="172"/>
        <v/>
      </c>
    </row>
    <row r="174" ht="15.75" customHeight="1">
      <c r="B174" s="33"/>
      <c r="C174" s="33"/>
      <c r="D174" s="33"/>
      <c r="F174" s="33"/>
      <c r="I174" s="33" t="str">
        <f t="shared" ref="I174:K174" si="173">IF(B174="","",IF(B174&gt;=4,"A",IF(B174&gt;=3,"B","C")))</f>
        <v/>
      </c>
      <c r="J174" s="33" t="str">
        <f t="shared" si="173"/>
        <v/>
      </c>
      <c r="K174" s="33" t="str">
        <f t="shared" si="173"/>
        <v/>
      </c>
    </row>
    <row r="175" ht="15.75" customHeight="1">
      <c r="B175" s="33"/>
      <c r="C175" s="33"/>
      <c r="D175" s="33"/>
      <c r="F175" s="33"/>
      <c r="I175" s="33" t="str">
        <f t="shared" ref="I175:K175" si="174">IF(B175="","",IF(B175&gt;=4,"A",IF(B175&gt;=3,"B","C")))</f>
        <v/>
      </c>
      <c r="J175" s="33" t="str">
        <f t="shared" si="174"/>
        <v/>
      </c>
      <c r="K175" s="33" t="str">
        <f t="shared" si="174"/>
        <v/>
      </c>
    </row>
    <row r="176" ht="15.75" customHeight="1">
      <c r="B176" s="33"/>
      <c r="C176" s="33"/>
      <c r="D176" s="33"/>
      <c r="F176" s="33"/>
      <c r="I176" s="33" t="str">
        <f t="shared" ref="I176:K176" si="175">IF(B176="","",IF(B176&gt;=4,"A",IF(B176&gt;=3,"B","C")))</f>
        <v/>
      </c>
      <c r="J176" s="33" t="str">
        <f t="shared" si="175"/>
        <v/>
      </c>
      <c r="K176" s="33" t="str">
        <f t="shared" si="175"/>
        <v/>
      </c>
    </row>
    <row r="177" ht="15.75" customHeight="1">
      <c r="B177" s="33"/>
      <c r="C177" s="33"/>
      <c r="D177" s="33"/>
      <c r="F177" s="33"/>
      <c r="I177" s="33" t="str">
        <f t="shared" ref="I177:K177" si="176">IF(B177="","",IF(B177&gt;=4,"A",IF(B177&gt;=3,"B","C")))</f>
        <v/>
      </c>
      <c r="J177" s="33" t="str">
        <f t="shared" si="176"/>
        <v/>
      </c>
      <c r="K177" s="33" t="str">
        <f t="shared" si="176"/>
        <v/>
      </c>
    </row>
    <row r="178" ht="15.75" customHeight="1">
      <c r="B178" s="33"/>
      <c r="C178" s="33"/>
      <c r="D178" s="33"/>
      <c r="F178" s="33"/>
      <c r="I178" s="33" t="str">
        <f t="shared" ref="I178:K178" si="177">IF(B178="","",IF(B178&gt;=4,"A",IF(B178&gt;=3,"B","C")))</f>
        <v/>
      </c>
      <c r="J178" s="33" t="str">
        <f t="shared" si="177"/>
        <v/>
      </c>
      <c r="K178" s="33" t="str">
        <f t="shared" si="177"/>
        <v/>
      </c>
    </row>
    <row r="179" ht="15.75" customHeight="1">
      <c r="B179" s="33"/>
      <c r="C179" s="33"/>
      <c r="D179" s="33"/>
      <c r="F179" s="33"/>
      <c r="I179" s="33" t="str">
        <f t="shared" ref="I179:K179" si="178">IF(B179="","",IF(B179&gt;=4,"A",IF(B179&gt;=3,"B","C")))</f>
        <v/>
      </c>
      <c r="J179" s="33" t="str">
        <f t="shared" si="178"/>
        <v/>
      </c>
      <c r="K179" s="33" t="str">
        <f t="shared" si="178"/>
        <v/>
      </c>
    </row>
    <row r="180" ht="15.75" customHeight="1">
      <c r="B180" s="33"/>
      <c r="C180" s="33"/>
      <c r="D180" s="33"/>
      <c r="F180" s="33"/>
      <c r="I180" s="33" t="str">
        <f t="shared" ref="I180:K180" si="179">IF(B180="","",IF(B180&gt;=4,"A",IF(B180&gt;=3,"B","C")))</f>
        <v/>
      </c>
      <c r="J180" s="33" t="str">
        <f t="shared" si="179"/>
        <v/>
      </c>
      <c r="K180" s="33" t="str">
        <f t="shared" si="179"/>
        <v/>
      </c>
    </row>
    <row r="181" ht="15.75" customHeight="1">
      <c r="B181" s="33"/>
      <c r="C181" s="33"/>
      <c r="D181" s="33"/>
      <c r="F181" s="33"/>
      <c r="I181" s="33" t="str">
        <f t="shared" ref="I181:K181" si="180">IF(B181="","",IF(B181&gt;=4,"A",IF(B181&gt;=3,"B","C")))</f>
        <v/>
      </c>
      <c r="J181" s="33" t="str">
        <f t="shared" si="180"/>
        <v/>
      </c>
      <c r="K181" s="33" t="str">
        <f t="shared" si="180"/>
        <v/>
      </c>
    </row>
    <row r="182" ht="15.75" customHeight="1">
      <c r="B182" s="33"/>
      <c r="C182" s="33"/>
      <c r="D182" s="33"/>
      <c r="F182" s="33"/>
      <c r="I182" s="33" t="str">
        <f t="shared" ref="I182:K182" si="181">IF(B182="","",IF(B182&gt;=4,"A",IF(B182&gt;=3,"B","C")))</f>
        <v/>
      </c>
      <c r="J182" s="33" t="str">
        <f t="shared" si="181"/>
        <v/>
      </c>
      <c r="K182" s="33" t="str">
        <f t="shared" si="181"/>
        <v/>
      </c>
    </row>
    <row r="183" ht="15.75" customHeight="1">
      <c r="B183" s="33"/>
      <c r="C183" s="33"/>
      <c r="D183" s="33"/>
      <c r="F183" s="33"/>
      <c r="I183" s="33" t="str">
        <f t="shared" ref="I183:K183" si="182">IF(B183="","",IF(B183&gt;=4,"A",IF(B183&gt;=3,"B","C")))</f>
        <v/>
      </c>
      <c r="J183" s="33" t="str">
        <f t="shared" si="182"/>
        <v/>
      </c>
      <c r="K183" s="33" t="str">
        <f t="shared" si="182"/>
        <v/>
      </c>
    </row>
    <row r="184" ht="15.75" customHeight="1">
      <c r="B184" s="33"/>
      <c r="C184" s="33"/>
      <c r="D184" s="33"/>
      <c r="F184" s="33"/>
      <c r="I184" s="33" t="str">
        <f t="shared" ref="I184:K184" si="183">IF(B184="","",IF(B184&gt;=4,"A",IF(B184&gt;=3,"B","C")))</f>
        <v/>
      </c>
      <c r="J184" s="33" t="str">
        <f t="shared" si="183"/>
        <v/>
      </c>
      <c r="K184" s="33" t="str">
        <f t="shared" si="183"/>
        <v/>
      </c>
    </row>
    <row r="185" ht="15.75" customHeight="1">
      <c r="B185" s="33"/>
      <c r="C185" s="33"/>
      <c r="D185" s="33"/>
      <c r="F185" s="33"/>
      <c r="I185" s="33" t="str">
        <f t="shared" ref="I185:K185" si="184">IF(B185="","",IF(B185&gt;=4,"A",IF(B185&gt;=3,"B","C")))</f>
        <v/>
      </c>
      <c r="J185" s="33" t="str">
        <f t="shared" si="184"/>
        <v/>
      </c>
      <c r="K185" s="33" t="str">
        <f t="shared" si="184"/>
        <v/>
      </c>
    </row>
    <row r="186" ht="15.75" customHeight="1">
      <c r="B186" s="33"/>
      <c r="C186" s="33"/>
      <c r="D186" s="33"/>
      <c r="F186" s="33"/>
      <c r="I186" s="33" t="str">
        <f t="shared" ref="I186:K186" si="185">IF(B186="","",IF(B186&gt;=4,"A",IF(B186&gt;=3,"B","C")))</f>
        <v/>
      </c>
      <c r="J186" s="33" t="str">
        <f t="shared" si="185"/>
        <v/>
      </c>
      <c r="K186" s="33" t="str">
        <f t="shared" si="185"/>
        <v/>
      </c>
    </row>
    <row r="187" ht="15.75" customHeight="1">
      <c r="B187" s="33"/>
      <c r="C187" s="33"/>
      <c r="D187" s="33"/>
      <c r="F187" s="33"/>
      <c r="I187" s="33" t="str">
        <f t="shared" ref="I187:K187" si="186">IF(B187="","",IF(B187&gt;=4,"A",IF(B187&gt;=3,"B","C")))</f>
        <v/>
      </c>
      <c r="J187" s="33" t="str">
        <f t="shared" si="186"/>
        <v/>
      </c>
      <c r="K187" s="33" t="str">
        <f t="shared" si="186"/>
        <v/>
      </c>
    </row>
    <row r="188" ht="15.75" customHeight="1">
      <c r="B188" s="33"/>
      <c r="C188" s="33"/>
      <c r="D188" s="33"/>
      <c r="F188" s="33"/>
      <c r="I188" s="33" t="str">
        <f t="shared" ref="I188:K188" si="187">IF(B188="","",IF(B188&gt;=4,"A",IF(B188&gt;=3,"B","C")))</f>
        <v/>
      </c>
      <c r="J188" s="33" t="str">
        <f t="shared" si="187"/>
        <v/>
      </c>
      <c r="K188" s="33" t="str">
        <f t="shared" si="187"/>
        <v/>
      </c>
    </row>
    <row r="189" ht="15.75" customHeight="1">
      <c r="B189" s="33"/>
      <c r="C189" s="33"/>
      <c r="D189" s="33"/>
      <c r="F189" s="33"/>
      <c r="I189" s="33" t="str">
        <f t="shared" ref="I189:K189" si="188">IF(B189="","",IF(B189&gt;=4,"A",IF(B189&gt;=3,"B","C")))</f>
        <v/>
      </c>
      <c r="J189" s="33" t="str">
        <f t="shared" si="188"/>
        <v/>
      </c>
      <c r="K189" s="33" t="str">
        <f t="shared" si="188"/>
        <v/>
      </c>
    </row>
    <row r="190" ht="15.75" customHeight="1">
      <c r="B190" s="33"/>
      <c r="C190" s="33"/>
      <c r="D190" s="33"/>
      <c r="F190" s="33"/>
      <c r="I190" s="33" t="str">
        <f t="shared" ref="I190:K190" si="189">IF(B190="","",IF(B190&gt;=4,"A",IF(B190&gt;=3,"B","C")))</f>
        <v/>
      </c>
      <c r="J190" s="33" t="str">
        <f t="shared" si="189"/>
        <v/>
      </c>
      <c r="K190" s="33" t="str">
        <f t="shared" si="189"/>
        <v/>
      </c>
    </row>
    <row r="191" ht="15.75" customHeight="1">
      <c r="B191" s="33"/>
      <c r="C191" s="33"/>
      <c r="D191" s="33"/>
      <c r="F191" s="33"/>
      <c r="I191" s="33" t="str">
        <f t="shared" ref="I191:K191" si="190">IF(B191="","",IF(B191&gt;=4,"A",IF(B191&gt;=3,"B","C")))</f>
        <v/>
      </c>
      <c r="J191" s="33" t="str">
        <f t="shared" si="190"/>
        <v/>
      </c>
      <c r="K191" s="33" t="str">
        <f t="shared" si="190"/>
        <v/>
      </c>
    </row>
    <row r="192" ht="15.75" customHeight="1">
      <c r="B192" s="33"/>
      <c r="C192" s="33"/>
      <c r="D192" s="33"/>
      <c r="F192" s="33"/>
      <c r="I192" s="33" t="str">
        <f t="shared" ref="I192:K192" si="191">IF(B192="","",IF(B192&gt;=4,"A",IF(B192&gt;=3,"B","C")))</f>
        <v/>
      </c>
      <c r="J192" s="33" t="str">
        <f t="shared" si="191"/>
        <v/>
      </c>
      <c r="K192" s="33" t="str">
        <f t="shared" si="191"/>
        <v/>
      </c>
    </row>
    <row r="193" ht="15.75" customHeight="1">
      <c r="B193" s="33"/>
      <c r="C193" s="33"/>
      <c r="D193" s="33"/>
      <c r="F193" s="33"/>
      <c r="I193" s="33" t="str">
        <f t="shared" ref="I193:K193" si="192">IF(B193="","",IF(B193&gt;=4,"A",IF(B193&gt;=3,"B","C")))</f>
        <v/>
      </c>
      <c r="J193" s="33" t="str">
        <f t="shared" si="192"/>
        <v/>
      </c>
      <c r="K193" s="33" t="str">
        <f t="shared" si="192"/>
        <v/>
      </c>
    </row>
    <row r="194" ht="15.75" customHeight="1">
      <c r="B194" s="33"/>
      <c r="C194" s="33"/>
      <c r="D194" s="33"/>
      <c r="F194" s="33"/>
      <c r="I194" s="33" t="str">
        <f t="shared" ref="I194:K194" si="193">IF(B194="","",IF(B194&gt;=4,"A",IF(B194&gt;=3,"B","C")))</f>
        <v/>
      </c>
      <c r="J194" s="33" t="str">
        <f t="shared" si="193"/>
        <v/>
      </c>
      <c r="K194" s="33" t="str">
        <f t="shared" si="193"/>
        <v/>
      </c>
    </row>
    <row r="195" ht="15.75" customHeight="1">
      <c r="B195" s="33"/>
      <c r="C195" s="33"/>
      <c r="D195" s="33"/>
      <c r="F195" s="33"/>
      <c r="I195" s="33" t="str">
        <f t="shared" ref="I195:K195" si="194">IF(B195="","",IF(B195&gt;=4,"A",IF(B195&gt;=3,"B","C")))</f>
        <v/>
      </c>
      <c r="J195" s="33" t="str">
        <f t="shared" si="194"/>
        <v/>
      </c>
      <c r="K195" s="33" t="str">
        <f t="shared" si="194"/>
        <v/>
      </c>
    </row>
    <row r="196" ht="15.75" customHeight="1">
      <c r="B196" s="33"/>
      <c r="C196" s="33"/>
      <c r="D196" s="33"/>
      <c r="F196" s="33"/>
      <c r="I196" s="33" t="str">
        <f t="shared" ref="I196:K196" si="195">IF(B196="","",IF(B196&gt;=4,"A",IF(B196&gt;=3,"B","C")))</f>
        <v/>
      </c>
      <c r="J196" s="33" t="str">
        <f t="shared" si="195"/>
        <v/>
      </c>
      <c r="K196" s="33" t="str">
        <f t="shared" si="195"/>
        <v/>
      </c>
    </row>
    <row r="197" ht="15.75" customHeight="1">
      <c r="B197" s="33"/>
      <c r="C197" s="33"/>
      <c r="D197" s="33"/>
      <c r="F197" s="33"/>
      <c r="I197" s="33" t="str">
        <f t="shared" ref="I197:K197" si="196">IF(B197="","",IF(B197&gt;=4,"A",IF(B197&gt;=3,"B","C")))</f>
        <v/>
      </c>
      <c r="J197" s="33" t="str">
        <f t="shared" si="196"/>
        <v/>
      </c>
      <c r="K197" s="33" t="str">
        <f t="shared" si="196"/>
        <v/>
      </c>
    </row>
    <row r="198" ht="15.75" customHeight="1">
      <c r="B198" s="33"/>
      <c r="C198" s="33"/>
      <c r="D198" s="33"/>
      <c r="F198" s="33"/>
      <c r="I198" s="33" t="str">
        <f t="shared" ref="I198:K198" si="197">IF(B198="","",IF(B198&gt;=4,"A",IF(B198&gt;=3,"B","C")))</f>
        <v/>
      </c>
      <c r="J198" s="33" t="str">
        <f t="shared" si="197"/>
        <v/>
      </c>
      <c r="K198" s="33" t="str">
        <f t="shared" si="197"/>
        <v/>
      </c>
    </row>
    <row r="199" ht="15.75" customHeight="1">
      <c r="B199" s="33"/>
      <c r="C199" s="33"/>
      <c r="D199" s="33"/>
      <c r="F199" s="33"/>
      <c r="I199" s="33" t="str">
        <f t="shared" ref="I199:K199" si="198">IF(B199="","",IF(B199&gt;=4,"A",IF(B199&gt;=3,"B","C")))</f>
        <v/>
      </c>
      <c r="J199" s="33" t="str">
        <f t="shared" si="198"/>
        <v/>
      </c>
      <c r="K199" s="33" t="str">
        <f t="shared" si="198"/>
        <v/>
      </c>
    </row>
    <row r="200" ht="15.75" customHeight="1">
      <c r="B200" s="33"/>
      <c r="C200" s="33"/>
      <c r="D200" s="33"/>
      <c r="F200" s="33"/>
      <c r="I200" s="33" t="str">
        <f t="shared" ref="I200:K200" si="199">IF(B200="","",IF(B200&gt;=4,"A",IF(B200&gt;=3,"B","C")))</f>
        <v/>
      </c>
      <c r="J200" s="33" t="str">
        <f t="shared" si="199"/>
        <v/>
      </c>
      <c r="K200" s="33" t="str">
        <f t="shared" si="199"/>
        <v/>
      </c>
    </row>
    <row r="201" ht="15.75" customHeight="1">
      <c r="B201" s="33"/>
      <c r="C201" s="33"/>
      <c r="D201" s="33"/>
      <c r="F201" s="33"/>
      <c r="I201" s="33" t="str">
        <f t="shared" ref="I201:K201" si="200">IF(B201="","",IF(B201&gt;=4,"A",IF(B201&gt;=3,"B","C")))</f>
        <v/>
      </c>
      <c r="J201" s="33" t="str">
        <f t="shared" si="200"/>
        <v/>
      </c>
      <c r="K201" s="33" t="str">
        <f t="shared" si="200"/>
        <v/>
      </c>
    </row>
    <row r="202" ht="15.75" customHeight="1">
      <c r="B202" s="33"/>
      <c r="C202" s="33"/>
      <c r="D202" s="33"/>
      <c r="F202" s="33"/>
      <c r="I202" s="33" t="str">
        <f t="shared" ref="I202:K202" si="201">IF(B202="","",IF(B202&gt;=4,"A",IF(B202&gt;=3,"B","C")))</f>
        <v/>
      </c>
      <c r="J202" s="33" t="str">
        <f t="shared" si="201"/>
        <v/>
      </c>
      <c r="K202" s="33" t="str">
        <f t="shared" si="201"/>
        <v/>
      </c>
    </row>
    <row r="203" ht="15.75" customHeight="1">
      <c r="B203" s="33"/>
      <c r="C203" s="33"/>
      <c r="D203" s="33"/>
      <c r="F203" s="33"/>
      <c r="I203" s="33" t="str">
        <f t="shared" ref="I203:K203" si="202">IF(B203="","",IF(B203&gt;=4,"A",IF(B203&gt;=3,"B","C")))</f>
        <v/>
      </c>
      <c r="J203" s="33" t="str">
        <f t="shared" si="202"/>
        <v/>
      </c>
      <c r="K203" s="33" t="str">
        <f t="shared" si="202"/>
        <v/>
      </c>
    </row>
    <row r="204" ht="15.75" customHeight="1">
      <c r="B204" s="33"/>
      <c r="C204" s="33"/>
      <c r="D204" s="33"/>
      <c r="F204" s="33"/>
      <c r="I204" s="33" t="str">
        <f t="shared" ref="I204:K204" si="203">IF(B204="","",IF(B204&gt;=4,"A",IF(B204&gt;=3,"B","C")))</f>
        <v/>
      </c>
      <c r="J204" s="33" t="str">
        <f t="shared" si="203"/>
        <v/>
      </c>
      <c r="K204" s="33" t="str">
        <f t="shared" si="203"/>
        <v/>
      </c>
    </row>
    <row r="205" ht="15.75" customHeight="1">
      <c r="B205" s="33"/>
      <c r="C205" s="33"/>
      <c r="D205" s="33"/>
      <c r="F205" s="33"/>
      <c r="I205" s="33" t="str">
        <f t="shared" ref="I205:K205" si="204">IF(B205="","",IF(B205&gt;=4,"A",IF(B205&gt;=3,"B","C")))</f>
        <v/>
      </c>
      <c r="J205" s="33" t="str">
        <f t="shared" si="204"/>
        <v/>
      </c>
      <c r="K205" s="33" t="str">
        <f t="shared" si="204"/>
        <v/>
      </c>
    </row>
    <row r="206" ht="15.75" customHeight="1">
      <c r="B206" s="33"/>
      <c r="C206" s="33"/>
      <c r="D206" s="33"/>
      <c r="F206" s="33"/>
      <c r="I206" s="33" t="str">
        <f t="shared" ref="I206:K206" si="205">IF(B206="","",IF(B206&gt;=4,"A",IF(B206&gt;=3,"B","C")))</f>
        <v/>
      </c>
      <c r="J206" s="33" t="str">
        <f t="shared" si="205"/>
        <v/>
      </c>
      <c r="K206" s="33" t="str">
        <f t="shared" si="205"/>
        <v/>
      </c>
    </row>
    <row r="207" ht="15.75" customHeight="1">
      <c r="B207" s="33"/>
      <c r="C207" s="33"/>
      <c r="D207" s="33"/>
      <c r="F207" s="33"/>
      <c r="I207" s="33" t="str">
        <f t="shared" ref="I207:K207" si="206">IF(B207="","",IF(B207&gt;=4,"A",IF(B207&gt;=3,"B","C")))</f>
        <v/>
      </c>
      <c r="J207" s="33" t="str">
        <f t="shared" si="206"/>
        <v/>
      </c>
      <c r="K207" s="33" t="str">
        <f t="shared" si="206"/>
        <v/>
      </c>
    </row>
    <row r="208" ht="15.75" customHeight="1">
      <c r="B208" s="33"/>
      <c r="C208" s="33"/>
      <c r="D208" s="33"/>
      <c r="F208" s="33"/>
      <c r="I208" s="33" t="str">
        <f t="shared" ref="I208:K208" si="207">IF(B208="","",IF(B208&gt;=4,"A",IF(B208&gt;=3,"B","C")))</f>
        <v/>
      </c>
      <c r="J208" s="33" t="str">
        <f t="shared" si="207"/>
        <v/>
      </c>
      <c r="K208" s="33" t="str">
        <f t="shared" si="207"/>
        <v/>
      </c>
    </row>
    <row r="209" ht="15.75" customHeight="1">
      <c r="B209" s="33"/>
      <c r="C209" s="33"/>
      <c r="D209" s="33"/>
      <c r="F209" s="33"/>
      <c r="I209" s="33" t="str">
        <f t="shared" ref="I209:K209" si="208">IF(B209="","",IF(B209&gt;=4,"A",IF(B209&gt;=3,"B","C")))</f>
        <v/>
      </c>
      <c r="J209" s="33" t="str">
        <f t="shared" si="208"/>
        <v/>
      </c>
      <c r="K209" s="33" t="str">
        <f t="shared" si="208"/>
        <v/>
      </c>
    </row>
    <row r="210" ht="15.75" customHeight="1">
      <c r="B210" s="33"/>
      <c r="C210" s="33"/>
      <c r="D210" s="33"/>
      <c r="F210" s="33"/>
      <c r="I210" s="33" t="str">
        <f t="shared" ref="I210:K210" si="209">IF(B210="","",IF(B210&gt;=4,"A",IF(B210&gt;=3,"B","C")))</f>
        <v/>
      </c>
      <c r="J210" s="33" t="str">
        <f t="shared" si="209"/>
        <v/>
      </c>
      <c r="K210" s="33" t="str">
        <f t="shared" si="209"/>
        <v/>
      </c>
    </row>
    <row r="211" ht="15.75" customHeight="1">
      <c r="B211" s="33"/>
      <c r="C211" s="33"/>
      <c r="D211" s="33"/>
      <c r="F211" s="33"/>
      <c r="I211" s="33" t="str">
        <f t="shared" ref="I211:K211" si="210">IF(B211="","",IF(B211&gt;=4,"A",IF(B211&gt;=3,"B","C")))</f>
        <v/>
      </c>
      <c r="J211" s="33" t="str">
        <f t="shared" si="210"/>
        <v/>
      </c>
      <c r="K211" s="33" t="str">
        <f t="shared" si="210"/>
        <v/>
      </c>
    </row>
    <row r="212" ht="15.75" customHeight="1">
      <c r="B212" s="33"/>
      <c r="C212" s="33"/>
      <c r="D212" s="33"/>
      <c r="F212" s="33"/>
      <c r="I212" s="33" t="str">
        <f t="shared" ref="I212:K212" si="211">IF(B212="","",IF(B212&gt;=4,"A",IF(B212&gt;=3,"B","C")))</f>
        <v/>
      </c>
      <c r="J212" s="33" t="str">
        <f t="shared" si="211"/>
        <v/>
      </c>
      <c r="K212" s="33" t="str">
        <f t="shared" si="211"/>
        <v/>
      </c>
    </row>
    <row r="213" ht="15.75" customHeight="1">
      <c r="B213" s="33"/>
      <c r="C213" s="33"/>
      <c r="D213" s="33"/>
      <c r="F213" s="33"/>
      <c r="I213" s="33" t="str">
        <f t="shared" ref="I213:K213" si="212">IF(B213="","",IF(B213&gt;=4,"A",IF(B213&gt;=3,"B","C")))</f>
        <v/>
      </c>
      <c r="J213" s="33" t="str">
        <f t="shared" si="212"/>
        <v/>
      </c>
      <c r="K213" s="33" t="str">
        <f t="shared" si="212"/>
        <v/>
      </c>
    </row>
    <row r="214" ht="15.75" customHeight="1">
      <c r="B214" s="33"/>
      <c r="C214" s="33"/>
      <c r="D214" s="33"/>
      <c r="F214" s="33"/>
      <c r="I214" s="33" t="str">
        <f t="shared" ref="I214:K214" si="213">IF(B214="","",IF(B214&gt;=4,"A",IF(B214&gt;=3,"B","C")))</f>
        <v/>
      </c>
      <c r="J214" s="33" t="str">
        <f t="shared" si="213"/>
        <v/>
      </c>
      <c r="K214" s="33" t="str">
        <f t="shared" si="213"/>
        <v/>
      </c>
    </row>
    <row r="215" ht="15.75" customHeight="1">
      <c r="B215" s="33"/>
      <c r="C215" s="33"/>
      <c r="D215" s="33"/>
      <c r="F215" s="33"/>
      <c r="I215" s="33" t="str">
        <f t="shared" ref="I215:K215" si="214">IF(B215="","",IF(B215&gt;=4,"A",IF(B215&gt;=3,"B","C")))</f>
        <v/>
      </c>
      <c r="J215" s="33" t="str">
        <f t="shared" si="214"/>
        <v/>
      </c>
      <c r="K215" s="33" t="str">
        <f t="shared" si="214"/>
        <v/>
      </c>
    </row>
    <row r="216" ht="15.75" customHeight="1">
      <c r="B216" s="33"/>
      <c r="C216" s="33"/>
      <c r="D216" s="33"/>
      <c r="F216" s="33"/>
      <c r="I216" s="33" t="str">
        <f t="shared" ref="I216:K216" si="215">IF(B216="","",IF(B216&gt;=4,"A",IF(B216&gt;=3,"B","C")))</f>
        <v/>
      </c>
      <c r="J216" s="33" t="str">
        <f t="shared" si="215"/>
        <v/>
      </c>
      <c r="K216" s="33" t="str">
        <f t="shared" si="215"/>
        <v/>
      </c>
    </row>
    <row r="217" ht="15.75" customHeight="1">
      <c r="B217" s="33"/>
      <c r="C217" s="33"/>
      <c r="D217" s="33"/>
      <c r="F217" s="33"/>
      <c r="I217" s="33" t="str">
        <f t="shared" ref="I217:K217" si="216">IF(B217="","",IF(B217&gt;=4,"A",IF(B217&gt;=3,"B","C")))</f>
        <v/>
      </c>
      <c r="J217" s="33" t="str">
        <f t="shared" si="216"/>
        <v/>
      </c>
      <c r="K217" s="33" t="str">
        <f t="shared" si="216"/>
        <v/>
      </c>
    </row>
    <row r="218" ht="15.75" customHeight="1">
      <c r="B218" s="33"/>
      <c r="C218" s="33"/>
      <c r="D218" s="33"/>
      <c r="F218" s="33"/>
      <c r="I218" s="33" t="str">
        <f t="shared" ref="I218:K218" si="217">IF(B218="","",IF(B218&gt;=4,"A",IF(B218&gt;=3,"B","C")))</f>
        <v/>
      </c>
      <c r="J218" s="33" t="str">
        <f t="shared" si="217"/>
        <v/>
      </c>
      <c r="K218" s="33" t="str">
        <f t="shared" si="217"/>
        <v/>
      </c>
    </row>
    <row r="219" ht="15.75" customHeight="1">
      <c r="B219" s="33"/>
      <c r="C219" s="33"/>
      <c r="D219" s="33"/>
      <c r="F219" s="33"/>
      <c r="I219" s="33" t="str">
        <f t="shared" ref="I219:K219" si="218">IF(B219="","",IF(B219&gt;=4,"A",IF(B219&gt;=3,"B","C")))</f>
        <v/>
      </c>
      <c r="J219" s="33" t="str">
        <f t="shared" si="218"/>
        <v/>
      </c>
      <c r="K219" s="33" t="str">
        <f t="shared" si="218"/>
        <v/>
      </c>
    </row>
    <row r="220" ht="15.75" customHeight="1">
      <c r="B220" s="33"/>
      <c r="C220" s="33"/>
      <c r="D220" s="33"/>
      <c r="F220" s="33"/>
      <c r="I220" s="33" t="str">
        <f t="shared" ref="I220:K220" si="219">IF(B220="","",IF(B220&gt;=4,"A",IF(B220&gt;=3,"B","C")))</f>
        <v/>
      </c>
      <c r="J220" s="33" t="str">
        <f t="shared" si="219"/>
        <v/>
      </c>
      <c r="K220" s="33" t="str">
        <f t="shared" si="219"/>
        <v/>
      </c>
    </row>
    <row r="221" ht="15.75" customHeight="1">
      <c r="B221" s="33"/>
      <c r="C221" s="33"/>
      <c r="D221" s="33"/>
      <c r="F221" s="33"/>
      <c r="I221" s="33" t="str">
        <f t="shared" ref="I221:K221" si="220">IF(B221="","",IF(B221&gt;=4,"A",IF(B221&gt;=3,"B","C")))</f>
        <v/>
      </c>
      <c r="J221" s="33" t="str">
        <f t="shared" si="220"/>
        <v/>
      </c>
      <c r="K221" s="33" t="str">
        <f t="shared" si="220"/>
        <v/>
      </c>
    </row>
    <row r="222" ht="15.75" customHeight="1">
      <c r="B222" s="33"/>
      <c r="C222" s="33"/>
      <c r="D222" s="33"/>
      <c r="F222" s="33"/>
      <c r="I222" s="33" t="str">
        <f t="shared" ref="I222:K222" si="221">IF(B222="","",IF(B222&gt;=4,"A",IF(B222&gt;=3,"B","C")))</f>
        <v/>
      </c>
      <c r="J222" s="33" t="str">
        <f t="shared" si="221"/>
        <v/>
      </c>
      <c r="K222" s="33" t="str">
        <f t="shared" si="221"/>
        <v/>
      </c>
    </row>
    <row r="223" ht="15.75" customHeight="1">
      <c r="B223" s="33"/>
      <c r="C223" s="33"/>
      <c r="D223" s="33"/>
      <c r="F223" s="33"/>
      <c r="I223" s="33" t="str">
        <f t="shared" ref="I223:K223" si="222">IF(B223="","",IF(B223&gt;=4,"A",IF(B223&gt;=3,"B","C")))</f>
        <v/>
      </c>
      <c r="J223" s="33" t="str">
        <f t="shared" si="222"/>
        <v/>
      </c>
      <c r="K223" s="33" t="str">
        <f t="shared" si="222"/>
        <v/>
      </c>
    </row>
    <row r="224" ht="15.75" customHeight="1">
      <c r="B224" s="33"/>
      <c r="C224" s="33"/>
      <c r="D224" s="33"/>
      <c r="F224" s="33"/>
      <c r="I224" s="33" t="str">
        <f t="shared" ref="I224:K224" si="223">IF(B224="","",IF(B224&gt;=4,"A",IF(B224&gt;=3,"B","C")))</f>
        <v/>
      </c>
      <c r="J224" s="33" t="str">
        <f t="shared" si="223"/>
        <v/>
      </c>
      <c r="K224" s="33" t="str">
        <f t="shared" si="223"/>
        <v/>
      </c>
    </row>
    <row r="225" ht="15.75" customHeight="1">
      <c r="B225" s="33"/>
      <c r="C225" s="33"/>
      <c r="D225" s="33"/>
      <c r="F225" s="33"/>
      <c r="I225" s="33" t="str">
        <f t="shared" ref="I225:K225" si="224">IF(B225="","",IF(B225&gt;=4,"A",IF(B225&gt;=3,"B","C")))</f>
        <v/>
      </c>
      <c r="J225" s="33" t="str">
        <f t="shared" si="224"/>
        <v/>
      </c>
      <c r="K225" s="33" t="str">
        <f t="shared" si="224"/>
        <v/>
      </c>
    </row>
    <row r="226" ht="15.75" customHeight="1">
      <c r="B226" s="33"/>
      <c r="C226" s="33"/>
      <c r="D226" s="33"/>
      <c r="F226" s="33"/>
      <c r="I226" s="33" t="str">
        <f t="shared" ref="I226:K226" si="225">IF(B226="","",IF(B226&gt;=4,"A",IF(B226&gt;=3,"B","C")))</f>
        <v/>
      </c>
      <c r="J226" s="33" t="str">
        <f t="shared" si="225"/>
        <v/>
      </c>
      <c r="K226" s="33" t="str">
        <f t="shared" si="225"/>
        <v/>
      </c>
    </row>
    <row r="227" ht="15.75" customHeight="1">
      <c r="B227" s="33"/>
      <c r="C227" s="33"/>
      <c r="D227" s="33"/>
      <c r="F227" s="33"/>
      <c r="I227" s="33" t="str">
        <f t="shared" ref="I227:K227" si="226">IF(B227="","",IF(B227&gt;=4,"A",IF(B227&gt;=3,"B","C")))</f>
        <v/>
      </c>
      <c r="J227" s="33" t="str">
        <f t="shared" si="226"/>
        <v/>
      </c>
      <c r="K227" s="33" t="str">
        <f t="shared" si="226"/>
        <v/>
      </c>
    </row>
    <row r="228" ht="15.75" customHeight="1">
      <c r="B228" s="33"/>
      <c r="C228" s="33"/>
      <c r="D228" s="33"/>
      <c r="F228" s="33"/>
      <c r="I228" s="33" t="str">
        <f t="shared" ref="I228:K228" si="227">IF(B228="","",IF(B228&gt;=4,"A",IF(B228&gt;=3,"B","C")))</f>
        <v/>
      </c>
      <c r="J228" s="33" t="str">
        <f t="shared" si="227"/>
        <v/>
      </c>
      <c r="K228" s="33" t="str">
        <f t="shared" si="227"/>
        <v/>
      </c>
    </row>
    <row r="229" ht="15.75" customHeight="1">
      <c r="B229" s="33"/>
      <c r="C229" s="33"/>
      <c r="D229" s="33"/>
      <c r="F229" s="33"/>
      <c r="I229" s="33" t="str">
        <f t="shared" ref="I229:K229" si="228">IF(B229="","",IF(B229&gt;=4,"A",IF(B229&gt;=3,"B","C")))</f>
        <v/>
      </c>
      <c r="J229" s="33" t="str">
        <f t="shared" si="228"/>
        <v/>
      </c>
      <c r="K229" s="33" t="str">
        <f t="shared" si="228"/>
        <v/>
      </c>
    </row>
    <row r="230" ht="15.75" customHeight="1">
      <c r="B230" s="33"/>
      <c r="C230" s="33"/>
      <c r="D230" s="33"/>
      <c r="F230" s="33"/>
      <c r="I230" s="33" t="str">
        <f t="shared" ref="I230:K230" si="229">IF(B230="","",IF(B230&gt;=4,"A",IF(B230&gt;=3,"B","C")))</f>
        <v/>
      </c>
      <c r="J230" s="33" t="str">
        <f t="shared" si="229"/>
        <v/>
      </c>
      <c r="K230" s="33" t="str">
        <f t="shared" si="229"/>
        <v/>
      </c>
    </row>
    <row r="231" ht="15.75" customHeight="1">
      <c r="B231" s="33"/>
      <c r="C231" s="33"/>
      <c r="D231" s="33"/>
      <c r="F231" s="33"/>
      <c r="I231" s="33" t="str">
        <f t="shared" ref="I231:K231" si="230">IF(B231="","",IF(B231&gt;=4,"A",IF(B231&gt;=3,"B","C")))</f>
        <v/>
      </c>
      <c r="J231" s="33" t="str">
        <f t="shared" si="230"/>
        <v/>
      </c>
      <c r="K231" s="33" t="str">
        <f t="shared" si="230"/>
        <v/>
      </c>
    </row>
    <row r="232" ht="15.75" customHeight="1">
      <c r="B232" s="33"/>
      <c r="C232" s="33"/>
      <c r="D232" s="33"/>
      <c r="F232" s="33"/>
      <c r="I232" s="33" t="str">
        <f t="shared" ref="I232:K232" si="231">IF(B232="","",IF(B232&gt;=4,"A",IF(B232&gt;=3,"B","C")))</f>
        <v/>
      </c>
      <c r="J232" s="33" t="str">
        <f t="shared" si="231"/>
        <v/>
      </c>
      <c r="K232" s="33" t="str">
        <f t="shared" si="231"/>
        <v/>
      </c>
    </row>
    <row r="233" ht="15.75" customHeight="1">
      <c r="B233" s="33"/>
      <c r="C233" s="33"/>
      <c r="D233" s="33"/>
      <c r="F233" s="33"/>
      <c r="I233" s="33" t="str">
        <f t="shared" ref="I233:K233" si="232">IF(B233="","",IF(B233&gt;=4,"A",IF(B233&gt;=3,"B","C")))</f>
        <v/>
      </c>
      <c r="J233" s="33" t="str">
        <f t="shared" si="232"/>
        <v/>
      </c>
      <c r="K233" s="33" t="str">
        <f t="shared" si="232"/>
        <v/>
      </c>
    </row>
    <row r="234" ht="15.75" customHeight="1">
      <c r="B234" s="33"/>
      <c r="C234" s="33"/>
      <c r="D234" s="33"/>
      <c r="F234" s="33"/>
      <c r="I234" s="33" t="str">
        <f t="shared" ref="I234:K234" si="233">IF(B234="","",IF(B234&gt;=4,"A",IF(B234&gt;=3,"B","C")))</f>
        <v/>
      </c>
      <c r="J234" s="33" t="str">
        <f t="shared" si="233"/>
        <v/>
      </c>
      <c r="K234" s="33" t="str">
        <f t="shared" si="233"/>
        <v/>
      </c>
    </row>
    <row r="235" ht="15.75" customHeight="1">
      <c r="B235" s="33"/>
      <c r="C235" s="33"/>
      <c r="D235" s="33"/>
      <c r="F235" s="33"/>
      <c r="I235" s="33" t="str">
        <f t="shared" ref="I235:K235" si="234">IF(B235="","",IF(B235&gt;=4,"A",IF(B235&gt;=3,"B","C")))</f>
        <v/>
      </c>
      <c r="J235" s="33" t="str">
        <f t="shared" si="234"/>
        <v/>
      </c>
      <c r="K235" s="33" t="str">
        <f t="shared" si="234"/>
        <v/>
      </c>
    </row>
    <row r="236" ht="15.75" customHeight="1">
      <c r="B236" s="33"/>
      <c r="C236" s="33"/>
      <c r="D236" s="33"/>
      <c r="F236" s="33"/>
      <c r="I236" s="33" t="str">
        <f t="shared" ref="I236:K236" si="235">IF(B236="","",IF(B236&gt;=4,"A",IF(B236&gt;=3,"B","C")))</f>
        <v/>
      </c>
      <c r="J236" s="33" t="str">
        <f t="shared" si="235"/>
        <v/>
      </c>
      <c r="K236" s="33" t="str">
        <f t="shared" si="235"/>
        <v/>
      </c>
    </row>
    <row r="237" ht="15.75" customHeight="1">
      <c r="B237" s="33"/>
      <c r="C237" s="33"/>
      <c r="D237" s="33"/>
      <c r="F237" s="33"/>
      <c r="I237" s="33" t="str">
        <f t="shared" ref="I237:K237" si="236">IF(B237="","",IF(B237&gt;=4,"A",IF(B237&gt;=3,"B","C")))</f>
        <v/>
      </c>
      <c r="J237" s="33" t="str">
        <f t="shared" si="236"/>
        <v/>
      </c>
      <c r="K237" s="33" t="str">
        <f t="shared" si="236"/>
        <v/>
      </c>
    </row>
    <row r="238" ht="15.75" customHeight="1">
      <c r="B238" s="33"/>
      <c r="C238" s="33"/>
      <c r="D238" s="33"/>
      <c r="F238" s="33"/>
      <c r="I238" s="33" t="str">
        <f t="shared" ref="I238:K238" si="237">IF(B238="","",IF(B238&gt;=4,"A",IF(B238&gt;=3,"B","C")))</f>
        <v/>
      </c>
      <c r="J238" s="33" t="str">
        <f t="shared" si="237"/>
        <v/>
      </c>
      <c r="K238" s="33" t="str">
        <f t="shared" si="237"/>
        <v/>
      </c>
    </row>
    <row r="239" ht="15.75" customHeight="1">
      <c r="B239" s="33"/>
      <c r="C239" s="33"/>
      <c r="D239" s="33"/>
      <c r="F239" s="33"/>
      <c r="I239" s="33" t="str">
        <f t="shared" ref="I239:K239" si="238">IF(B239="","",IF(B239&gt;=4,"A",IF(B239&gt;=3,"B","C")))</f>
        <v/>
      </c>
      <c r="J239" s="33" t="str">
        <f t="shared" si="238"/>
        <v/>
      </c>
      <c r="K239" s="33" t="str">
        <f t="shared" si="238"/>
        <v/>
      </c>
    </row>
    <row r="240" ht="15.75" customHeight="1">
      <c r="B240" s="33"/>
      <c r="C240" s="33"/>
      <c r="D240" s="33"/>
      <c r="F240" s="33"/>
      <c r="I240" s="33" t="str">
        <f t="shared" ref="I240:K240" si="239">IF(B240="","",IF(B240&gt;=4,"A",IF(B240&gt;=3,"B","C")))</f>
        <v/>
      </c>
      <c r="J240" s="33" t="str">
        <f t="shared" si="239"/>
        <v/>
      </c>
      <c r="K240" s="33" t="str">
        <f t="shared" si="239"/>
        <v/>
      </c>
    </row>
    <row r="241" ht="15.75" customHeight="1">
      <c r="B241" s="33"/>
      <c r="C241" s="33"/>
      <c r="D241" s="33"/>
      <c r="F241" s="33"/>
      <c r="I241" s="33" t="str">
        <f t="shared" ref="I241:K241" si="240">IF(B241="","",IF(B241&gt;=4,"A",IF(B241&gt;=3,"B","C")))</f>
        <v/>
      </c>
      <c r="J241" s="33" t="str">
        <f t="shared" si="240"/>
        <v/>
      </c>
      <c r="K241" s="33" t="str">
        <f t="shared" si="240"/>
        <v/>
      </c>
    </row>
    <row r="242" ht="15.75" customHeight="1">
      <c r="B242" s="33"/>
      <c r="C242" s="33"/>
      <c r="D242" s="33"/>
      <c r="F242" s="33"/>
      <c r="I242" s="33" t="str">
        <f t="shared" ref="I242:K242" si="241">IF(B242="","",IF(B242&gt;=4,"A",IF(B242&gt;=3,"B","C")))</f>
        <v/>
      </c>
      <c r="J242" s="33" t="str">
        <f t="shared" si="241"/>
        <v/>
      </c>
      <c r="K242" s="33" t="str">
        <f t="shared" si="241"/>
        <v/>
      </c>
    </row>
    <row r="243" ht="15.75" customHeight="1">
      <c r="B243" s="33"/>
      <c r="C243" s="33"/>
      <c r="D243" s="33"/>
      <c r="F243" s="33"/>
      <c r="I243" s="33" t="str">
        <f t="shared" ref="I243:K243" si="242">IF(B243="","",IF(B243&gt;=4,"A",IF(B243&gt;=3,"B","C")))</f>
        <v/>
      </c>
      <c r="J243" s="33" t="str">
        <f t="shared" si="242"/>
        <v/>
      </c>
      <c r="K243" s="33" t="str">
        <f t="shared" si="242"/>
        <v/>
      </c>
    </row>
    <row r="244" ht="15.75" customHeight="1">
      <c r="B244" s="33"/>
      <c r="C244" s="33"/>
      <c r="D244" s="33"/>
      <c r="F244" s="33"/>
      <c r="I244" s="33" t="str">
        <f t="shared" ref="I244:K244" si="243">IF(B244="","",IF(B244&gt;=4,"A",IF(B244&gt;=3,"B","C")))</f>
        <v/>
      </c>
      <c r="J244" s="33" t="str">
        <f t="shared" si="243"/>
        <v/>
      </c>
      <c r="K244" s="33" t="str">
        <f t="shared" si="243"/>
        <v/>
      </c>
    </row>
    <row r="245" ht="15.75" customHeight="1">
      <c r="B245" s="33"/>
      <c r="C245" s="33"/>
      <c r="D245" s="33"/>
      <c r="F245" s="33"/>
      <c r="I245" s="33" t="str">
        <f t="shared" ref="I245:K245" si="244">IF(B245="","",IF(B245&gt;=4,"A",IF(B245&gt;=3,"B","C")))</f>
        <v/>
      </c>
      <c r="J245" s="33" t="str">
        <f t="shared" si="244"/>
        <v/>
      </c>
      <c r="K245" s="33" t="str">
        <f t="shared" si="244"/>
        <v/>
      </c>
    </row>
    <row r="246" ht="15.75" customHeight="1">
      <c r="B246" s="33"/>
      <c r="C246" s="33"/>
      <c r="D246" s="33"/>
      <c r="F246" s="33"/>
      <c r="I246" s="33" t="str">
        <f t="shared" ref="I246:K246" si="245">IF(B246="","",IF(B246&gt;=4,"A",IF(B246&gt;=3,"B","C")))</f>
        <v/>
      </c>
      <c r="J246" s="33" t="str">
        <f t="shared" si="245"/>
        <v/>
      </c>
      <c r="K246" s="33" t="str">
        <f t="shared" si="245"/>
        <v/>
      </c>
    </row>
    <row r="247" ht="15.75" customHeight="1">
      <c r="B247" s="33"/>
      <c r="C247" s="33"/>
      <c r="D247" s="33"/>
      <c r="F247" s="33"/>
      <c r="I247" s="33" t="str">
        <f t="shared" ref="I247:K247" si="246">IF(B247="","",IF(B247&gt;=4,"A",IF(B247&gt;=3,"B","C")))</f>
        <v/>
      </c>
      <c r="J247" s="33" t="str">
        <f t="shared" si="246"/>
        <v/>
      </c>
      <c r="K247" s="33" t="str">
        <f t="shared" si="246"/>
        <v/>
      </c>
    </row>
    <row r="248" ht="15.75" customHeight="1">
      <c r="B248" s="33"/>
      <c r="C248" s="33"/>
      <c r="D248" s="33"/>
      <c r="F248" s="33"/>
      <c r="I248" s="33" t="str">
        <f t="shared" ref="I248:K248" si="247">IF(B248="","",IF(B248&gt;=4,"A",IF(B248&gt;=3,"B","C")))</f>
        <v/>
      </c>
      <c r="J248" s="33" t="str">
        <f t="shared" si="247"/>
        <v/>
      </c>
      <c r="K248" s="33" t="str">
        <f t="shared" si="247"/>
        <v/>
      </c>
    </row>
    <row r="249" ht="15.75" customHeight="1">
      <c r="B249" s="33"/>
      <c r="C249" s="33"/>
      <c r="D249" s="33"/>
      <c r="F249" s="33"/>
      <c r="I249" s="33" t="str">
        <f t="shared" ref="I249:K249" si="248">IF(B249="","",IF(B249&gt;=4,"A",IF(B249&gt;=3,"B","C")))</f>
        <v/>
      </c>
      <c r="J249" s="33" t="str">
        <f t="shared" si="248"/>
        <v/>
      </c>
      <c r="K249" s="33" t="str">
        <f t="shared" si="248"/>
        <v/>
      </c>
    </row>
    <row r="250" ht="15.75" customHeight="1">
      <c r="B250" s="33"/>
      <c r="C250" s="33"/>
      <c r="D250" s="33"/>
      <c r="F250" s="33"/>
      <c r="I250" s="33" t="str">
        <f t="shared" ref="I250:K250" si="249">IF(B250="","",IF(B250&gt;=4,"A",IF(B250&gt;=3,"B","C")))</f>
        <v/>
      </c>
      <c r="J250" s="33" t="str">
        <f t="shared" si="249"/>
        <v/>
      </c>
      <c r="K250" s="33" t="str">
        <f t="shared" si="249"/>
        <v/>
      </c>
    </row>
    <row r="251" ht="15.75" customHeight="1">
      <c r="B251" s="33"/>
      <c r="C251" s="33"/>
      <c r="D251" s="33"/>
      <c r="F251" s="33"/>
      <c r="I251" s="33" t="str">
        <f t="shared" ref="I251:K251" si="250">IF(B251="","",IF(B251&gt;=4,"A",IF(B251&gt;=3,"B","C")))</f>
        <v/>
      </c>
      <c r="J251" s="33" t="str">
        <f t="shared" si="250"/>
        <v/>
      </c>
      <c r="K251" s="33" t="str">
        <f t="shared" si="250"/>
        <v/>
      </c>
    </row>
    <row r="252" ht="15.75" customHeight="1">
      <c r="B252" s="33"/>
      <c r="C252" s="33"/>
      <c r="D252" s="33"/>
      <c r="F252" s="33"/>
      <c r="I252" s="33" t="str">
        <f t="shared" ref="I252:K252" si="251">IF(B252="","",IF(B252&gt;=4,"A",IF(B252&gt;=3,"B","C")))</f>
        <v/>
      </c>
      <c r="J252" s="33" t="str">
        <f t="shared" si="251"/>
        <v/>
      </c>
      <c r="K252" s="33" t="str">
        <f t="shared" si="251"/>
        <v/>
      </c>
    </row>
    <row r="253" ht="15.75" customHeight="1">
      <c r="B253" s="33"/>
      <c r="C253" s="33"/>
      <c r="D253" s="33"/>
      <c r="F253" s="33"/>
      <c r="I253" s="33" t="str">
        <f t="shared" ref="I253:K253" si="252">IF(B253="","",IF(B253&gt;=4,"A",IF(B253&gt;=3,"B","C")))</f>
        <v/>
      </c>
      <c r="J253" s="33" t="str">
        <f t="shared" si="252"/>
        <v/>
      </c>
      <c r="K253" s="33" t="str">
        <f t="shared" si="252"/>
        <v/>
      </c>
    </row>
    <row r="254" ht="15.75" customHeight="1">
      <c r="B254" s="33"/>
      <c r="C254" s="33"/>
      <c r="D254" s="33"/>
      <c r="F254" s="33"/>
      <c r="I254" s="33" t="str">
        <f t="shared" ref="I254:K254" si="253">IF(B254="","",IF(B254&gt;=4,"A",IF(B254&gt;=3,"B","C")))</f>
        <v/>
      </c>
      <c r="J254" s="33" t="str">
        <f t="shared" si="253"/>
        <v/>
      </c>
      <c r="K254" s="33" t="str">
        <f t="shared" si="253"/>
        <v/>
      </c>
    </row>
    <row r="255" ht="15.75" customHeight="1">
      <c r="B255" s="33"/>
      <c r="C255" s="33"/>
      <c r="D255" s="33"/>
      <c r="F255" s="33"/>
      <c r="I255" s="33" t="str">
        <f t="shared" ref="I255:K255" si="254">IF(B255="","",IF(B255&gt;=4,"A",IF(B255&gt;=3,"B","C")))</f>
        <v/>
      </c>
      <c r="J255" s="33" t="str">
        <f t="shared" si="254"/>
        <v/>
      </c>
      <c r="K255" s="33" t="str">
        <f t="shared" si="254"/>
        <v/>
      </c>
    </row>
    <row r="256" ht="15.75" customHeight="1">
      <c r="B256" s="33"/>
      <c r="C256" s="33"/>
      <c r="D256" s="33"/>
      <c r="F256" s="33"/>
      <c r="I256" s="33" t="str">
        <f t="shared" ref="I256:K256" si="255">IF(B256="","",IF(B256&gt;=4,"A",IF(B256&gt;=3,"B","C")))</f>
        <v/>
      </c>
      <c r="J256" s="33" t="str">
        <f t="shared" si="255"/>
        <v/>
      </c>
      <c r="K256" s="33" t="str">
        <f t="shared" si="255"/>
        <v/>
      </c>
    </row>
    <row r="257" ht="15.75" customHeight="1">
      <c r="B257" s="33"/>
      <c r="C257" s="33"/>
      <c r="D257" s="33"/>
      <c r="F257" s="33"/>
      <c r="I257" s="33" t="str">
        <f t="shared" ref="I257:K257" si="256">IF(B257="","",IF(B257&gt;=4,"A",IF(B257&gt;=3,"B","C")))</f>
        <v/>
      </c>
      <c r="J257" s="33" t="str">
        <f t="shared" si="256"/>
        <v/>
      </c>
      <c r="K257" s="33" t="str">
        <f t="shared" si="256"/>
        <v/>
      </c>
    </row>
    <row r="258" ht="15.75" customHeight="1">
      <c r="B258" s="33"/>
      <c r="C258" s="33"/>
      <c r="D258" s="33"/>
      <c r="F258" s="33"/>
      <c r="I258" s="33" t="str">
        <f t="shared" ref="I258:K258" si="257">IF(B258="","",IF(B258&gt;=4,"A",IF(B258&gt;=3,"B","C")))</f>
        <v/>
      </c>
      <c r="J258" s="33" t="str">
        <f t="shared" si="257"/>
        <v/>
      </c>
      <c r="K258" s="33" t="str">
        <f t="shared" si="257"/>
        <v/>
      </c>
    </row>
    <row r="259" ht="15.75" customHeight="1">
      <c r="B259" s="33"/>
      <c r="C259" s="33"/>
      <c r="D259" s="33"/>
      <c r="F259" s="33"/>
      <c r="I259" s="33" t="str">
        <f t="shared" ref="I259:K259" si="258">IF(B259="","",IF(B259&gt;=4,"A",IF(B259&gt;=3,"B","C")))</f>
        <v/>
      </c>
      <c r="J259" s="33" t="str">
        <f t="shared" si="258"/>
        <v/>
      </c>
      <c r="K259" s="33" t="str">
        <f t="shared" si="258"/>
        <v/>
      </c>
    </row>
    <row r="260" ht="15.75" customHeight="1">
      <c r="B260" s="33"/>
      <c r="C260" s="33"/>
      <c r="D260" s="33"/>
      <c r="F260" s="33"/>
      <c r="I260" s="33" t="str">
        <f t="shared" ref="I260:K260" si="259">IF(B260="","",IF(B260&gt;=4,"A",IF(B260&gt;=3,"B","C")))</f>
        <v/>
      </c>
      <c r="J260" s="33" t="str">
        <f t="shared" si="259"/>
        <v/>
      </c>
      <c r="K260" s="33" t="str">
        <f t="shared" si="259"/>
        <v/>
      </c>
    </row>
    <row r="261" ht="15.75" customHeight="1">
      <c r="B261" s="33"/>
      <c r="C261" s="33"/>
      <c r="D261" s="33"/>
      <c r="F261" s="33"/>
      <c r="I261" s="33" t="str">
        <f t="shared" ref="I261:K261" si="260">IF(B261="","",IF(B261&gt;=4,"A",IF(B261&gt;=3,"B","C")))</f>
        <v/>
      </c>
      <c r="J261" s="33" t="str">
        <f t="shared" si="260"/>
        <v/>
      </c>
      <c r="K261" s="33" t="str">
        <f t="shared" si="260"/>
        <v/>
      </c>
    </row>
    <row r="262" ht="15.75" customHeight="1">
      <c r="B262" s="33"/>
      <c r="C262" s="33"/>
      <c r="D262" s="33"/>
      <c r="F262" s="33"/>
      <c r="I262" s="33" t="str">
        <f t="shared" ref="I262:K262" si="261">IF(B262="","",IF(B262&gt;=4,"A",IF(B262&gt;=3,"B","C")))</f>
        <v/>
      </c>
      <c r="J262" s="33" t="str">
        <f t="shared" si="261"/>
        <v/>
      </c>
      <c r="K262" s="33" t="str">
        <f t="shared" si="261"/>
        <v/>
      </c>
    </row>
    <row r="263" ht="15.75" customHeight="1">
      <c r="B263" s="33"/>
      <c r="C263" s="33"/>
      <c r="D263" s="33"/>
      <c r="F263" s="33"/>
      <c r="I263" s="33" t="str">
        <f t="shared" ref="I263:K263" si="262">IF(B263="","",IF(B263&gt;=4,"A",IF(B263&gt;=3,"B","C")))</f>
        <v/>
      </c>
      <c r="J263" s="33" t="str">
        <f t="shared" si="262"/>
        <v/>
      </c>
      <c r="K263" s="33" t="str">
        <f t="shared" si="262"/>
        <v/>
      </c>
    </row>
    <row r="264" ht="15.75" customHeight="1">
      <c r="B264" s="33"/>
      <c r="C264" s="33"/>
      <c r="D264" s="33"/>
      <c r="F264" s="33"/>
      <c r="I264" s="33" t="str">
        <f t="shared" ref="I264:K264" si="263">IF(B264="","",IF(B264&gt;=4,"A",IF(B264&gt;=3,"B","C")))</f>
        <v/>
      </c>
      <c r="J264" s="33" t="str">
        <f t="shared" si="263"/>
        <v/>
      </c>
      <c r="K264" s="33" t="str">
        <f t="shared" si="263"/>
        <v/>
      </c>
    </row>
    <row r="265" ht="15.75" customHeight="1">
      <c r="B265" s="33"/>
      <c r="C265" s="33"/>
      <c r="D265" s="33"/>
      <c r="F265" s="33"/>
      <c r="I265" s="33" t="str">
        <f t="shared" ref="I265:K265" si="264">IF(B265="","",IF(B265&gt;=4,"A",IF(B265&gt;=3,"B","C")))</f>
        <v/>
      </c>
      <c r="J265" s="33" t="str">
        <f t="shared" si="264"/>
        <v/>
      </c>
      <c r="K265" s="33" t="str">
        <f t="shared" si="264"/>
        <v/>
      </c>
    </row>
    <row r="266" ht="15.75" customHeight="1">
      <c r="B266" s="33"/>
      <c r="C266" s="33"/>
      <c r="D266" s="33"/>
      <c r="F266" s="33"/>
      <c r="I266" s="33" t="str">
        <f t="shared" ref="I266:K266" si="265">IF(B266="","",IF(B266&gt;=4,"A",IF(B266&gt;=3,"B","C")))</f>
        <v/>
      </c>
      <c r="J266" s="33" t="str">
        <f t="shared" si="265"/>
        <v/>
      </c>
      <c r="K266" s="33" t="str">
        <f t="shared" si="265"/>
        <v/>
      </c>
    </row>
    <row r="267" ht="15.75" customHeight="1">
      <c r="B267" s="33"/>
      <c r="C267" s="33"/>
      <c r="D267" s="33"/>
      <c r="F267" s="33"/>
      <c r="I267" s="33" t="str">
        <f t="shared" ref="I267:K267" si="266">IF(B267="","",IF(B267&gt;=4,"A",IF(B267&gt;=3,"B","C")))</f>
        <v/>
      </c>
      <c r="J267" s="33" t="str">
        <f t="shared" si="266"/>
        <v/>
      </c>
      <c r="K267" s="33" t="str">
        <f t="shared" si="266"/>
        <v/>
      </c>
    </row>
    <row r="268" ht="15.75" customHeight="1">
      <c r="B268" s="33"/>
      <c r="C268" s="33"/>
      <c r="D268" s="33"/>
      <c r="F268" s="33"/>
      <c r="I268" s="33" t="str">
        <f t="shared" ref="I268:K268" si="267">IF(B268="","",IF(B268&gt;=4,"A",IF(B268&gt;=3,"B","C")))</f>
        <v/>
      </c>
      <c r="J268" s="33" t="str">
        <f t="shared" si="267"/>
        <v/>
      </c>
      <c r="K268" s="33" t="str">
        <f t="shared" si="267"/>
        <v/>
      </c>
    </row>
    <row r="269" ht="15.75" customHeight="1">
      <c r="B269" s="33"/>
      <c r="C269" s="33"/>
      <c r="D269" s="33"/>
      <c r="F269" s="33"/>
      <c r="I269" s="33" t="str">
        <f t="shared" ref="I269:K269" si="268">IF(B269="","",IF(B269&gt;=4,"A",IF(B269&gt;=3,"B","C")))</f>
        <v/>
      </c>
      <c r="J269" s="33" t="str">
        <f t="shared" si="268"/>
        <v/>
      </c>
      <c r="K269" s="33" t="str">
        <f t="shared" si="268"/>
        <v/>
      </c>
    </row>
    <row r="270" ht="15.75" customHeight="1">
      <c r="B270" s="33"/>
      <c r="C270" s="33"/>
      <c r="D270" s="33"/>
      <c r="F270" s="33"/>
      <c r="I270" s="33" t="str">
        <f t="shared" ref="I270:K270" si="269">IF(B270="","",IF(B270&gt;=4,"A",IF(B270&gt;=3,"B","C")))</f>
        <v/>
      </c>
      <c r="J270" s="33" t="str">
        <f t="shared" si="269"/>
        <v/>
      </c>
      <c r="K270" s="33" t="str">
        <f t="shared" si="269"/>
        <v/>
      </c>
    </row>
    <row r="271" ht="15.75" customHeight="1">
      <c r="B271" s="33"/>
      <c r="C271" s="33"/>
      <c r="D271" s="33"/>
      <c r="F271" s="33"/>
      <c r="I271" s="33" t="str">
        <f t="shared" ref="I271:K271" si="270">IF(B271="","",IF(B271&gt;=4,"A",IF(B271&gt;=3,"B","C")))</f>
        <v/>
      </c>
      <c r="J271" s="33" t="str">
        <f t="shared" si="270"/>
        <v/>
      </c>
      <c r="K271" s="33" t="str">
        <f t="shared" si="270"/>
        <v/>
      </c>
    </row>
    <row r="272" ht="15.75" customHeight="1">
      <c r="B272" s="33"/>
      <c r="C272" s="33"/>
      <c r="D272" s="33"/>
      <c r="F272" s="33"/>
      <c r="I272" s="33" t="str">
        <f t="shared" ref="I272:K272" si="271">IF(B272="","",IF(B272&gt;=4,"A",IF(B272&gt;=3,"B","C")))</f>
        <v/>
      </c>
      <c r="J272" s="33" t="str">
        <f t="shared" si="271"/>
        <v/>
      </c>
      <c r="K272" s="33" t="str">
        <f t="shared" si="271"/>
        <v/>
      </c>
    </row>
    <row r="273" ht="15.75" customHeight="1">
      <c r="B273" s="33"/>
      <c r="C273" s="33"/>
      <c r="D273" s="33"/>
      <c r="F273" s="33"/>
      <c r="I273" s="33" t="str">
        <f t="shared" ref="I273:K273" si="272">IF(B273="","",IF(B273&gt;=4,"A",IF(B273&gt;=3,"B","C")))</f>
        <v/>
      </c>
      <c r="J273" s="33" t="str">
        <f t="shared" si="272"/>
        <v/>
      </c>
      <c r="K273" s="33" t="str">
        <f t="shared" si="272"/>
        <v/>
      </c>
    </row>
    <row r="274" ht="15.75" customHeight="1">
      <c r="B274" s="33"/>
      <c r="C274" s="33"/>
      <c r="D274" s="33"/>
      <c r="F274" s="33"/>
      <c r="I274" s="33" t="str">
        <f t="shared" ref="I274:K274" si="273">IF(B274="","",IF(B274&gt;=4,"A",IF(B274&gt;=3,"B","C")))</f>
        <v/>
      </c>
      <c r="J274" s="33" t="str">
        <f t="shared" si="273"/>
        <v/>
      </c>
      <c r="K274" s="33" t="str">
        <f t="shared" si="273"/>
        <v/>
      </c>
    </row>
    <row r="275" ht="15.75" customHeight="1">
      <c r="B275" s="33"/>
      <c r="C275" s="33"/>
      <c r="D275" s="33"/>
      <c r="F275" s="33"/>
      <c r="I275" s="33" t="str">
        <f t="shared" ref="I275:K275" si="274">IF(B275="","",IF(B275&gt;=4,"A",IF(B275&gt;=3,"B","C")))</f>
        <v/>
      </c>
      <c r="J275" s="33" t="str">
        <f t="shared" si="274"/>
        <v/>
      </c>
      <c r="K275" s="33" t="str">
        <f t="shared" si="274"/>
        <v/>
      </c>
    </row>
    <row r="276" ht="15.75" customHeight="1">
      <c r="B276" s="33"/>
      <c r="C276" s="33"/>
      <c r="D276" s="33"/>
      <c r="F276" s="33"/>
      <c r="I276" s="33" t="str">
        <f t="shared" ref="I276:K276" si="275">IF(B276="","",IF(B276&gt;=4,"A",IF(B276&gt;=3,"B","C")))</f>
        <v/>
      </c>
      <c r="J276" s="33" t="str">
        <f t="shared" si="275"/>
        <v/>
      </c>
      <c r="K276" s="33" t="str">
        <f t="shared" si="275"/>
        <v/>
      </c>
    </row>
    <row r="277" ht="15.75" customHeight="1">
      <c r="B277" s="33"/>
      <c r="C277" s="33"/>
      <c r="D277" s="33"/>
      <c r="F277" s="33"/>
      <c r="I277" s="33" t="str">
        <f t="shared" ref="I277:K277" si="276">IF(B277="","",IF(B277&gt;=4,"A",IF(B277&gt;=3,"B","C")))</f>
        <v/>
      </c>
      <c r="J277" s="33" t="str">
        <f t="shared" si="276"/>
        <v/>
      </c>
      <c r="K277" s="33" t="str">
        <f t="shared" si="276"/>
        <v/>
      </c>
    </row>
    <row r="278" ht="15.75" customHeight="1">
      <c r="B278" s="33"/>
      <c r="C278" s="33"/>
      <c r="D278" s="33"/>
      <c r="F278" s="33"/>
      <c r="I278" s="33" t="str">
        <f t="shared" ref="I278:K278" si="277">IF(B278="","",IF(B278&gt;=4,"A",IF(B278&gt;=3,"B","C")))</f>
        <v/>
      </c>
      <c r="J278" s="33" t="str">
        <f t="shared" si="277"/>
        <v/>
      </c>
      <c r="K278" s="33" t="str">
        <f t="shared" si="277"/>
        <v/>
      </c>
    </row>
    <row r="279" ht="15.75" customHeight="1">
      <c r="B279" s="33"/>
      <c r="C279" s="33"/>
      <c r="D279" s="33"/>
      <c r="F279" s="33"/>
      <c r="I279" s="33" t="str">
        <f t="shared" ref="I279:K279" si="278">IF(B279="","",IF(B279&gt;=4,"A",IF(B279&gt;=3,"B","C")))</f>
        <v/>
      </c>
      <c r="J279" s="33" t="str">
        <f t="shared" si="278"/>
        <v/>
      </c>
      <c r="K279" s="33" t="str">
        <f t="shared" si="278"/>
        <v/>
      </c>
    </row>
    <row r="280" ht="15.75" customHeight="1">
      <c r="B280" s="33"/>
      <c r="C280" s="33"/>
      <c r="D280" s="33"/>
      <c r="F280" s="33"/>
      <c r="I280" s="33" t="str">
        <f t="shared" ref="I280:K280" si="279">IF(B280="","",IF(B280&gt;=4,"A",IF(B280&gt;=3,"B","C")))</f>
        <v/>
      </c>
      <c r="J280" s="33" t="str">
        <f t="shared" si="279"/>
        <v/>
      </c>
      <c r="K280" s="33" t="str">
        <f t="shared" si="279"/>
        <v/>
      </c>
    </row>
    <row r="281" ht="15.75" customHeight="1">
      <c r="B281" s="33"/>
      <c r="C281" s="33"/>
      <c r="D281" s="33"/>
      <c r="F281" s="33"/>
      <c r="I281" s="33" t="str">
        <f t="shared" ref="I281:K281" si="280">IF(B281="","",IF(B281&gt;=4,"A",IF(B281&gt;=3,"B","C")))</f>
        <v/>
      </c>
      <c r="J281" s="33" t="str">
        <f t="shared" si="280"/>
        <v/>
      </c>
      <c r="K281" s="33" t="str">
        <f t="shared" si="280"/>
        <v/>
      </c>
    </row>
    <row r="282" ht="15.75" customHeight="1">
      <c r="B282" s="33"/>
      <c r="C282" s="33"/>
      <c r="D282" s="33"/>
      <c r="F282" s="33"/>
      <c r="I282" s="33" t="str">
        <f t="shared" ref="I282:K282" si="281">IF(B282="","",IF(B282&gt;=4,"A",IF(B282&gt;=3,"B","C")))</f>
        <v/>
      </c>
      <c r="J282" s="33" t="str">
        <f t="shared" si="281"/>
        <v/>
      </c>
      <c r="K282" s="33" t="str">
        <f t="shared" si="281"/>
        <v/>
      </c>
    </row>
    <row r="283" ht="15.75" customHeight="1">
      <c r="B283" s="33"/>
      <c r="C283" s="33"/>
      <c r="D283" s="33"/>
      <c r="F283" s="33"/>
      <c r="I283" s="33" t="str">
        <f t="shared" ref="I283:K283" si="282">IF(B283="","",IF(B283&gt;=4,"A",IF(B283&gt;=3,"B","C")))</f>
        <v/>
      </c>
      <c r="J283" s="33" t="str">
        <f t="shared" si="282"/>
        <v/>
      </c>
      <c r="K283" s="33" t="str">
        <f t="shared" si="282"/>
        <v/>
      </c>
    </row>
    <row r="284" ht="15.75" customHeight="1">
      <c r="B284" s="33"/>
      <c r="C284" s="33"/>
      <c r="D284" s="33"/>
      <c r="F284" s="33"/>
      <c r="I284" s="33" t="str">
        <f t="shared" ref="I284:K284" si="283">IF(B284="","",IF(B284&gt;=4,"A",IF(B284&gt;=3,"B","C")))</f>
        <v/>
      </c>
      <c r="J284" s="33" t="str">
        <f t="shared" si="283"/>
        <v/>
      </c>
      <c r="K284" s="33" t="str">
        <f t="shared" si="283"/>
        <v/>
      </c>
    </row>
    <row r="285" ht="15.75" customHeight="1">
      <c r="B285" s="33"/>
      <c r="C285" s="33"/>
      <c r="D285" s="33"/>
      <c r="F285" s="33"/>
      <c r="I285" s="33" t="str">
        <f t="shared" ref="I285:K285" si="284">IF(B285="","",IF(B285&gt;=4,"A",IF(B285&gt;=3,"B","C")))</f>
        <v/>
      </c>
      <c r="J285" s="33" t="str">
        <f t="shared" si="284"/>
        <v/>
      </c>
      <c r="K285" s="33" t="str">
        <f t="shared" si="284"/>
        <v/>
      </c>
    </row>
    <row r="286" ht="15.75" customHeight="1">
      <c r="B286" s="33"/>
      <c r="C286" s="33"/>
      <c r="D286" s="33"/>
      <c r="F286" s="33"/>
      <c r="I286" s="33" t="str">
        <f t="shared" ref="I286:K286" si="285">IF(B286="","",IF(B286&gt;=4,"A",IF(B286&gt;=3,"B","C")))</f>
        <v/>
      </c>
      <c r="J286" s="33" t="str">
        <f t="shared" si="285"/>
        <v/>
      </c>
      <c r="K286" s="33" t="str">
        <f t="shared" si="285"/>
        <v/>
      </c>
    </row>
    <row r="287" ht="15.75" customHeight="1">
      <c r="B287" s="33"/>
      <c r="C287" s="33"/>
      <c r="D287" s="33"/>
      <c r="F287" s="33"/>
      <c r="I287" s="33" t="str">
        <f t="shared" ref="I287:K287" si="286">IF(B287="","",IF(B287&gt;=4,"A",IF(B287&gt;=3,"B","C")))</f>
        <v/>
      </c>
      <c r="J287" s="33" t="str">
        <f t="shared" si="286"/>
        <v/>
      </c>
      <c r="K287" s="33" t="str">
        <f t="shared" si="286"/>
        <v/>
      </c>
    </row>
    <row r="288" ht="15.75" customHeight="1">
      <c r="B288" s="33"/>
      <c r="C288" s="33"/>
      <c r="D288" s="33"/>
      <c r="F288" s="33"/>
      <c r="I288" s="33" t="str">
        <f t="shared" ref="I288:K288" si="287">IF(B288="","",IF(B288&gt;=4,"A",IF(B288&gt;=3,"B","C")))</f>
        <v/>
      </c>
      <c r="J288" s="33" t="str">
        <f t="shared" si="287"/>
        <v/>
      </c>
      <c r="K288" s="33" t="str">
        <f t="shared" si="287"/>
        <v/>
      </c>
    </row>
    <row r="289" ht="15.75" customHeight="1">
      <c r="B289" s="33"/>
      <c r="C289" s="33"/>
      <c r="D289" s="33"/>
      <c r="F289" s="33"/>
      <c r="I289" s="33" t="str">
        <f t="shared" ref="I289:K289" si="288">IF(B289="","",IF(B289&gt;=4,"A",IF(B289&gt;=3,"B","C")))</f>
        <v/>
      </c>
      <c r="J289" s="33" t="str">
        <f t="shared" si="288"/>
        <v/>
      </c>
      <c r="K289" s="33" t="str">
        <f t="shared" si="288"/>
        <v/>
      </c>
    </row>
    <row r="290" ht="15.75" customHeight="1">
      <c r="B290" s="33"/>
      <c r="C290" s="33"/>
      <c r="D290" s="33"/>
      <c r="F290" s="33"/>
      <c r="I290" s="33" t="str">
        <f t="shared" ref="I290:K290" si="289">IF(B290="","",IF(B290&gt;=4,"A",IF(B290&gt;=3,"B","C")))</f>
        <v/>
      </c>
      <c r="J290" s="33" t="str">
        <f t="shared" si="289"/>
        <v/>
      </c>
      <c r="K290" s="33" t="str">
        <f t="shared" si="289"/>
        <v/>
      </c>
    </row>
    <row r="291" ht="15.75" customHeight="1">
      <c r="B291" s="33"/>
      <c r="C291" s="33"/>
      <c r="D291" s="33"/>
      <c r="F291" s="33"/>
      <c r="I291" s="33" t="str">
        <f t="shared" ref="I291:K291" si="290">IF(B291="","",IF(B291&gt;=4,"A",IF(B291&gt;=3,"B","C")))</f>
        <v/>
      </c>
      <c r="J291" s="33" t="str">
        <f t="shared" si="290"/>
        <v/>
      </c>
      <c r="K291" s="33" t="str">
        <f t="shared" si="290"/>
        <v/>
      </c>
    </row>
    <row r="292" ht="15.75" customHeight="1">
      <c r="B292" s="33"/>
      <c r="C292" s="33"/>
      <c r="D292" s="33"/>
      <c r="F292" s="33"/>
      <c r="I292" s="33" t="str">
        <f t="shared" ref="I292:K292" si="291">IF(B292="","",IF(B292&gt;=4,"A",IF(B292&gt;=3,"B","C")))</f>
        <v/>
      </c>
      <c r="J292" s="33" t="str">
        <f t="shared" si="291"/>
        <v/>
      </c>
      <c r="K292" s="33" t="str">
        <f t="shared" si="291"/>
        <v/>
      </c>
    </row>
    <row r="293" ht="15.75" customHeight="1">
      <c r="B293" s="33"/>
      <c r="C293" s="33"/>
      <c r="D293" s="33"/>
      <c r="F293" s="33"/>
      <c r="I293" s="33" t="str">
        <f t="shared" ref="I293:K293" si="292">IF(B293="","",IF(B293&gt;=4,"A",IF(B293&gt;=3,"B","C")))</f>
        <v/>
      </c>
      <c r="J293" s="33" t="str">
        <f t="shared" si="292"/>
        <v/>
      </c>
      <c r="K293" s="33" t="str">
        <f t="shared" si="292"/>
        <v/>
      </c>
    </row>
    <row r="294" ht="15.75" customHeight="1">
      <c r="B294" s="33"/>
      <c r="C294" s="33"/>
      <c r="D294" s="33"/>
      <c r="F294" s="33"/>
      <c r="I294" s="33" t="str">
        <f t="shared" ref="I294:K294" si="293">IF(B294="","",IF(B294&gt;=4,"A",IF(B294&gt;=3,"B","C")))</f>
        <v/>
      </c>
      <c r="J294" s="33" t="str">
        <f t="shared" si="293"/>
        <v/>
      </c>
      <c r="K294" s="33" t="str">
        <f t="shared" si="293"/>
        <v/>
      </c>
    </row>
    <row r="295" ht="15.75" customHeight="1">
      <c r="B295" s="33"/>
      <c r="C295" s="33"/>
      <c r="D295" s="33"/>
      <c r="F295" s="33"/>
      <c r="I295" s="33" t="str">
        <f t="shared" ref="I295:K295" si="294">IF(B295="","",IF(B295&gt;=4,"A",IF(B295&gt;=3,"B","C")))</f>
        <v/>
      </c>
      <c r="J295" s="33" t="str">
        <f t="shared" si="294"/>
        <v/>
      </c>
      <c r="K295" s="33" t="str">
        <f t="shared" si="294"/>
        <v/>
      </c>
    </row>
    <row r="296" ht="15.75" customHeight="1">
      <c r="B296" s="33"/>
      <c r="C296" s="33"/>
      <c r="D296" s="33"/>
      <c r="F296" s="33"/>
      <c r="I296" s="33" t="str">
        <f t="shared" ref="I296:K296" si="295">IF(B296="","",IF(B296&gt;=4,"A",IF(B296&gt;=3,"B","C")))</f>
        <v/>
      </c>
      <c r="J296" s="33" t="str">
        <f t="shared" si="295"/>
        <v/>
      </c>
      <c r="K296" s="33" t="str">
        <f t="shared" si="295"/>
        <v/>
      </c>
    </row>
    <row r="297" ht="15.75" customHeight="1">
      <c r="B297" s="33"/>
      <c r="C297" s="33"/>
      <c r="D297" s="33"/>
      <c r="F297" s="33"/>
      <c r="I297" s="33" t="str">
        <f t="shared" ref="I297:K297" si="296">IF(B297="","",IF(B297&gt;=4,"A",IF(B297&gt;=3,"B","C")))</f>
        <v/>
      </c>
      <c r="J297" s="33" t="str">
        <f t="shared" si="296"/>
        <v/>
      </c>
      <c r="K297" s="33" t="str">
        <f t="shared" si="296"/>
        <v/>
      </c>
    </row>
    <row r="298" ht="15.75" customHeight="1">
      <c r="B298" s="33"/>
      <c r="C298" s="33"/>
      <c r="D298" s="33"/>
      <c r="F298" s="33"/>
      <c r="I298" s="33" t="str">
        <f t="shared" ref="I298:K298" si="297">IF(B298="","",IF(B298&gt;=4,"A",IF(B298&gt;=3,"B","C")))</f>
        <v/>
      </c>
      <c r="J298" s="33" t="str">
        <f t="shared" si="297"/>
        <v/>
      </c>
      <c r="K298" s="33" t="str">
        <f t="shared" si="297"/>
        <v/>
      </c>
    </row>
    <row r="299" ht="15.75" customHeight="1">
      <c r="B299" s="33"/>
      <c r="C299" s="33"/>
      <c r="D299" s="33"/>
      <c r="F299" s="33"/>
      <c r="I299" s="33" t="str">
        <f t="shared" ref="I299:K299" si="298">IF(B299="","",IF(B299&gt;=4,"A",IF(B299&gt;=3,"B","C")))</f>
        <v/>
      </c>
      <c r="J299" s="33" t="str">
        <f t="shared" si="298"/>
        <v/>
      </c>
      <c r="K299" s="33" t="str">
        <f t="shared" si="298"/>
        <v/>
      </c>
    </row>
    <row r="300" ht="15.75" customHeight="1">
      <c r="B300" s="33"/>
      <c r="C300" s="33"/>
      <c r="D300" s="33"/>
      <c r="F300" s="33"/>
      <c r="I300" s="33" t="str">
        <f t="shared" ref="I300:K300" si="299">IF(B300="","",IF(B300&gt;=4,"A",IF(B300&gt;=3,"B","C")))</f>
        <v/>
      </c>
      <c r="J300" s="33" t="str">
        <f t="shared" si="299"/>
        <v/>
      </c>
      <c r="K300" s="33" t="str">
        <f t="shared" si="299"/>
        <v/>
      </c>
    </row>
    <row r="301" ht="15.75" customHeight="1">
      <c r="B301" s="33"/>
      <c r="C301" s="33"/>
      <c r="D301" s="33"/>
      <c r="F301" s="33"/>
      <c r="I301" s="33" t="str">
        <f t="shared" ref="I301:K301" si="300">IF(B301="","",IF(B301&gt;=4,"A",IF(B301&gt;=3,"B","C")))</f>
        <v/>
      </c>
      <c r="J301" s="33" t="str">
        <f t="shared" si="300"/>
        <v/>
      </c>
      <c r="K301" s="33" t="str">
        <f t="shared" si="300"/>
        <v/>
      </c>
    </row>
    <row r="302" ht="15.75" customHeight="1">
      <c r="B302" s="33"/>
      <c r="C302" s="33"/>
      <c r="D302" s="33"/>
      <c r="F302" s="33"/>
      <c r="I302" s="33" t="str">
        <f t="shared" ref="I302:K302" si="301">IF(B302="","",IF(B302&gt;=4,"A",IF(B302&gt;=3,"B","C")))</f>
        <v/>
      </c>
      <c r="J302" s="33" t="str">
        <f t="shared" si="301"/>
        <v/>
      </c>
      <c r="K302" s="33" t="str">
        <f t="shared" si="301"/>
        <v/>
      </c>
    </row>
    <row r="303" ht="15.75" customHeight="1">
      <c r="B303" s="33"/>
      <c r="C303" s="33"/>
      <c r="D303" s="33"/>
      <c r="F303" s="33"/>
      <c r="I303" s="33" t="str">
        <f t="shared" ref="I303:K303" si="302">IF(B303="","",IF(B303&gt;=4,"A",IF(B303&gt;=3,"B","C")))</f>
        <v/>
      </c>
      <c r="J303" s="33" t="str">
        <f t="shared" si="302"/>
        <v/>
      </c>
      <c r="K303" s="33" t="str">
        <f t="shared" si="302"/>
        <v/>
      </c>
    </row>
    <row r="304" ht="15.75" customHeight="1">
      <c r="B304" s="33"/>
      <c r="C304" s="33"/>
      <c r="D304" s="33"/>
      <c r="F304" s="33"/>
      <c r="I304" s="33" t="str">
        <f t="shared" ref="I304:K304" si="303">IF(B304="","",IF(B304&gt;=4,"A",IF(B304&gt;=3,"B","C")))</f>
        <v/>
      </c>
      <c r="J304" s="33" t="str">
        <f t="shared" si="303"/>
        <v/>
      </c>
      <c r="K304" s="33" t="str">
        <f t="shared" si="303"/>
        <v/>
      </c>
    </row>
    <row r="305" ht="15.75" customHeight="1">
      <c r="B305" s="33"/>
      <c r="C305" s="33"/>
      <c r="D305" s="33"/>
      <c r="F305" s="33"/>
      <c r="I305" s="33" t="str">
        <f t="shared" ref="I305:K305" si="304">IF(B305="","",IF(B305&gt;=4,"A",IF(B305&gt;=3,"B","C")))</f>
        <v/>
      </c>
      <c r="J305" s="33" t="str">
        <f t="shared" si="304"/>
        <v/>
      </c>
      <c r="K305" s="33" t="str">
        <f t="shared" si="304"/>
        <v/>
      </c>
    </row>
    <row r="306" ht="15.75" customHeight="1">
      <c r="B306" s="33"/>
      <c r="C306" s="33"/>
      <c r="D306" s="33"/>
      <c r="F306" s="33"/>
      <c r="I306" s="33" t="str">
        <f t="shared" ref="I306:K306" si="305">IF(B306="","",IF(B306&gt;=4,"A",IF(B306&gt;=3,"B","C")))</f>
        <v/>
      </c>
      <c r="J306" s="33" t="str">
        <f t="shared" si="305"/>
        <v/>
      </c>
      <c r="K306" s="33" t="str">
        <f t="shared" si="305"/>
        <v/>
      </c>
    </row>
    <row r="307" ht="15.75" customHeight="1">
      <c r="B307" s="33"/>
      <c r="C307" s="33"/>
      <c r="D307" s="33"/>
      <c r="F307" s="33"/>
      <c r="I307" s="33" t="str">
        <f t="shared" ref="I307:K307" si="306">IF(B307="","",IF(B307&gt;=4,"A",IF(B307&gt;=3,"B","C")))</f>
        <v/>
      </c>
      <c r="J307" s="33" t="str">
        <f t="shared" si="306"/>
        <v/>
      </c>
      <c r="K307" s="33" t="str">
        <f t="shared" si="306"/>
        <v/>
      </c>
    </row>
    <row r="308" ht="15.75" customHeight="1">
      <c r="B308" s="33"/>
      <c r="C308" s="33"/>
      <c r="D308" s="33"/>
      <c r="F308" s="33"/>
      <c r="I308" s="33" t="str">
        <f t="shared" ref="I308:K308" si="307">IF(B308="","",IF(B308&gt;=4,"A",IF(B308&gt;=3,"B","C")))</f>
        <v/>
      </c>
      <c r="J308" s="33" t="str">
        <f t="shared" si="307"/>
        <v/>
      </c>
      <c r="K308" s="33" t="str">
        <f t="shared" si="307"/>
        <v/>
      </c>
    </row>
    <row r="309" ht="15.75" customHeight="1">
      <c r="B309" s="33"/>
      <c r="C309" s="33"/>
      <c r="D309" s="33"/>
      <c r="F309" s="33"/>
      <c r="I309" s="33" t="str">
        <f t="shared" ref="I309:K309" si="308">IF(B309="","",IF(B309&gt;=4,"A",IF(B309&gt;=3,"B","C")))</f>
        <v/>
      </c>
      <c r="J309" s="33" t="str">
        <f t="shared" si="308"/>
        <v/>
      </c>
      <c r="K309" s="33" t="str">
        <f t="shared" si="308"/>
        <v/>
      </c>
    </row>
    <row r="310" ht="15.75" customHeight="1">
      <c r="B310" s="33"/>
      <c r="C310" s="33"/>
      <c r="D310" s="33"/>
      <c r="F310" s="33"/>
      <c r="I310" s="33" t="str">
        <f t="shared" ref="I310:K310" si="309">IF(B310="","",IF(B310&gt;=4,"A",IF(B310&gt;=3,"B","C")))</f>
        <v/>
      </c>
      <c r="J310" s="33" t="str">
        <f t="shared" si="309"/>
        <v/>
      </c>
      <c r="K310" s="33" t="str">
        <f t="shared" si="309"/>
        <v/>
      </c>
    </row>
    <row r="311" ht="15.75" customHeight="1">
      <c r="B311" s="33"/>
      <c r="C311" s="33"/>
      <c r="D311" s="33"/>
      <c r="F311" s="33"/>
      <c r="I311" s="33" t="str">
        <f t="shared" ref="I311:K311" si="310">IF(B311="","",IF(B311&gt;=4,"A",IF(B311&gt;=3,"B","C")))</f>
        <v/>
      </c>
      <c r="J311" s="33" t="str">
        <f t="shared" si="310"/>
        <v/>
      </c>
      <c r="K311" s="33" t="str">
        <f t="shared" si="310"/>
        <v/>
      </c>
    </row>
    <row r="312" ht="15.75" customHeight="1">
      <c r="B312" s="33"/>
      <c r="C312" s="33"/>
      <c r="D312" s="33"/>
      <c r="F312" s="33"/>
      <c r="I312" s="33" t="str">
        <f t="shared" ref="I312:K312" si="311">IF(B312="","",IF(B312&gt;=4,"A",IF(B312&gt;=3,"B","C")))</f>
        <v/>
      </c>
      <c r="J312" s="33" t="str">
        <f t="shared" si="311"/>
        <v/>
      </c>
      <c r="K312" s="33" t="str">
        <f t="shared" si="311"/>
        <v/>
      </c>
    </row>
    <row r="313" ht="15.75" customHeight="1">
      <c r="B313" s="33"/>
      <c r="C313" s="33"/>
      <c r="D313" s="33"/>
      <c r="F313" s="33"/>
      <c r="I313" s="33" t="str">
        <f t="shared" ref="I313:K313" si="312">IF(B313="","",IF(B313&gt;=4,"A",IF(B313&gt;=3,"B","C")))</f>
        <v/>
      </c>
      <c r="J313" s="33" t="str">
        <f t="shared" si="312"/>
        <v/>
      </c>
      <c r="K313" s="33" t="str">
        <f t="shared" si="312"/>
        <v/>
      </c>
    </row>
    <row r="314" ht="15.75" customHeight="1">
      <c r="B314" s="33"/>
      <c r="C314" s="33"/>
      <c r="D314" s="33"/>
      <c r="F314" s="33"/>
      <c r="I314" s="33" t="str">
        <f t="shared" ref="I314:K314" si="313">IF(B314="","",IF(B314&gt;=4,"A",IF(B314&gt;=3,"B","C")))</f>
        <v/>
      </c>
      <c r="J314" s="33" t="str">
        <f t="shared" si="313"/>
        <v/>
      </c>
      <c r="K314" s="33" t="str">
        <f t="shared" si="313"/>
        <v/>
      </c>
    </row>
    <row r="315" ht="15.75" customHeight="1">
      <c r="B315" s="33"/>
      <c r="C315" s="33"/>
      <c r="D315" s="33"/>
      <c r="F315" s="33"/>
      <c r="I315" s="33" t="str">
        <f t="shared" ref="I315:K315" si="314">IF(B315="","",IF(B315&gt;=4,"A",IF(B315&gt;=3,"B","C")))</f>
        <v/>
      </c>
      <c r="J315" s="33" t="str">
        <f t="shared" si="314"/>
        <v/>
      </c>
      <c r="K315" s="33" t="str">
        <f t="shared" si="314"/>
        <v/>
      </c>
    </row>
    <row r="316" ht="15.75" customHeight="1">
      <c r="B316" s="33"/>
      <c r="C316" s="33"/>
      <c r="D316" s="33"/>
      <c r="F316" s="33"/>
      <c r="I316" s="33" t="str">
        <f t="shared" ref="I316:K316" si="315">IF(B316="","",IF(B316&gt;=4,"A",IF(B316&gt;=3,"B","C")))</f>
        <v/>
      </c>
      <c r="J316" s="33" t="str">
        <f t="shared" si="315"/>
        <v/>
      </c>
      <c r="K316" s="33" t="str">
        <f t="shared" si="315"/>
        <v/>
      </c>
    </row>
    <row r="317" ht="15.75" customHeight="1">
      <c r="B317" s="33"/>
      <c r="C317" s="33"/>
      <c r="D317" s="33"/>
      <c r="F317" s="33"/>
      <c r="I317" s="33" t="str">
        <f t="shared" ref="I317:K317" si="316">IF(B317="","",IF(B317&gt;=4,"A",IF(B317&gt;=3,"B","C")))</f>
        <v/>
      </c>
      <c r="J317" s="33" t="str">
        <f t="shared" si="316"/>
        <v/>
      </c>
      <c r="K317" s="33" t="str">
        <f t="shared" si="316"/>
        <v/>
      </c>
    </row>
    <row r="318" ht="15.75" customHeight="1">
      <c r="B318" s="33"/>
      <c r="C318" s="33"/>
      <c r="D318" s="33"/>
      <c r="F318" s="33"/>
      <c r="I318" s="33" t="str">
        <f t="shared" ref="I318:K318" si="317">IF(B318="","",IF(B318&gt;=4,"A",IF(B318&gt;=3,"B","C")))</f>
        <v/>
      </c>
      <c r="J318" s="33" t="str">
        <f t="shared" si="317"/>
        <v/>
      </c>
      <c r="K318" s="33" t="str">
        <f t="shared" si="317"/>
        <v/>
      </c>
    </row>
    <row r="319" ht="15.75" customHeight="1">
      <c r="B319" s="33"/>
      <c r="C319" s="33"/>
      <c r="D319" s="33"/>
      <c r="F319" s="33"/>
      <c r="I319" s="33" t="str">
        <f t="shared" ref="I319:K319" si="318">IF(B319="","",IF(B319&gt;=4,"A",IF(B319&gt;=3,"B","C")))</f>
        <v/>
      </c>
      <c r="J319" s="33" t="str">
        <f t="shared" si="318"/>
        <v/>
      </c>
      <c r="K319" s="33" t="str">
        <f t="shared" si="318"/>
        <v/>
      </c>
    </row>
    <row r="320" ht="15.75" customHeight="1">
      <c r="B320" s="33"/>
      <c r="C320" s="33"/>
      <c r="D320" s="33"/>
      <c r="F320" s="33"/>
      <c r="I320" s="33" t="str">
        <f t="shared" ref="I320:K320" si="319">IF(B320="","",IF(B320&gt;=4,"A",IF(B320&gt;=3,"B","C")))</f>
        <v/>
      </c>
      <c r="J320" s="33" t="str">
        <f t="shared" si="319"/>
        <v/>
      </c>
      <c r="K320" s="33" t="str">
        <f t="shared" si="319"/>
        <v/>
      </c>
    </row>
    <row r="321" ht="15.75" customHeight="1">
      <c r="B321" s="33"/>
      <c r="C321" s="33"/>
      <c r="D321" s="33"/>
      <c r="F321" s="33"/>
      <c r="I321" s="33" t="str">
        <f t="shared" ref="I321:K321" si="320">IF(B321="","",IF(B321&gt;=4,"A",IF(B321&gt;=3,"B","C")))</f>
        <v/>
      </c>
      <c r="J321" s="33" t="str">
        <f t="shared" si="320"/>
        <v/>
      </c>
      <c r="K321" s="33" t="str">
        <f t="shared" si="320"/>
        <v/>
      </c>
    </row>
    <row r="322" ht="15.75" customHeight="1">
      <c r="B322" s="33"/>
      <c r="C322" s="33"/>
      <c r="D322" s="33"/>
      <c r="F322" s="33"/>
      <c r="I322" s="33" t="str">
        <f t="shared" ref="I322:K322" si="321">IF(B322="","",IF(B322&gt;=4,"A",IF(B322&gt;=3,"B","C")))</f>
        <v/>
      </c>
      <c r="J322" s="33" t="str">
        <f t="shared" si="321"/>
        <v/>
      </c>
      <c r="K322" s="33" t="str">
        <f t="shared" si="321"/>
        <v/>
      </c>
    </row>
    <row r="323" ht="15.75" customHeight="1">
      <c r="B323" s="33"/>
      <c r="C323" s="33"/>
      <c r="D323" s="33"/>
      <c r="F323" s="33"/>
      <c r="I323" s="33" t="str">
        <f t="shared" ref="I323:K323" si="322">IF(B323="","",IF(B323&gt;=4,"A",IF(B323&gt;=3,"B","C")))</f>
        <v/>
      </c>
      <c r="J323" s="33" t="str">
        <f t="shared" si="322"/>
        <v/>
      </c>
      <c r="K323" s="33" t="str">
        <f t="shared" si="322"/>
        <v/>
      </c>
    </row>
    <row r="324" ht="15.75" customHeight="1">
      <c r="B324" s="33"/>
      <c r="C324" s="33"/>
      <c r="D324" s="33"/>
      <c r="F324" s="33"/>
      <c r="I324" s="33" t="str">
        <f t="shared" ref="I324:K324" si="323">IF(B324="","",IF(B324&gt;=4,"A",IF(B324&gt;=3,"B","C")))</f>
        <v/>
      </c>
      <c r="J324" s="33" t="str">
        <f t="shared" si="323"/>
        <v/>
      </c>
      <c r="K324" s="33" t="str">
        <f t="shared" si="323"/>
        <v/>
      </c>
    </row>
    <row r="325" ht="15.75" customHeight="1">
      <c r="B325" s="33"/>
      <c r="C325" s="33"/>
      <c r="D325" s="33"/>
      <c r="F325" s="33"/>
      <c r="I325" s="33" t="str">
        <f t="shared" ref="I325:K325" si="324">IF(B325="","",IF(B325&gt;=4,"A",IF(B325&gt;=3,"B","C")))</f>
        <v/>
      </c>
      <c r="J325" s="33" t="str">
        <f t="shared" si="324"/>
        <v/>
      </c>
      <c r="K325" s="33" t="str">
        <f t="shared" si="324"/>
        <v/>
      </c>
    </row>
    <row r="326" ht="15.75" customHeight="1">
      <c r="B326" s="33"/>
      <c r="C326" s="33"/>
      <c r="D326" s="33"/>
      <c r="F326" s="33"/>
      <c r="I326" s="33" t="str">
        <f t="shared" ref="I326:K326" si="325">IF(B326="","",IF(B326&gt;=4,"A",IF(B326&gt;=3,"B","C")))</f>
        <v/>
      </c>
      <c r="J326" s="33" t="str">
        <f t="shared" si="325"/>
        <v/>
      </c>
      <c r="K326" s="33" t="str">
        <f t="shared" si="325"/>
        <v/>
      </c>
    </row>
    <row r="327" ht="15.75" customHeight="1">
      <c r="B327" s="33"/>
      <c r="C327" s="33"/>
      <c r="D327" s="33"/>
      <c r="F327" s="33"/>
      <c r="I327" s="33" t="str">
        <f t="shared" ref="I327:K327" si="326">IF(B327="","",IF(B327&gt;=4,"A",IF(B327&gt;=3,"B","C")))</f>
        <v/>
      </c>
      <c r="J327" s="33" t="str">
        <f t="shared" si="326"/>
        <v/>
      </c>
      <c r="K327" s="33" t="str">
        <f t="shared" si="326"/>
        <v/>
      </c>
    </row>
    <row r="328" ht="15.75" customHeight="1">
      <c r="B328" s="33"/>
      <c r="C328" s="33"/>
      <c r="D328" s="33"/>
      <c r="F328" s="33"/>
      <c r="I328" s="33" t="str">
        <f t="shared" ref="I328:K328" si="327">IF(B328="","",IF(B328&gt;=4,"A",IF(B328&gt;=3,"B","C")))</f>
        <v/>
      </c>
      <c r="J328" s="33" t="str">
        <f t="shared" si="327"/>
        <v/>
      </c>
      <c r="K328" s="33" t="str">
        <f t="shared" si="327"/>
        <v/>
      </c>
    </row>
    <row r="329" ht="15.75" customHeight="1">
      <c r="B329" s="33"/>
      <c r="C329" s="33"/>
      <c r="D329" s="33"/>
      <c r="F329" s="33"/>
      <c r="I329" s="33" t="str">
        <f t="shared" ref="I329:K329" si="328">IF(B329="","",IF(B329&gt;=4,"A",IF(B329&gt;=3,"B","C")))</f>
        <v/>
      </c>
      <c r="J329" s="33" t="str">
        <f t="shared" si="328"/>
        <v/>
      </c>
      <c r="K329" s="33" t="str">
        <f t="shared" si="328"/>
        <v/>
      </c>
    </row>
    <row r="330" ht="15.75" customHeight="1">
      <c r="B330" s="33"/>
      <c r="C330" s="33"/>
      <c r="D330" s="33"/>
      <c r="F330" s="33"/>
      <c r="I330" s="33" t="str">
        <f t="shared" ref="I330:K330" si="329">IF(B330="","",IF(B330&gt;=4,"A",IF(B330&gt;=3,"B","C")))</f>
        <v/>
      </c>
      <c r="J330" s="33" t="str">
        <f t="shared" si="329"/>
        <v/>
      </c>
      <c r="K330" s="33" t="str">
        <f t="shared" si="329"/>
        <v/>
      </c>
    </row>
    <row r="331" ht="15.75" customHeight="1">
      <c r="B331" s="33"/>
      <c r="C331" s="33"/>
      <c r="D331" s="33"/>
      <c r="F331" s="33"/>
      <c r="I331" s="33" t="str">
        <f t="shared" ref="I331:K331" si="330">IF(B331="","",IF(B331&gt;=4,"A",IF(B331&gt;=3,"B","C")))</f>
        <v/>
      </c>
      <c r="J331" s="33" t="str">
        <f t="shared" si="330"/>
        <v/>
      </c>
      <c r="K331" s="33" t="str">
        <f t="shared" si="330"/>
        <v/>
      </c>
    </row>
    <row r="332" ht="15.75" customHeight="1">
      <c r="B332" s="33"/>
      <c r="C332" s="33"/>
      <c r="D332" s="33"/>
      <c r="F332" s="33"/>
      <c r="I332" s="33" t="str">
        <f t="shared" ref="I332:K332" si="331">IF(B332="","",IF(B332&gt;=4,"A",IF(B332&gt;=3,"B","C")))</f>
        <v/>
      </c>
      <c r="J332" s="33" t="str">
        <f t="shared" si="331"/>
        <v/>
      </c>
      <c r="K332" s="33" t="str">
        <f t="shared" si="331"/>
        <v/>
      </c>
    </row>
    <row r="333" ht="15.75" customHeight="1">
      <c r="B333" s="33"/>
      <c r="C333" s="33"/>
      <c r="D333" s="33"/>
      <c r="F333" s="33"/>
      <c r="I333" s="33" t="str">
        <f t="shared" ref="I333:K333" si="332">IF(B333="","",IF(B333&gt;=4,"A",IF(B333&gt;=3,"B","C")))</f>
        <v/>
      </c>
      <c r="J333" s="33" t="str">
        <f t="shared" si="332"/>
        <v/>
      </c>
      <c r="K333" s="33" t="str">
        <f t="shared" si="332"/>
        <v/>
      </c>
    </row>
    <row r="334" ht="15.75" customHeight="1">
      <c r="B334" s="33"/>
      <c r="C334" s="33"/>
      <c r="D334" s="33"/>
      <c r="F334" s="33"/>
      <c r="I334" s="33" t="str">
        <f t="shared" ref="I334:K334" si="333">IF(B334="","",IF(B334&gt;=4,"A",IF(B334&gt;=3,"B","C")))</f>
        <v/>
      </c>
      <c r="J334" s="33" t="str">
        <f t="shared" si="333"/>
        <v/>
      </c>
      <c r="K334" s="33" t="str">
        <f t="shared" si="333"/>
        <v/>
      </c>
    </row>
    <row r="335" ht="15.75" customHeight="1">
      <c r="B335" s="33"/>
      <c r="C335" s="33"/>
      <c r="D335" s="33"/>
      <c r="F335" s="33"/>
      <c r="I335" s="33" t="str">
        <f t="shared" ref="I335:K335" si="334">IF(B335="","",IF(B335&gt;=4,"A",IF(B335&gt;=3,"B","C")))</f>
        <v/>
      </c>
      <c r="J335" s="33" t="str">
        <f t="shared" si="334"/>
        <v/>
      </c>
      <c r="K335" s="33" t="str">
        <f t="shared" si="334"/>
        <v/>
      </c>
    </row>
    <row r="336" ht="15.75" customHeight="1">
      <c r="B336" s="33"/>
      <c r="C336" s="33"/>
      <c r="D336" s="33"/>
      <c r="F336" s="33"/>
      <c r="I336" s="33" t="str">
        <f t="shared" ref="I336:K336" si="335">IF(B336="","",IF(B336&gt;=4,"A",IF(B336&gt;=3,"B","C")))</f>
        <v/>
      </c>
      <c r="J336" s="33" t="str">
        <f t="shared" si="335"/>
        <v/>
      </c>
      <c r="K336" s="33" t="str">
        <f t="shared" si="335"/>
        <v/>
      </c>
    </row>
    <row r="337" ht="15.75" customHeight="1">
      <c r="B337" s="33"/>
      <c r="C337" s="33"/>
      <c r="D337" s="33"/>
      <c r="F337" s="33"/>
      <c r="I337" s="33" t="str">
        <f t="shared" ref="I337:K337" si="336">IF(B337="","",IF(B337&gt;=4,"A",IF(B337&gt;=3,"B","C")))</f>
        <v/>
      </c>
      <c r="J337" s="33" t="str">
        <f t="shared" si="336"/>
        <v/>
      </c>
      <c r="K337" s="33" t="str">
        <f t="shared" si="336"/>
        <v/>
      </c>
    </row>
    <row r="338" ht="15.75" customHeight="1">
      <c r="B338" s="33"/>
      <c r="C338" s="33"/>
      <c r="D338" s="33"/>
      <c r="F338" s="33"/>
      <c r="I338" s="33" t="str">
        <f t="shared" ref="I338:K338" si="337">IF(B338="","",IF(B338&gt;=4,"A",IF(B338&gt;=3,"B","C")))</f>
        <v/>
      </c>
      <c r="J338" s="33" t="str">
        <f t="shared" si="337"/>
        <v/>
      </c>
      <c r="K338" s="33" t="str">
        <f t="shared" si="337"/>
        <v/>
      </c>
    </row>
    <row r="339" ht="15.75" customHeight="1">
      <c r="B339" s="33"/>
      <c r="C339" s="33"/>
      <c r="D339" s="33"/>
      <c r="F339" s="33"/>
      <c r="I339" s="33" t="str">
        <f t="shared" ref="I339:K339" si="338">IF(B339="","",IF(B339&gt;=4,"A",IF(B339&gt;=3,"B","C")))</f>
        <v/>
      </c>
      <c r="J339" s="33" t="str">
        <f t="shared" si="338"/>
        <v/>
      </c>
      <c r="K339" s="33" t="str">
        <f t="shared" si="338"/>
        <v/>
      </c>
    </row>
    <row r="340" ht="15.75" customHeight="1">
      <c r="B340" s="33"/>
      <c r="C340" s="33"/>
      <c r="D340" s="33"/>
      <c r="F340" s="33"/>
      <c r="I340" s="33" t="str">
        <f t="shared" ref="I340:K340" si="339">IF(B340="","",IF(B340&gt;=4,"A",IF(B340&gt;=3,"B","C")))</f>
        <v/>
      </c>
      <c r="J340" s="33" t="str">
        <f t="shared" si="339"/>
        <v/>
      </c>
      <c r="K340" s="33" t="str">
        <f t="shared" si="339"/>
        <v/>
      </c>
    </row>
    <row r="341" ht="15.75" customHeight="1">
      <c r="B341" s="33"/>
      <c r="C341" s="33"/>
      <c r="D341" s="33"/>
      <c r="F341" s="33"/>
      <c r="I341" s="33" t="str">
        <f t="shared" ref="I341:K341" si="340">IF(B341="","",IF(B341&gt;=4,"A",IF(B341&gt;=3,"B","C")))</f>
        <v/>
      </c>
      <c r="J341" s="33" t="str">
        <f t="shared" si="340"/>
        <v/>
      </c>
      <c r="K341" s="33" t="str">
        <f t="shared" si="340"/>
        <v/>
      </c>
    </row>
    <row r="342" ht="15.75" customHeight="1">
      <c r="B342" s="33"/>
      <c r="C342" s="33"/>
      <c r="D342" s="33"/>
      <c r="F342" s="33"/>
      <c r="I342" s="33" t="str">
        <f t="shared" ref="I342:K342" si="341">IF(B342="","",IF(B342&gt;=4,"A",IF(B342&gt;=3,"B","C")))</f>
        <v/>
      </c>
      <c r="J342" s="33" t="str">
        <f t="shared" si="341"/>
        <v/>
      </c>
      <c r="K342" s="33" t="str">
        <f t="shared" si="341"/>
        <v/>
      </c>
    </row>
    <row r="343" ht="15.75" customHeight="1">
      <c r="B343" s="33"/>
      <c r="C343" s="33"/>
      <c r="D343" s="33"/>
      <c r="F343" s="33"/>
      <c r="I343" s="33" t="str">
        <f t="shared" ref="I343:K343" si="342">IF(B343="","",IF(B343&gt;=4,"A",IF(B343&gt;=3,"B","C")))</f>
        <v/>
      </c>
      <c r="J343" s="33" t="str">
        <f t="shared" si="342"/>
        <v/>
      </c>
      <c r="K343" s="33" t="str">
        <f t="shared" si="342"/>
        <v/>
      </c>
    </row>
    <row r="344" ht="15.75" customHeight="1">
      <c r="B344" s="33"/>
      <c r="C344" s="33"/>
      <c r="D344" s="33"/>
      <c r="F344" s="33"/>
      <c r="I344" s="33" t="str">
        <f t="shared" ref="I344:K344" si="343">IF(B344="","",IF(B344&gt;=4,"A",IF(B344&gt;=3,"B","C")))</f>
        <v/>
      </c>
      <c r="J344" s="33" t="str">
        <f t="shared" si="343"/>
        <v/>
      </c>
      <c r="K344" s="33" t="str">
        <f t="shared" si="343"/>
        <v/>
      </c>
    </row>
    <row r="345" ht="15.75" customHeight="1">
      <c r="B345" s="33"/>
      <c r="C345" s="33"/>
      <c r="D345" s="33"/>
      <c r="F345" s="33"/>
      <c r="I345" s="33" t="str">
        <f t="shared" ref="I345:K345" si="344">IF(B345="","",IF(B345&gt;=4,"A",IF(B345&gt;=3,"B","C")))</f>
        <v/>
      </c>
      <c r="J345" s="33" t="str">
        <f t="shared" si="344"/>
        <v/>
      </c>
      <c r="K345" s="33" t="str">
        <f t="shared" si="344"/>
        <v/>
      </c>
    </row>
    <row r="346" ht="15.75" customHeight="1">
      <c r="B346" s="33"/>
      <c r="C346" s="33"/>
      <c r="D346" s="33"/>
      <c r="F346" s="33"/>
      <c r="I346" s="33" t="str">
        <f t="shared" ref="I346:K346" si="345">IF(B346="","",IF(B346&gt;=4,"A",IF(B346&gt;=3,"B","C")))</f>
        <v/>
      </c>
      <c r="J346" s="33" t="str">
        <f t="shared" si="345"/>
        <v/>
      </c>
      <c r="K346" s="33" t="str">
        <f t="shared" si="345"/>
        <v/>
      </c>
    </row>
    <row r="347" ht="15.75" customHeight="1">
      <c r="B347" s="33"/>
      <c r="C347" s="33"/>
      <c r="D347" s="33"/>
      <c r="F347" s="33"/>
      <c r="I347" s="33" t="str">
        <f t="shared" ref="I347:K347" si="346">IF(B347="","",IF(B347&gt;=4,"A",IF(B347&gt;=3,"B","C")))</f>
        <v/>
      </c>
      <c r="J347" s="33" t="str">
        <f t="shared" si="346"/>
        <v/>
      </c>
      <c r="K347" s="33" t="str">
        <f t="shared" si="346"/>
        <v/>
      </c>
    </row>
    <row r="348" ht="15.75" customHeight="1">
      <c r="B348" s="33"/>
      <c r="C348" s="33"/>
      <c r="D348" s="33"/>
      <c r="F348" s="33"/>
      <c r="I348" s="33" t="str">
        <f t="shared" ref="I348:K348" si="347">IF(B348="","",IF(B348&gt;=4,"A",IF(B348&gt;=3,"B","C")))</f>
        <v/>
      </c>
      <c r="J348" s="33" t="str">
        <f t="shared" si="347"/>
        <v/>
      </c>
      <c r="K348" s="33" t="str">
        <f t="shared" si="347"/>
        <v/>
      </c>
    </row>
    <row r="349" ht="15.75" customHeight="1">
      <c r="B349" s="33"/>
      <c r="C349" s="33"/>
      <c r="D349" s="33"/>
      <c r="F349" s="33"/>
      <c r="I349" s="33" t="str">
        <f t="shared" ref="I349:K349" si="348">IF(B349="","",IF(B349&gt;=4,"A",IF(B349&gt;=3,"B","C")))</f>
        <v/>
      </c>
      <c r="J349" s="33" t="str">
        <f t="shared" si="348"/>
        <v/>
      </c>
      <c r="K349" s="33" t="str">
        <f t="shared" si="348"/>
        <v/>
      </c>
    </row>
    <row r="350" ht="15.75" customHeight="1">
      <c r="B350" s="33"/>
      <c r="C350" s="33"/>
      <c r="D350" s="33"/>
      <c r="F350" s="33"/>
      <c r="I350" s="33" t="str">
        <f t="shared" ref="I350:K350" si="349">IF(B350="","",IF(B350&gt;=4,"A",IF(B350&gt;=3,"B","C")))</f>
        <v/>
      </c>
      <c r="J350" s="33" t="str">
        <f t="shared" si="349"/>
        <v/>
      </c>
      <c r="K350" s="33" t="str">
        <f t="shared" si="349"/>
        <v/>
      </c>
    </row>
    <row r="351" ht="15.75" customHeight="1">
      <c r="B351" s="33"/>
      <c r="C351" s="33"/>
      <c r="D351" s="33"/>
      <c r="F351" s="33"/>
      <c r="I351" s="33" t="str">
        <f t="shared" ref="I351:K351" si="350">IF(B351="","",IF(B351&gt;=4,"A",IF(B351&gt;=3,"B","C")))</f>
        <v/>
      </c>
      <c r="J351" s="33" t="str">
        <f t="shared" si="350"/>
        <v/>
      </c>
      <c r="K351" s="33" t="str">
        <f t="shared" si="350"/>
        <v/>
      </c>
    </row>
    <row r="352" ht="15.75" customHeight="1">
      <c r="B352" s="33"/>
      <c r="C352" s="33"/>
      <c r="D352" s="33"/>
      <c r="F352" s="33"/>
      <c r="I352" s="33" t="str">
        <f t="shared" ref="I352:K352" si="351">IF(B352="","",IF(B352&gt;=4,"A",IF(B352&gt;=3,"B","C")))</f>
        <v/>
      </c>
      <c r="J352" s="33" t="str">
        <f t="shared" si="351"/>
        <v/>
      </c>
      <c r="K352" s="33" t="str">
        <f t="shared" si="351"/>
        <v/>
      </c>
    </row>
    <row r="353" ht="15.75" customHeight="1">
      <c r="B353" s="33"/>
      <c r="C353" s="33"/>
      <c r="D353" s="33"/>
      <c r="F353" s="33"/>
      <c r="I353" s="33" t="str">
        <f t="shared" ref="I353:K353" si="352">IF(B353="","",IF(B353&gt;=4,"A",IF(B353&gt;=3,"B","C")))</f>
        <v/>
      </c>
      <c r="J353" s="33" t="str">
        <f t="shared" si="352"/>
        <v/>
      </c>
      <c r="K353" s="33" t="str">
        <f t="shared" si="352"/>
        <v/>
      </c>
    </row>
    <row r="354" ht="15.75" customHeight="1">
      <c r="B354" s="33"/>
      <c r="C354" s="33"/>
      <c r="D354" s="33"/>
      <c r="F354" s="33"/>
      <c r="I354" s="33" t="str">
        <f t="shared" ref="I354:K354" si="353">IF(B354="","",IF(B354&gt;=4,"A",IF(B354&gt;=3,"B","C")))</f>
        <v/>
      </c>
      <c r="J354" s="33" t="str">
        <f t="shared" si="353"/>
        <v/>
      </c>
      <c r="K354" s="33" t="str">
        <f t="shared" si="353"/>
        <v/>
      </c>
    </row>
    <row r="355" ht="15.75" customHeight="1">
      <c r="B355" s="33"/>
      <c r="C355" s="33"/>
      <c r="D355" s="33"/>
      <c r="F355" s="33"/>
      <c r="I355" s="33" t="str">
        <f t="shared" ref="I355:K355" si="354">IF(B355="","",IF(B355&gt;=4,"A",IF(B355&gt;=3,"B","C")))</f>
        <v/>
      </c>
      <c r="J355" s="33" t="str">
        <f t="shared" si="354"/>
        <v/>
      </c>
      <c r="K355" s="33" t="str">
        <f t="shared" si="354"/>
        <v/>
      </c>
    </row>
    <row r="356" ht="15.75" customHeight="1">
      <c r="B356" s="33"/>
      <c r="C356" s="33"/>
      <c r="D356" s="33"/>
      <c r="F356" s="33"/>
      <c r="I356" s="33" t="str">
        <f t="shared" ref="I356:K356" si="355">IF(B356="","",IF(B356&gt;=4,"A",IF(B356&gt;=3,"B","C")))</f>
        <v/>
      </c>
      <c r="J356" s="33" t="str">
        <f t="shared" si="355"/>
        <v/>
      </c>
      <c r="K356" s="33" t="str">
        <f t="shared" si="355"/>
        <v/>
      </c>
    </row>
    <row r="357" ht="15.75" customHeight="1">
      <c r="B357" s="33"/>
      <c r="C357" s="33"/>
      <c r="D357" s="33"/>
      <c r="F357" s="33"/>
      <c r="I357" s="33" t="str">
        <f t="shared" ref="I357:K357" si="356">IF(B357="","",IF(B357&gt;=4,"A",IF(B357&gt;=3,"B","C")))</f>
        <v/>
      </c>
      <c r="J357" s="33" t="str">
        <f t="shared" si="356"/>
        <v/>
      </c>
      <c r="K357" s="33" t="str">
        <f t="shared" si="356"/>
        <v/>
      </c>
    </row>
    <row r="358" ht="15.75" customHeight="1">
      <c r="B358" s="33"/>
      <c r="C358" s="33"/>
      <c r="D358" s="33"/>
      <c r="F358" s="33"/>
      <c r="I358" s="33" t="str">
        <f t="shared" ref="I358:K358" si="357">IF(B358="","",IF(B358&gt;=4,"A",IF(B358&gt;=3,"B","C")))</f>
        <v/>
      </c>
      <c r="J358" s="33" t="str">
        <f t="shared" si="357"/>
        <v/>
      </c>
      <c r="K358" s="33" t="str">
        <f t="shared" si="357"/>
        <v/>
      </c>
    </row>
    <row r="359" ht="15.75" customHeight="1">
      <c r="B359" s="33"/>
      <c r="C359" s="33"/>
      <c r="D359" s="33"/>
      <c r="F359" s="33"/>
      <c r="I359" s="33" t="str">
        <f t="shared" ref="I359:K359" si="358">IF(B359="","",IF(B359&gt;=4,"A",IF(B359&gt;=3,"B","C")))</f>
        <v/>
      </c>
      <c r="J359" s="33" t="str">
        <f t="shared" si="358"/>
        <v/>
      </c>
      <c r="K359" s="33" t="str">
        <f t="shared" si="358"/>
        <v/>
      </c>
    </row>
    <row r="360" ht="15.75" customHeight="1">
      <c r="B360" s="33"/>
      <c r="C360" s="33"/>
      <c r="D360" s="33"/>
      <c r="F360" s="33"/>
      <c r="I360" s="33" t="str">
        <f t="shared" ref="I360:K360" si="359">IF(B360="","",IF(B360&gt;=4,"A",IF(B360&gt;=3,"B","C")))</f>
        <v/>
      </c>
      <c r="J360" s="33" t="str">
        <f t="shared" si="359"/>
        <v/>
      </c>
      <c r="K360" s="33" t="str">
        <f t="shared" si="359"/>
        <v/>
      </c>
    </row>
    <row r="361" ht="15.75" customHeight="1">
      <c r="B361" s="33"/>
      <c r="C361" s="33"/>
      <c r="D361" s="33"/>
      <c r="F361" s="33"/>
      <c r="I361" s="33" t="str">
        <f t="shared" ref="I361:K361" si="360">IF(B361="","",IF(B361&gt;=4,"A",IF(B361&gt;=3,"B","C")))</f>
        <v/>
      </c>
      <c r="J361" s="33" t="str">
        <f t="shared" si="360"/>
        <v/>
      </c>
      <c r="K361" s="33" t="str">
        <f t="shared" si="360"/>
        <v/>
      </c>
    </row>
    <row r="362" ht="15.75" customHeight="1">
      <c r="B362" s="33"/>
      <c r="C362" s="33"/>
      <c r="D362" s="33"/>
      <c r="F362" s="33"/>
      <c r="I362" s="33" t="str">
        <f t="shared" ref="I362:K362" si="361">IF(B362="","",IF(B362&gt;=4,"A",IF(B362&gt;=3,"B","C")))</f>
        <v/>
      </c>
      <c r="J362" s="33" t="str">
        <f t="shared" si="361"/>
        <v/>
      </c>
      <c r="K362" s="33" t="str">
        <f t="shared" si="361"/>
        <v/>
      </c>
    </row>
    <row r="363" ht="15.75" customHeight="1">
      <c r="B363" s="33"/>
      <c r="C363" s="33"/>
      <c r="D363" s="33"/>
      <c r="F363" s="33"/>
      <c r="I363" s="33" t="str">
        <f t="shared" ref="I363:K363" si="362">IF(B363="","",IF(B363&gt;=4,"A",IF(B363&gt;=3,"B","C")))</f>
        <v/>
      </c>
      <c r="J363" s="33" t="str">
        <f t="shared" si="362"/>
        <v/>
      </c>
      <c r="K363" s="33" t="str">
        <f t="shared" si="362"/>
        <v/>
      </c>
    </row>
    <row r="364" ht="15.75" customHeight="1">
      <c r="B364" s="33"/>
      <c r="C364" s="33"/>
      <c r="D364" s="33"/>
      <c r="F364" s="33"/>
      <c r="I364" s="33" t="str">
        <f t="shared" ref="I364:K364" si="363">IF(B364="","",IF(B364&gt;=4,"A",IF(B364&gt;=3,"B","C")))</f>
        <v/>
      </c>
      <c r="J364" s="33" t="str">
        <f t="shared" si="363"/>
        <v/>
      </c>
      <c r="K364" s="33" t="str">
        <f t="shared" si="363"/>
        <v/>
      </c>
    </row>
    <row r="365" ht="15.75" customHeight="1">
      <c r="B365" s="33"/>
      <c r="C365" s="33"/>
      <c r="D365" s="33"/>
      <c r="F365" s="33"/>
      <c r="I365" s="33" t="str">
        <f t="shared" ref="I365:K365" si="364">IF(B365="","",IF(B365&gt;=4,"A",IF(B365&gt;=3,"B","C")))</f>
        <v/>
      </c>
      <c r="J365" s="33" t="str">
        <f t="shared" si="364"/>
        <v/>
      </c>
      <c r="K365" s="33" t="str">
        <f t="shared" si="364"/>
        <v/>
      </c>
    </row>
    <row r="366" ht="15.75" customHeight="1">
      <c r="B366" s="33"/>
      <c r="C366" s="33"/>
      <c r="D366" s="33"/>
      <c r="F366" s="33"/>
      <c r="I366" s="33" t="str">
        <f t="shared" ref="I366:K366" si="365">IF(B366="","",IF(B366&gt;=4,"A",IF(B366&gt;=3,"B","C")))</f>
        <v/>
      </c>
      <c r="J366" s="33" t="str">
        <f t="shared" si="365"/>
        <v/>
      </c>
      <c r="K366" s="33" t="str">
        <f t="shared" si="365"/>
        <v/>
      </c>
    </row>
    <row r="367" ht="15.75" customHeight="1">
      <c r="B367" s="33"/>
      <c r="C367" s="33"/>
      <c r="D367" s="33"/>
      <c r="F367" s="33"/>
      <c r="I367" s="33" t="str">
        <f t="shared" ref="I367:K367" si="366">IF(B367="","",IF(B367&gt;=4,"A",IF(B367&gt;=3,"B","C")))</f>
        <v/>
      </c>
      <c r="J367" s="33" t="str">
        <f t="shared" si="366"/>
        <v/>
      </c>
      <c r="K367" s="33" t="str">
        <f t="shared" si="366"/>
        <v/>
      </c>
    </row>
    <row r="368" ht="15.75" customHeight="1">
      <c r="B368" s="33"/>
      <c r="C368" s="33"/>
      <c r="D368" s="33"/>
      <c r="F368" s="33"/>
      <c r="I368" s="33" t="str">
        <f t="shared" ref="I368:K368" si="367">IF(B368="","",IF(B368&gt;=4,"A",IF(B368&gt;=3,"B","C")))</f>
        <v/>
      </c>
      <c r="J368" s="33" t="str">
        <f t="shared" si="367"/>
        <v/>
      </c>
      <c r="K368" s="33" t="str">
        <f t="shared" si="367"/>
        <v/>
      </c>
    </row>
    <row r="369" ht="15.75" customHeight="1">
      <c r="B369" s="33"/>
      <c r="C369" s="33"/>
      <c r="D369" s="33"/>
      <c r="F369" s="33"/>
      <c r="I369" s="33" t="str">
        <f t="shared" ref="I369:K369" si="368">IF(B369="","",IF(B369&gt;=4,"A",IF(B369&gt;=3,"B","C")))</f>
        <v/>
      </c>
      <c r="J369" s="33" t="str">
        <f t="shared" si="368"/>
        <v/>
      </c>
      <c r="K369" s="33" t="str">
        <f t="shared" si="368"/>
        <v/>
      </c>
    </row>
    <row r="370" ht="15.75" customHeight="1">
      <c r="B370" s="33"/>
      <c r="C370" s="33"/>
      <c r="D370" s="33"/>
      <c r="F370" s="33"/>
      <c r="I370" s="33" t="str">
        <f t="shared" ref="I370:K370" si="369">IF(B370="","",IF(B370&gt;=4,"A",IF(B370&gt;=3,"B","C")))</f>
        <v/>
      </c>
      <c r="J370" s="33" t="str">
        <f t="shared" si="369"/>
        <v/>
      </c>
      <c r="K370" s="33" t="str">
        <f t="shared" si="369"/>
        <v/>
      </c>
    </row>
    <row r="371" ht="15.75" customHeight="1">
      <c r="B371" s="33"/>
      <c r="C371" s="33"/>
      <c r="D371" s="33"/>
      <c r="F371" s="33"/>
      <c r="I371" s="33" t="str">
        <f t="shared" ref="I371:K371" si="370">IF(B371="","",IF(B371&gt;=4,"A",IF(B371&gt;=3,"B","C")))</f>
        <v/>
      </c>
      <c r="J371" s="33" t="str">
        <f t="shared" si="370"/>
        <v/>
      </c>
      <c r="K371" s="33" t="str">
        <f t="shared" si="370"/>
        <v/>
      </c>
    </row>
    <row r="372" ht="15.75" customHeight="1">
      <c r="B372" s="33"/>
      <c r="C372" s="33"/>
      <c r="D372" s="33"/>
      <c r="F372" s="33"/>
      <c r="I372" s="33" t="str">
        <f t="shared" ref="I372:K372" si="371">IF(B372="","",IF(B372&gt;=4,"A",IF(B372&gt;=3,"B","C")))</f>
        <v/>
      </c>
      <c r="J372" s="33" t="str">
        <f t="shared" si="371"/>
        <v/>
      </c>
      <c r="K372" s="33" t="str">
        <f t="shared" si="371"/>
        <v/>
      </c>
    </row>
    <row r="373" ht="15.75" customHeight="1">
      <c r="B373" s="33"/>
      <c r="C373" s="33"/>
      <c r="D373" s="33"/>
      <c r="F373" s="33"/>
      <c r="I373" s="33" t="str">
        <f t="shared" ref="I373:K373" si="372">IF(B373="","",IF(B373&gt;=4,"A",IF(B373&gt;=3,"B","C")))</f>
        <v/>
      </c>
      <c r="J373" s="33" t="str">
        <f t="shared" si="372"/>
        <v/>
      </c>
      <c r="K373" s="33" t="str">
        <f t="shared" si="372"/>
        <v/>
      </c>
    </row>
    <row r="374" ht="15.75" customHeight="1">
      <c r="B374" s="33"/>
      <c r="C374" s="33"/>
      <c r="D374" s="33"/>
      <c r="F374" s="33"/>
      <c r="I374" s="33" t="str">
        <f t="shared" ref="I374:K374" si="373">IF(B374="","",IF(B374&gt;=4,"A",IF(B374&gt;=3,"B","C")))</f>
        <v/>
      </c>
      <c r="J374" s="33" t="str">
        <f t="shared" si="373"/>
        <v/>
      </c>
      <c r="K374" s="33" t="str">
        <f t="shared" si="373"/>
        <v/>
      </c>
    </row>
    <row r="375" ht="15.75" customHeight="1">
      <c r="B375" s="33"/>
      <c r="C375" s="33"/>
      <c r="D375" s="33"/>
      <c r="F375" s="33"/>
      <c r="I375" s="33" t="str">
        <f t="shared" ref="I375:K375" si="374">IF(B375="","",IF(B375&gt;=4,"A",IF(B375&gt;=3,"B","C")))</f>
        <v/>
      </c>
      <c r="J375" s="33" t="str">
        <f t="shared" si="374"/>
        <v/>
      </c>
      <c r="K375" s="33" t="str">
        <f t="shared" si="374"/>
        <v/>
      </c>
    </row>
    <row r="376" ht="15.75" customHeight="1">
      <c r="B376" s="33"/>
      <c r="C376" s="33"/>
      <c r="D376" s="33"/>
      <c r="F376" s="33"/>
      <c r="I376" s="33" t="str">
        <f t="shared" ref="I376:K376" si="375">IF(B376="","",IF(B376&gt;=4,"A",IF(B376&gt;=3,"B","C")))</f>
        <v/>
      </c>
      <c r="J376" s="33" t="str">
        <f t="shared" si="375"/>
        <v/>
      </c>
      <c r="K376" s="33" t="str">
        <f t="shared" si="375"/>
        <v/>
      </c>
    </row>
    <row r="377" ht="15.75" customHeight="1">
      <c r="B377" s="33"/>
      <c r="C377" s="33"/>
      <c r="D377" s="33"/>
      <c r="F377" s="33"/>
      <c r="I377" s="33" t="str">
        <f t="shared" ref="I377:K377" si="376">IF(B377="","",IF(B377&gt;=4,"A",IF(B377&gt;=3,"B","C")))</f>
        <v/>
      </c>
      <c r="J377" s="33" t="str">
        <f t="shared" si="376"/>
        <v/>
      </c>
      <c r="K377" s="33" t="str">
        <f t="shared" si="376"/>
        <v/>
      </c>
    </row>
    <row r="378" ht="15.75" customHeight="1">
      <c r="B378" s="33"/>
      <c r="C378" s="33"/>
      <c r="D378" s="33"/>
      <c r="F378" s="33"/>
      <c r="I378" s="33" t="str">
        <f t="shared" ref="I378:K378" si="377">IF(B378="","",IF(B378&gt;=4,"A",IF(B378&gt;=3,"B","C")))</f>
        <v/>
      </c>
      <c r="J378" s="33" t="str">
        <f t="shared" si="377"/>
        <v/>
      </c>
      <c r="K378" s="33" t="str">
        <f t="shared" si="377"/>
        <v/>
      </c>
    </row>
    <row r="379" ht="15.75" customHeight="1">
      <c r="B379" s="33"/>
      <c r="C379" s="33"/>
      <c r="D379" s="33"/>
      <c r="F379" s="33"/>
      <c r="I379" s="33" t="str">
        <f t="shared" ref="I379:K379" si="378">IF(B379="","",IF(B379&gt;=4,"A",IF(B379&gt;=3,"B","C")))</f>
        <v/>
      </c>
      <c r="J379" s="33" t="str">
        <f t="shared" si="378"/>
        <v/>
      </c>
      <c r="K379" s="33" t="str">
        <f t="shared" si="378"/>
        <v/>
      </c>
    </row>
    <row r="380" ht="15.75" customHeight="1">
      <c r="B380" s="33"/>
      <c r="C380" s="33"/>
      <c r="D380" s="33"/>
      <c r="F380" s="33"/>
      <c r="I380" s="33" t="str">
        <f t="shared" ref="I380:K380" si="379">IF(B380="","",IF(B380&gt;=4,"A",IF(B380&gt;=3,"B","C")))</f>
        <v/>
      </c>
      <c r="J380" s="33" t="str">
        <f t="shared" si="379"/>
        <v/>
      </c>
      <c r="K380" s="33" t="str">
        <f t="shared" si="379"/>
        <v/>
      </c>
    </row>
    <row r="381" ht="15.75" customHeight="1">
      <c r="B381" s="33"/>
      <c r="C381" s="33"/>
      <c r="D381" s="33"/>
      <c r="F381" s="33"/>
      <c r="I381" s="33" t="str">
        <f t="shared" ref="I381:K381" si="380">IF(B381="","",IF(B381&gt;=4,"A",IF(B381&gt;=3,"B","C")))</f>
        <v/>
      </c>
      <c r="J381" s="33" t="str">
        <f t="shared" si="380"/>
        <v/>
      </c>
      <c r="K381" s="33" t="str">
        <f t="shared" si="380"/>
        <v/>
      </c>
    </row>
    <row r="382" ht="15.75" customHeight="1">
      <c r="B382" s="33"/>
      <c r="C382" s="33"/>
      <c r="D382" s="33"/>
      <c r="F382" s="33"/>
      <c r="I382" s="33" t="str">
        <f t="shared" ref="I382:K382" si="381">IF(B382="","",IF(B382&gt;=4,"A",IF(B382&gt;=3,"B","C")))</f>
        <v/>
      </c>
      <c r="J382" s="33" t="str">
        <f t="shared" si="381"/>
        <v/>
      </c>
      <c r="K382" s="33" t="str">
        <f t="shared" si="381"/>
        <v/>
      </c>
    </row>
    <row r="383" ht="15.75" customHeight="1">
      <c r="B383" s="33"/>
      <c r="C383" s="33"/>
      <c r="D383" s="33"/>
      <c r="F383" s="33"/>
      <c r="I383" s="33" t="str">
        <f t="shared" ref="I383:K383" si="382">IF(B383="","",IF(B383&gt;=4,"A",IF(B383&gt;=3,"B","C")))</f>
        <v/>
      </c>
      <c r="J383" s="33" t="str">
        <f t="shared" si="382"/>
        <v/>
      </c>
      <c r="K383" s="33" t="str">
        <f t="shared" si="382"/>
        <v/>
      </c>
    </row>
    <row r="384" ht="15.75" customHeight="1">
      <c r="B384" s="33"/>
      <c r="C384" s="33"/>
      <c r="D384" s="33"/>
      <c r="F384" s="33"/>
      <c r="I384" s="33" t="str">
        <f t="shared" ref="I384:K384" si="383">IF(B384="","",IF(B384&gt;=4,"A",IF(B384&gt;=3,"B","C")))</f>
        <v/>
      </c>
      <c r="J384" s="33" t="str">
        <f t="shared" si="383"/>
        <v/>
      </c>
      <c r="K384" s="33" t="str">
        <f t="shared" si="383"/>
        <v/>
      </c>
    </row>
    <row r="385" ht="15.75" customHeight="1">
      <c r="B385" s="33"/>
      <c r="C385" s="33"/>
      <c r="D385" s="33"/>
      <c r="F385" s="33"/>
      <c r="I385" s="33" t="str">
        <f t="shared" ref="I385:K385" si="384">IF(B385="","",IF(B385&gt;=4,"A",IF(B385&gt;=3,"B","C")))</f>
        <v/>
      </c>
      <c r="J385" s="33" t="str">
        <f t="shared" si="384"/>
        <v/>
      </c>
      <c r="K385" s="33" t="str">
        <f t="shared" si="384"/>
        <v/>
      </c>
    </row>
    <row r="386" ht="15.75" customHeight="1">
      <c r="B386" s="33"/>
      <c r="C386" s="33"/>
      <c r="D386" s="33"/>
      <c r="F386" s="33"/>
      <c r="I386" s="33" t="str">
        <f t="shared" ref="I386:K386" si="385">IF(B386="","",IF(B386&gt;=4,"A",IF(B386&gt;=3,"B","C")))</f>
        <v/>
      </c>
      <c r="J386" s="33" t="str">
        <f t="shared" si="385"/>
        <v/>
      </c>
      <c r="K386" s="33" t="str">
        <f t="shared" si="385"/>
        <v/>
      </c>
    </row>
    <row r="387" ht="15.75" customHeight="1">
      <c r="B387" s="33"/>
      <c r="C387" s="33"/>
      <c r="D387" s="33"/>
      <c r="F387" s="33"/>
      <c r="I387" s="33" t="str">
        <f t="shared" ref="I387:K387" si="386">IF(B387="","",IF(B387&gt;=4,"A",IF(B387&gt;=3,"B","C")))</f>
        <v/>
      </c>
      <c r="J387" s="33" t="str">
        <f t="shared" si="386"/>
        <v/>
      </c>
      <c r="K387" s="33" t="str">
        <f t="shared" si="386"/>
        <v/>
      </c>
    </row>
    <row r="388" ht="15.75" customHeight="1">
      <c r="B388" s="33"/>
      <c r="C388" s="33"/>
      <c r="D388" s="33"/>
      <c r="F388" s="33"/>
      <c r="I388" s="33" t="str">
        <f t="shared" ref="I388:K388" si="387">IF(B388="","",IF(B388&gt;=4,"A",IF(B388&gt;=3,"B","C")))</f>
        <v/>
      </c>
      <c r="J388" s="33" t="str">
        <f t="shared" si="387"/>
        <v/>
      </c>
      <c r="K388" s="33" t="str">
        <f t="shared" si="387"/>
        <v/>
      </c>
    </row>
    <row r="389" ht="15.75" customHeight="1">
      <c r="B389" s="33"/>
      <c r="C389" s="33"/>
      <c r="D389" s="33"/>
      <c r="F389" s="33"/>
      <c r="I389" s="33" t="str">
        <f t="shared" ref="I389:K389" si="388">IF(B389="","",IF(B389&gt;=4,"A",IF(B389&gt;=3,"B","C")))</f>
        <v/>
      </c>
      <c r="J389" s="33" t="str">
        <f t="shared" si="388"/>
        <v/>
      </c>
      <c r="K389" s="33" t="str">
        <f t="shared" si="388"/>
        <v/>
      </c>
    </row>
    <row r="390" ht="15.75" customHeight="1">
      <c r="B390" s="33"/>
      <c r="C390" s="33"/>
      <c r="D390" s="33"/>
      <c r="F390" s="33"/>
      <c r="I390" s="33" t="str">
        <f t="shared" ref="I390:K390" si="389">IF(B390="","",IF(B390&gt;=4,"A",IF(B390&gt;=3,"B","C")))</f>
        <v/>
      </c>
      <c r="J390" s="33" t="str">
        <f t="shared" si="389"/>
        <v/>
      </c>
      <c r="K390" s="33" t="str">
        <f t="shared" si="389"/>
        <v/>
      </c>
    </row>
    <row r="391" ht="15.75" customHeight="1">
      <c r="B391" s="33"/>
      <c r="C391" s="33"/>
      <c r="D391" s="33"/>
      <c r="F391" s="33"/>
      <c r="I391" s="33" t="str">
        <f t="shared" ref="I391:K391" si="390">IF(B391="","",IF(B391&gt;=4,"A",IF(B391&gt;=3,"B","C")))</f>
        <v/>
      </c>
      <c r="J391" s="33" t="str">
        <f t="shared" si="390"/>
        <v/>
      </c>
      <c r="K391" s="33" t="str">
        <f t="shared" si="390"/>
        <v/>
      </c>
    </row>
    <row r="392" ht="15.75" customHeight="1">
      <c r="B392" s="33"/>
      <c r="C392" s="33"/>
      <c r="D392" s="33"/>
      <c r="F392" s="33"/>
      <c r="I392" s="33" t="str">
        <f t="shared" ref="I392:K392" si="391">IF(B392="","",IF(B392&gt;=4,"A",IF(B392&gt;=3,"B","C")))</f>
        <v/>
      </c>
      <c r="J392" s="33" t="str">
        <f t="shared" si="391"/>
        <v/>
      </c>
      <c r="K392" s="33" t="str">
        <f t="shared" si="391"/>
        <v/>
      </c>
    </row>
    <row r="393" ht="15.75" customHeight="1">
      <c r="B393" s="33"/>
      <c r="C393" s="33"/>
      <c r="D393" s="33"/>
      <c r="F393" s="33"/>
      <c r="I393" s="33" t="str">
        <f t="shared" ref="I393:K393" si="392">IF(B393="","",IF(B393&gt;=4,"A",IF(B393&gt;=3,"B","C")))</f>
        <v/>
      </c>
      <c r="J393" s="33" t="str">
        <f t="shared" si="392"/>
        <v/>
      </c>
      <c r="K393" s="33" t="str">
        <f t="shared" si="392"/>
        <v/>
      </c>
    </row>
    <row r="394" ht="15.75" customHeight="1">
      <c r="B394" s="33"/>
      <c r="C394" s="33"/>
      <c r="D394" s="33"/>
      <c r="F394" s="33"/>
      <c r="I394" s="33" t="str">
        <f t="shared" ref="I394:K394" si="393">IF(B394="","",IF(B394&gt;=4,"A",IF(B394&gt;=3,"B","C")))</f>
        <v/>
      </c>
      <c r="J394" s="33" t="str">
        <f t="shared" si="393"/>
        <v/>
      </c>
      <c r="K394" s="33" t="str">
        <f t="shared" si="393"/>
        <v/>
      </c>
    </row>
    <row r="395" ht="15.75" customHeight="1">
      <c r="B395" s="33"/>
      <c r="C395" s="33"/>
      <c r="D395" s="33"/>
      <c r="F395" s="33"/>
      <c r="I395" s="33" t="str">
        <f t="shared" ref="I395:K395" si="394">IF(B395="","",IF(B395&gt;=4,"A",IF(B395&gt;=3,"B","C")))</f>
        <v/>
      </c>
      <c r="J395" s="33" t="str">
        <f t="shared" si="394"/>
        <v/>
      </c>
      <c r="K395" s="33" t="str">
        <f t="shared" si="394"/>
        <v/>
      </c>
    </row>
    <row r="396" ht="15.75" customHeight="1">
      <c r="B396" s="33"/>
      <c r="C396" s="33"/>
      <c r="D396" s="33"/>
      <c r="F396" s="33"/>
      <c r="I396" s="33" t="str">
        <f t="shared" ref="I396:K396" si="395">IF(B396="","",IF(B396&gt;=4,"A",IF(B396&gt;=3,"B","C")))</f>
        <v/>
      </c>
      <c r="J396" s="33" t="str">
        <f t="shared" si="395"/>
        <v/>
      </c>
      <c r="K396" s="33" t="str">
        <f t="shared" si="395"/>
        <v/>
      </c>
    </row>
    <row r="397" ht="15.75" customHeight="1">
      <c r="B397" s="33"/>
      <c r="C397" s="33"/>
      <c r="D397" s="33"/>
      <c r="F397" s="33"/>
      <c r="I397" s="33" t="str">
        <f t="shared" ref="I397:K397" si="396">IF(B397="","",IF(B397&gt;=4,"A",IF(B397&gt;=3,"B","C")))</f>
        <v/>
      </c>
      <c r="J397" s="33" t="str">
        <f t="shared" si="396"/>
        <v/>
      </c>
      <c r="K397" s="33" t="str">
        <f t="shared" si="396"/>
        <v/>
      </c>
    </row>
    <row r="398" ht="15.75" customHeight="1">
      <c r="B398" s="33"/>
      <c r="C398" s="33"/>
      <c r="D398" s="33"/>
      <c r="F398" s="33"/>
      <c r="I398" s="33" t="str">
        <f t="shared" ref="I398:K398" si="397">IF(B398="","",IF(B398&gt;=4,"A",IF(B398&gt;=3,"B","C")))</f>
        <v/>
      </c>
      <c r="J398" s="33" t="str">
        <f t="shared" si="397"/>
        <v/>
      </c>
      <c r="K398" s="33" t="str">
        <f t="shared" si="397"/>
        <v/>
      </c>
    </row>
    <row r="399" ht="15.75" customHeight="1">
      <c r="B399" s="33"/>
      <c r="C399" s="33"/>
      <c r="D399" s="33"/>
      <c r="F399" s="33"/>
      <c r="I399" s="33" t="str">
        <f t="shared" ref="I399:K399" si="398">IF(B399="","",IF(B399&gt;=4,"A",IF(B399&gt;=3,"B","C")))</f>
        <v/>
      </c>
      <c r="J399" s="33" t="str">
        <f t="shared" si="398"/>
        <v/>
      </c>
      <c r="K399" s="33" t="str">
        <f t="shared" si="398"/>
        <v/>
      </c>
    </row>
    <row r="400" ht="15.75" customHeight="1">
      <c r="B400" s="33"/>
      <c r="C400" s="33"/>
      <c r="D400" s="33"/>
      <c r="F400" s="33"/>
      <c r="I400" s="33" t="str">
        <f t="shared" ref="I400:K400" si="399">IF(B400="","",IF(B400&gt;=4,"A",IF(B400&gt;=3,"B","C")))</f>
        <v/>
      </c>
      <c r="J400" s="33" t="str">
        <f t="shared" si="399"/>
        <v/>
      </c>
      <c r="K400" s="33" t="str">
        <f t="shared" si="399"/>
        <v/>
      </c>
    </row>
    <row r="401" ht="15.75" customHeight="1">
      <c r="B401" s="33"/>
      <c r="C401" s="33"/>
      <c r="D401" s="33"/>
      <c r="F401" s="33"/>
      <c r="I401" s="33" t="str">
        <f t="shared" ref="I401:K401" si="400">IF(B401="","",IF(B401&gt;=4,"A",IF(B401&gt;=3,"B","C")))</f>
        <v/>
      </c>
      <c r="J401" s="33" t="str">
        <f t="shared" si="400"/>
        <v/>
      </c>
      <c r="K401" s="33" t="str">
        <f t="shared" si="400"/>
        <v/>
      </c>
    </row>
    <row r="402" ht="15.75" customHeight="1">
      <c r="B402" s="33"/>
      <c r="C402" s="33"/>
      <c r="D402" s="33"/>
      <c r="F402" s="33"/>
      <c r="I402" s="33" t="str">
        <f t="shared" ref="I402:K402" si="401">IF(B402="","",IF(B402&gt;=4,"A",IF(B402&gt;=3,"B","C")))</f>
        <v/>
      </c>
      <c r="J402" s="33" t="str">
        <f t="shared" si="401"/>
        <v/>
      </c>
      <c r="K402" s="33" t="str">
        <f t="shared" si="401"/>
        <v/>
      </c>
    </row>
    <row r="403" ht="15.75" customHeight="1">
      <c r="B403" s="33"/>
      <c r="C403" s="33"/>
      <c r="D403" s="33"/>
      <c r="F403" s="33"/>
      <c r="I403" s="33" t="str">
        <f t="shared" ref="I403:K403" si="402">IF(B403="","",IF(B403&gt;=4,"A",IF(B403&gt;=3,"B","C")))</f>
        <v/>
      </c>
      <c r="J403" s="33" t="str">
        <f t="shared" si="402"/>
        <v/>
      </c>
      <c r="K403" s="33" t="str">
        <f t="shared" si="402"/>
        <v/>
      </c>
    </row>
    <row r="404" ht="15.75" customHeight="1">
      <c r="B404" s="33"/>
      <c r="C404" s="33"/>
      <c r="D404" s="33"/>
      <c r="F404" s="33"/>
      <c r="I404" s="33" t="str">
        <f t="shared" ref="I404:K404" si="403">IF(B404="","",IF(B404&gt;=4,"A",IF(B404&gt;=3,"B","C")))</f>
        <v/>
      </c>
      <c r="J404" s="33" t="str">
        <f t="shared" si="403"/>
        <v/>
      </c>
      <c r="K404" s="33" t="str">
        <f t="shared" si="403"/>
        <v/>
      </c>
    </row>
    <row r="405" ht="15.75" customHeight="1">
      <c r="B405" s="33"/>
      <c r="C405" s="33"/>
      <c r="D405" s="33"/>
      <c r="F405" s="33"/>
      <c r="I405" s="33" t="str">
        <f t="shared" ref="I405:K405" si="404">IF(B405="","",IF(B405&gt;=4,"A",IF(B405&gt;=3,"B","C")))</f>
        <v/>
      </c>
      <c r="J405" s="33" t="str">
        <f t="shared" si="404"/>
        <v/>
      </c>
      <c r="K405" s="33" t="str">
        <f t="shared" si="404"/>
        <v/>
      </c>
    </row>
    <row r="406" ht="15.75" customHeight="1">
      <c r="B406" s="33"/>
      <c r="C406" s="33"/>
      <c r="D406" s="33"/>
      <c r="F406" s="33"/>
      <c r="I406" s="33" t="str">
        <f t="shared" ref="I406:K406" si="405">IF(B406="","",IF(B406&gt;=4,"A",IF(B406&gt;=3,"B","C")))</f>
        <v/>
      </c>
      <c r="J406" s="33" t="str">
        <f t="shared" si="405"/>
        <v/>
      </c>
      <c r="K406" s="33" t="str">
        <f t="shared" si="405"/>
        <v/>
      </c>
    </row>
    <row r="407" ht="15.75" customHeight="1">
      <c r="B407" s="33"/>
      <c r="C407" s="33"/>
      <c r="D407" s="33"/>
      <c r="F407" s="33"/>
      <c r="I407" s="33" t="str">
        <f t="shared" ref="I407:K407" si="406">IF(B407="","",IF(B407&gt;=4,"A",IF(B407&gt;=3,"B","C")))</f>
        <v/>
      </c>
      <c r="J407" s="33" t="str">
        <f t="shared" si="406"/>
        <v/>
      </c>
      <c r="K407" s="33" t="str">
        <f t="shared" si="406"/>
        <v/>
      </c>
    </row>
    <row r="408" ht="15.75" customHeight="1">
      <c r="B408" s="33"/>
      <c r="C408" s="33"/>
      <c r="D408" s="33"/>
      <c r="F408" s="33"/>
      <c r="I408" s="33" t="str">
        <f t="shared" ref="I408:K408" si="407">IF(B408="","",IF(B408&gt;=4,"A",IF(B408&gt;=3,"B","C")))</f>
        <v/>
      </c>
      <c r="J408" s="33" t="str">
        <f t="shared" si="407"/>
        <v/>
      </c>
      <c r="K408" s="33" t="str">
        <f t="shared" si="407"/>
        <v/>
      </c>
    </row>
    <row r="409" ht="15.75" customHeight="1">
      <c r="B409" s="33"/>
      <c r="C409" s="33"/>
      <c r="D409" s="33"/>
      <c r="F409" s="33"/>
      <c r="I409" s="33" t="str">
        <f t="shared" ref="I409:K409" si="408">IF(B409="","",IF(B409&gt;=4,"A",IF(B409&gt;=3,"B","C")))</f>
        <v/>
      </c>
      <c r="J409" s="33" t="str">
        <f t="shared" si="408"/>
        <v/>
      </c>
      <c r="K409" s="33" t="str">
        <f t="shared" si="408"/>
        <v/>
      </c>
    </row>
    <row r="410" ht="15.75" customHeight="1">
      <c r="B410" s="33"/>
      <c r="C410" s="33"/>
      <c r="D410" s="33"/>
      <c r="F410" s="33"/>
      <c r="I410" s="33" t="str">
        <f t="shared" ref="I410:K410" si="409">IF(B410="","",IF(B410&gt;=4,"A",IF(B410&gt;=3,"B","C")))</f>
        <v/>
      </c>
      <c r="J410" s="33" t="str">
        <f t="shared" si="409"/>
        <v/>
      </c>
      <c r="K410" s="33" t="str">
        <f t="shared" si="409"/>
        <v/>
      </c>
    </row>
    <row r="411" ht="15.75" customHeight="1">
      <c r="B411" s="33"/>
      <c r="C411" s="33"/>
      <c r="D411" s="33"/>
      <c r="F411" s="33"/>
      <c r="I411" s="33" t="str">
        <f t="shared" ref="I411:K411" si="410">IF(B411="","",IF(B411&gt;=4,"A",IF(B411&gt;=3,"B","C")))</f>
        <v/>
      </c>
      <c r="J411" s="33" t="str">
        <f t="shared" si="410"/>
        <v/>
      </c>
      <c r="K411" s="33" t="str">
        <f t="shared" si="410"/>
        <v/>
      </c>
    </row>
    <row r="412" ht="15.75" customHeight="1">
      <c r="B412" s="33"/>
      <c r="C412" s="33"/>
      <c r="D412" s="33"/>
      <c r="F412" s="33"/>
      <c r="I412" s="33" t="str">
        <f t="shared" ref="I412:K412" si="411">IF(B412="","",IF(B412&gt;=4,"A",IF(B412&gt;=3,"B","C")))</f>
        <v/>
      </c>
      <c r="J412" s="33" t="str">
        <f t="shared" si="411"/>
        <v/>
      </c>
      <c r="K412" s="33" t="str">
        <f t="shared" si="411"/>
        <v/>
      </c>
    </row>
    <row r="413" ht="15.75" customHeight="1">
      <c r="B413" s="33"/>
      <c r="C413" s="33"/>
      <c r="D413" s="33"/>
      <c r="F413" s="33"/>
      <c r="I413" s="33" t="str">
        <f t="shared" ref="I413:K413" si="412">IF(B413="","",IF(B413&gt;=4,"A",IF(B413&gt;=3,"B","C")))</f>
        <v/>
      </c>
      <c r="J413" s="33" t="str">
        <f t="shared" si="412"/>
        <v/>
      </c>
      <c r="K413" s="33" t="str">
        <f t="shared" si="412"/>
        <v/>
      </c>
    </row>
    <row r="414" ht="15.75" customHeight="1">
      <c r="B414" s="33"/>
      <c r="C414" s="33"/>
      <c r="D414" s="33"/>
      <c r="F414" s="33"/>
      <c r="I414" s="33" t="str">
        <f t="shared" ref="I414:K414" si="413">IF(B414="","",IF(B414&gt;=4,"A",IF(B414&gt;=3,"B","C")))</f>
        <v/>
      </c>
      <c r="J414" s="33" t="str">
        <f t="shared" si="413"/>
        <v/>
      </c>
      <c r="K414" s="33" t="str">
        <f t="shared" si="413"/>
        <v/>
      </c>
    </row>
    <row r="415" ht="15.75" customHeight="1">
      <c r="B415" s="33"/>
      <c r="C415" s="33"/>
      <c r="D415" s="33"/>
      <c r="F415" s="33"/>
      <c r="I415" s="33" t="str">
        <f t="shared" ref="I415:K415" si="414">IF(B415="","",IF(B415&gt;=4,"A",IF(B415&gt;=3,"B","C")))</f>
        <v/>
      </c>
      <c r="J415" s="33" t="str">
        <f t="shared" si="414"/>
        <v/>
      </c>
      <c r="K415" s="33" t="str">
        <f t="shared" si="414"/>
        <v/>
      </c>
    </row>
    <row r="416" ht="15.75" customHeight="1">
      <c r="B416" s="33"/>
      <c r="C416" s="33"/>
      <c r="D416" s="33"/>
      <c r="F416" s="33"/>
      <c r="I416" s="33" t="str">
        <f t="shared" ref="I416:K416" si="415">IF(B416="","",IF(B416&gt;=4,"A",IF(B416&gt;=3,"B","C")))</f>
        <v/>
      </c>
      <c r="J416" s="33" t="str">
        <f t="shared" si="415"/>
        <v/>
      </c>
      <c r="K416" s="33" t="str">
        <f t="shared" si="415"/>
        <v/>
      </c>
    </row>
    <row r="417" ht="15.75" customHeight="1">
      <c r="B417" s="33"/>
      <c r="C417" s="33"/>
      <c r="D417" s="33"/>
      <c r="F417" s="33"/>
      <c r="I417" s="33" t="str">
        <f t="shared" ref="I417:K417" si="416">IF(B417="","",IF(B417&gt;=4,"A",IF(B417&gt;=3,"B","C")))</f>
        <v/>
      </c>
      <c r="J417" s="33" t="str">
        <f t="shared" si="416"/>
        <v/>
      </c>
      <c r="K417" s="33" t="str">
        <f t="shared" si="416"/>
        <v/>
      </c>
    </row>
    <row r="418" ht="15.75" customHeight="1">
      <c r="B418" s="33"/>
      <c r="C418" s="33"/>
      <c r="D418" s="33"/>
      <c r="F418" s="33"/>
      <c r="I418" s="33" t="str">
        <f t="shared" ref="I418:K418" si="417">IF(B418="","",IF(B418&gt;=4,"A",IF(B418&gt;=3,"B","C")))</f>
        <v/>
      </c>
      <c r="J418" s="33" t="str">
        <f t="shared" si="417"/>
        <v/>
      </c>
      <c r="K418" s="33" t="str">
        <f t="shared" si="417"/>
        <v/>
      </c>
    </row>
    <row r="419" ht="15.75" customHeight="1">
      <c r="B419" s="33"/>
      <c r="C419" s="33"/>
      <c r="D419" s="33"/>
      <c r="F419" s="33"/>
      <c r="I419" s="33" t="str">
        <f t="shared" ref="I419:K419" si="418">IF(B419="","",IF(B419&gt;=4,"A",IF(B419&gt;=3,"B","C")))</f>
        <v/>
      </c>
      <c r="J419" s="33" t="str">
        <f t="shared" si="418"/>
        <v/>
      </c>
      <c r="K419" s="33" t="str">
        <f t="shared" si="418"/>
        <v/>
      </c>
    </row>
    <row r="420" ht="15.75" customHeight="1">
      <c r="B420" s="33"/>
      <c r="C420" s="33"/>
      <c r="D420" s="33"/>
      <c r="F420" s="33"/>
      <c r="I420" s="33" t="str">
        <f t="shared" ref="I420:K420" si="419">IF(B420="","",IF(B420&gt;=4,"A",IF(B420&gt;=3,"B","C")))</f>
        <v/>
      </c>
      <c r="J420" s="33" t="str">
        <f t="shared" si="419"/>
        <v/>
      </c>
      <c r="K420" s="33" t="str">
        <f t="shared" si="419"/>
        <v/>
      </c>
    </row>
    <row r="421" ht="15.75" customHeight="1">
      <c r="B421" s="33"/>
      <c r="C421" s="33"/>
      <c r="D421" s="33"/>
      <c r="F421" s="33"/>
      <c r="I421" s="33" t="str">
        <f t="shared" ref="I421:K421" si="420">IF(B421="","",IF(B421&gt;=4,"A",IF(B421&gt;=3,"B","C")))</f>
        <v/>
      </c>
      <c r="J421" s="33" t="str">
        <f t="shared" si="420"/>
        <v/>
      </c>
      <c r="K421" s="33" t="str">
        <f t="shared" si="420"/>
        <v/>
      </c>
    </row>
    <row r="422" ht="15.75" customHeight="1">
      <c r="B422" s="33"/>
      <c r="C422" s="33"/>
      <c r="D422" s="33"/>
      <c r="F422" s="33"/>
      <c r="I422" s="33" t="str">
        <f t="shared" ref="I422:K422" si="421">IF(B422="","",IF(B422&gt;=4,"A",IF(B422&gt;=3,"B","C")))</f>
        <v/>
      </c>
      <c r="J422" s="33" t="str">
        <f t="shared" si="421"/>
        <v/>
      </c>
      <c r="K422" s="33" t="str">
        <f t="shared" si="421"/>
        <v/>
      </c>
    </row>
    <row r="423" ht="15.75" customHeight="1">
      <c r="B423" s="33"/>
      <c r="C423" s="33"/>
      <c r="D423" s="33"/>
      <c r="F423" s="33"/>
      <c r="I423" s="33" t="str">
        <f t="shared" ref="I423:K423" si="422">IF(B423="","",IF(B423&gt;=4,"A",IF(B423&gt;=3,"B","C")))</f>
        <v/>
      </c>
      <c r="J423" s="33" t="str">
        <f t="shared" si="422"/>
        <v/>
      </c>
      <c r="K423" s="33" t="str">
        <f t="shared" si="422"/>
        <v/>
      </c>
    </row>
    <row r="424" ht="15.75" customHeight="1">
      <c r="B424" s="33"/>
      <c r="C424" s="33"/>
      <c r="D424" s="33"/>
      <c r="F424" s="33"/>
      <c r="I424" s="33" t="str">
        <f t="shared" ref="I424:K424" si="423">IF(B424="","",IF(B424&gt;=4,"A",IF(B424&gt;=3,"B","C")))</f>
        <v/>
      </c>
      <c r="J424" s="33" t="str">
        <f t="shared" si="423"/>
        <v/>
      </c>
      <c r="K424" s="33" t="str">
        <f t="shared" si="423"/>
        <v/>
      </c>
    </row>
    <row r="425" ht="15.75" customHeight="1">
      <c r="B425" s="33"/>
      <c r="C425" s="33"/>
      <c r="D425" s="33"/>
      <c r="F425" s="33"/>
      <c r="I425" s="33" t="str">
        <f t="shared" ref="I425:K425" si="424">IF(B425="","",IF(B425&gt;=4,"A",IF(B425&gt;=3,"B","C")))</f>
        <v/>
      </c>
      <c r="J425" s="33" t="str">
        <f t="shared" si="424"/>
        <v/>
      </c>
      <c r="K425" s="33" t="str">
        <f t="shared" si="424"/>
        <v/>
      </c>
    </row>
    <row r="426" ht="15.75" customHeight="1">
      <c r="B426" s="33"/>
      <c r="C426" s="33"/>
      <c r="D426" s="33"/>
      <c r="F426" s="33"/>
      <c r="I426" s="33" t="str">
        <f t="shared" ref="I426:K426" si="425">IF(B426="","",IF(B426&gt;=4,"A",IF(B426&gt;=3,"B","C")))</f>
        <v/>
      </c>
      <c r="J426" s="33" t="str">
        <f t="shared" si="425"/>
        <v/>
      </c>
      <c r="K426" s="33" t="str">
        <f t="shared" si="425"/>
        <v/>
      </c>
    </row>
    <row r="427" ht="15.75" customHeight="1">
      <c r="B427" s="33"/>
      <c r="C427" s="33"/>
      <c r="D427" s="33"/>
      <c r="F427" s="33"/>
      <c r="I427" s="33" t="str">
        <f t="shared" ref="I427:K427" si="426">IF(B427="","",IF(B427&gt;=4,"A",IF(B427&gt;=3,"B","C")))</f>
        <v/>
      </c>
      <c r="J427" s="33" t="str">
        <f t="shared" si="426"/>
        <v/>
      </c>
      <c r="K427" s="33" t="str">
        <f t="shared" si="426"/>
        <v/>
      </c>
    </row>
    <row r="428" ht="15.75" customHeight="1">
      <c r="B428" s="33"/>
      <c r="C428" s="33"/>
      <c r="D428" s="33"/>
      <c r="F428" s="33"/>
      <c r="I428" s="33" t="str">
        <f t="shared" ref="I428:K428" si="427">IF(B428="","",IF(B428&gt;=4,"A",IF(B428&gt;=3,"B","C")))</f>
        <v/>
      </c>
      <c r="J428" s="33" t="str">
        <f t="shared" si="427"/>
        <v/>
      </c>
      <c r="K428" s="33" t="str">
        <f t="shared" si="427"/>
        <v/>
      </c>
    </row>
    <row r="429" ht="15.75" customHeight="1">
      <c r="B429" s="33"/>
      <c r="C429" s="33"/>
      <c r="D429" s="33"/>
      <c r="F429" s="33"/>
      <c r="I429" s="33" t="str">
        <f t="shared" ref="I429:K429" si="428">IF(B429="","",IF(B429&gt;=4,"A",IF(B429&gt;=3,"B","C")))</f>
        <v/>
      </c>
      <c r="J429" s="33" t="str">
        <f t="shared" si="428"/>
        <v/>
      </c>
      <c r="K429" s="33" t="str">
        <f t="shared" si="428"/>
        <v/>
      </c>
    </row>
    <row r="430" ht="15.75" customHeight="1">
      <c r="B430" s="33"/>
      <c r="C430" s="33"/>
      <c r="D430" s="33"/>
      <c r="F430" s="33"/>
      <c r="I430" s="33" t="str">
        <f t="shared" ref="I430:K430" si="429">IF(B430="","",IF(B430&gt;=4,"A",IF(B430&gt;=3,"B","C")))</f>
        <v/>
      </c>
      <c r="J430" s="33" t="str">
        <f t="shared" si="429"/>
        <v/>
      </c>
      <c r="K430" s="33" t="str">
        <f t="shared" si="429"/>
        <v/>
      </c>
    </row>
    <row r="431" ht="15.75" customHeight="1">
      <c r="B431" s="33"/>
      <c r="C431" s="33"/>
      <c r="D431" s="33"/>
      <c r="F431" s="33"/>
      <c r="I431" s="33" t="str">
        <f t="shared" ref="I431:K431" si="430">IF(B431="","",IF(B431&gt;=4,"A",IF(B431&gt;=3,"B","C")))</f>
        <v/>
      </c>
      <c r="J431" s="33" t="str">
        <f t="shared" si="430"/>
        <v/>
      </c>
      <c r="K431" s="33" t="str">
        <f t="shared" si="430"/>
        <v/>
      </c>
    </row>
    <row r="432" ht="15.75" customHeight="1">
      <c r="B432" s="33"/>
      <c r="C432" s="33"/>
      <c r="D432" s="33"/>
      <c r="F432" s="33"/>
      <c r="I432" s="33" t="str">
        <f t="shared" ref="I432:K432" si="431">IF(B432="","",IF(B432&gt;=4,"A",IF(B432&gt;=3,"B","C")))</f>
        <v/>
      </c>
      <c r="J432" s="33" t="str">
        <f t="shared" si="431"/>
        <v/>
      </c>
      <c r="K432" s="33" t="str">
        <f t="shared" si="431"/>
        <v/>
      </c>
    </row>
    <row r="433" ht="15.75" customHeight="1">
      <c r="B433" s="33"/>
      <c r="C433" s="33"/>
      <c r="D433" s="33"/>
      <c r="F433" s="33"/>
      <c r="I433" s="33" t="str">
        <f t="shared" ref="I433:K433" si="432">IF(B433="","",IF(B433&gt;=4,"A",IF(B433&gt;=3,"B","C")))</f>
        <v/>
      </c>
      <c r="J433" s="33" t="str">
        <f t="shared" si="432"/>
        <v/>
      </c>
      <c r="K433" s="33" t="str">
        <f t="shared" si="432"/>
        <v/>
      </c>
    </row>
    <row r="434" ht="15.75" customHeight="1">
      <c r="B434" s="33"/>
      <c r="C434" s="33"/>
      <c r="D434" s="33"/>
      <c r="F434" s="33"/>
      <c r="I434" s="33" t="str">
        <f t="shared" ref="I434:K434" si="433">IF(B434="","",IF(B434&gt;=4,"A",IF(B434&gt;=3,"B","C")))</f>
        <v/>
      </c>
      <c r="J434" s="33" t="str">
        <f t="shared" si="433"/>
        <v/>
      </c>
      <c r="K434" s="33" t="str">
        <f t="shared" si="433"/>
        <v/>
      </c>
    </row>
    <row r="435" ht="15.75" customHeight="1">
      <c r="B435" s="33"/>
      <c r="C435" s="33"/>
      <c r="D435" s="33"/>
      <c r="F435" s="33"/>
      <c r="I435" s="33" t="str">
        <f t="shared" ref="I435:K435" si="434">IF(B435="","",IF(B435&gt;=4,"A",IF(B435&gt;=3,"B","C")))</f>
        <v/>
      </c>
      <c r="J435" s="33" t="str">
        <f t="shared" si="434"/>
        <v/>
      </c>
      <c r="K435" s="33" t="str">
        <f t="shared" si="434"/>
        <v/>
      </c>
    </row>
    <row r="436" ht="15.75" customHeight="1">
      <c r="B436" s="33"/>
      <c r="C436" s="33"/>
      <c r="D436" s="33"/>
      <c r="F436" s="33"/>
      <c r="I436" s="33" t="str">
        <f t="shared" ref="I436:K436" si="435">IF(B436="","",IF(B436&gt;=4,"A",IF(B436&gt;=3,"B","C")))</f>
        <v/>
      </c>
      <c r="J436" s="33" t="str">
        <f t="shared" si="435"/>
        <v/>
      </c>
      <c r="K436" s="33" t="str">
        <f t="shared" si="435"/>
        <v/>
      </c>
    </row>
    <row r="437" ht="15.75" customHeight="1">
      <c r="B437" s="33"/>
      <c r="C437" s="33"/>
      <c r="D437" s="33"/>
      <c r="F437" s="33"/>
      <c r="I437" s="33" t="str">
        <f t="shared" ref="I437:K437" si="436">IF(B437="","",IF(B437&gt;=4,"A",IF(B437&gt;=3,"B","C")))</f>
        <v/>
      </c>
      <c r="J437" s="33" t="str">
        <f t="shared" si="436"/>
        <v/>
      </c>
      <c r="K437" s="33" t="str">
        <f t="shared" si="436"/>
        <v/>
      </c>
    </row>
    <row r="438" ht="15.75" customHeight="1">
      <c r="B438" s="33"/>
      <c r="C438" s="33"/>
      <c r="D438" s="33"/>
      <c r="F438" s="33"/>
      <c r="I438" s="33" t="str">
        <f t="shared" ref="I438:K438" si="437">IF(B438="","",IF(B438&gt;=4,"A",IF(B438&gt;=3,"B","C")))</f>
        <v/>
      </c>
      <c r="J438" s="33" t="str">
        <f t="shared" si="437"/>
        <v/>
      </c>
      <c r="K438" s="33" t="str">
        <f t="shared" si="437"/>
        <v/>
      </c>
    </row>
    <row r="439" ht="15.75" customHeight="1">
      <c r="B439" s="33"/>
      <c r="C439" s="33"/>
      <c r="D439" s="33"/>
      <c r="F439" s="33"/>
      <c r="I439" s="33" t="str">
        <f t="shared" ref="I439:K439" si="438">IF(B439="","",IF(B439&gt;=4,"A",IF(B439&gt;=3,"B","C")))</f>
        <v/>
      </c>
      <c r="J439" s="33" t="str">
        <f t="shared" si="438"/>
        <v/>
      </c>
      <c r="K439" s="33" t="str">
        <f t="shared" si="438"/>
        <v/>
      </c>
    </row>
    <row r="440" ht="15.75" customHeight="1">
      <c r="B440" s="33"/>
      <c r="C440" s="33"/>
      <c r="D440" s="33"/>
      <c r="F440" s="33"/>
      <c r="I440" s="33" t="str">
        <f t="shared" ref="I440:K440" si="439">IF(B440="","",IF(B440&gt;=4,"A",IF(B440&gt;=3,"B","C")))</f>
        <v/>
      </c>
      <c r="J440" s="33" t="str">
        <f t="shared" si="439"/>
        <v/>
      </c>
      <c r="K440" s="33" t="str">
        <f t="shared" si="439"/>
        <v/>
      </c>
    </row>
    <row r="441" ht="15.75" customHeight="1">
      <c r="B441" s="33"/>
      <c r="C441" s="33"/>
      <c r="D441" s="33"/>
      <c r="F441" s="33"/>
      <c r="I441" s="33" t="str">
        <f t="shared" ref="I441:K441" si="440">IF(B441="","",IF(B441&gt;=4,"A",IF(B441&gt;=3,"B","C")))</f>
        <v/>
      </c>
      <c r="J441" s="33" t="str">
        <f t="shared" si="440"/>
        <v/>
      </c>
      <c r="K441" s="33" t="str">
        <f t="shared" si="440"/>
        <v/>
      </c>
    </row>
    <row r="442" ht="15.75" customHeight="1">
      <c r="B442" s="33"/>
      <c r="C442" s="33"/>
      <c r="D442" s="33"/>
      <c r="F442" s="33"/>
      <c r="I442" s="33" t="str">
        <f t="shared" ref="I442:K442" si="441">IF(B442="","",IF(B442&gt;=4,"A",IF(B442&gt;=3,"B","C")))</f>
        <v/>
      </c>
      <c r="J442" s="33" t="str">
        <f t="shared" si="441"/>
        <v/>
      </c>
      <c r="K442" s="33" t="str">
        <f t="shared" si="441"/>
        <v/>
      </c>
    </row>
    <row r="443" ht="15.75" customHeight="1">
      <c r="B443" s="33"/>
      <c r="C443" s="33"/>
      <c r="D443" s="33"/>
      <c r="F443" s="33"/>
      <c r="I443" s="33" t="str">
        <f t="shared" ref="I443:K443" si="442">IF(B443="","",IF(B443&gt;=4,"A",IF(B443&gt;=3,"B","C")))</f>
        <v/>
      </c>
      <c r="J443" s="33" t="str">
        <f t="shared" si="442"/>
        <v/>
      </c>
      <c r="K443" s="33" t="str">
        <f t="shared" si="442"/>
        <v/>
      </c>
    </row>
    <row r="444" ht="15.75" customHeight="1">
      <c r="B444" s="33"/>
      <c r="C444" s="33"/>
      <c r="D444" s="33"/>
      <c r="F444" s="33"/>
      <c r="I444" s="33" t="str">
        <f t="shared" ref="I444:K444" si="443">IF(B444="","",IF(B444&gt;=4,"A",IF(B444&gt;=3,"B","C")))</f>
        <v/>
      </c>
      <c r="J444" s="33" t="str">
        <f t="shared" si="443"/>
        <v/>
      </c>
      <c r="K444" s="33" t="str">
        <f t="shared" si="443"/>
        <v/>
      </c>
    </row>
    <row r="445" ht="15.75" customHeight="1">
      <c r="B445" s="33"/>
      <c r="C445" s="33"/>
      <c r="D445" s="33"/>
      <c r="F445" s="33"/>
      <c r="I445" s="33" t="str">
        <f t="shared" ref="I445:K445" si="444">IF(B445="","",IF(B445&gt;=4,"A",IF(B445&gt;=3,"B","C")))</f>
        <v/>
      </c>
      <c r="J445" s="33" t="str">
        <f t="shared" si="444"/>
        <v/>
      </c>
      <c r="K445" s="33" t="str">
        <f t="shared" si="444"/>
        <v/>
      </c>
    </row>
    <row r="446" ht="15.75" customHeight="1">
      <c r="B446" s="33"/>
      <c r="C446" s="33"/>
      <c r="D446" s="33"/>
      <c r="F446" s="33"/>
      <c r="I446" s="33" t="str">
        <f t="shared" ref="I446:K446" si="445">IF(B446="","",IF(B446&gt;=4,"A",IF(B446&gt;=3,"B","C")))</f>
        <v/>
      </c>
      <c r="J446" s="33" t="str">
        <f t="shared" si="445"/>
        <v/>
      </c>
      <c r="K446" s="33" t="str">
        <f t="shared" si="445"/>
        <v/>
      </c>
    </row>
    <row r="447" ht="15.75" customHeight="1">
      <c r="B447" s="33"/>
      <c r="C447" s="33"/>
      <c r="D447" s="33"/>
      <c r="F447" s="33"/>
      <c r="I447" s="33" t="str">
        <f t="shared" ref="I447:K447" si="446">IF(B447="","",IF(B447&gt;=4,"A",IF(B447&gt;=3,"B","C")))</f>
        <v/>
      </c>
      <c r="J447" s="33" t="str">
        <f t="shared" si="446"/>
        <v/>
      </c>
      <c r="K447" s="33" t="str">
        <f t="shared" si="446"/>
        <v/>
      </c>
    </row>
    <row r="448" ht="15.75" customHeight="1">
      <c r="B448" s="33"/>
      <c r="C448" s="33"/>
      <c r="D448" s="33"/>
      <c r="F448" s="33"/>
      <c r="I448" s="33" t="str">
        <f t="shared" ref="I448:K448" si="447">IF(B448="","",IF(B448&gt;=4,"A",IF(B448&gt;=3,"B","C")))</f>
        <v/>
      </c>
      <c r="J448" s="33" t="str">
        <f t="shared" si="447"/>
        <v/>
      </c>
      <c r="K448" s="33" t="str">
        <f t="shared" si="447"/>
        <v/>
      </c>
    </row>
    <row r="449" ht="15.75" customHeight="1">
      <c r="B449" s="33"/>
      <c r="C449" s="33"/>
      <c r="D449" s="33"/>
      <c r="F449" s="33"/>
      <c r="I449" s="33" t="str">
        <f t="shared" ref="I449:K449" si="448">IF(B449="","",IF(B449&gt;=4,"A",IF(B449&gt;=3,"B","C")))</f>
        <v/>
      </c>
      <c r="J449" s="33" t="str">
        <f t="shared" si="448"/>
        <v/>
      </c>
      <c r="K449" s="33" t="str">
        <f t="shared" si="448"/>
        <v/>
      </c>
    </row>
    <row r="450" ht="15.75" customHeight="1">
      <c r="B450" s="33"/>
      <c r="C450" s="33"/>
      <c r="D450" s="33"/>
      <c r="F450" s="33"/>
      <c r="I450" s="33" t="str">
        <f t="shared" ref="I450:K450" si="449">IF(B450="","",IF(B450&gt;=4,"A",IF(B450&gt;=3,"B","C")))</f>
        <v/>
      </c>
      <c r="J450" s="33" t="str">
        <f t="shared" si="449"/>
        <v/>
      </c>
      <c r="K450" s="33" t="str">
        <f t="shared" si="449"/>
        <v/>
      </c>
    </row>
    <row r="451" ht="15.75" customHeight="1">
      <c r="B451" s="33"/>
      <c r="C451" s="33"/>
      <c r="D451" s="33"/>
      <c r="F451" s="33"/>
      <c r="I451" s="33" t="str">
        <f t="shared" ref="I451:K451" si="450">IF(B451="","",IF(B451&gt;=4,"A",IF(B451&gt;=3,"B","C")))</f>
        <v/>
      </c>
      <c r="J451" s="33" t="str">
        <f t="shared" si="450"/>
        <v/>
      </c>
      <c r="K451" s="33" t="str">
        <f t="shared" si="450"/>
        <v/>
      </c>
    </row>
    <row r="452" ht="15.75" customHeight="1">
      <c r="B452" s="33"/>
      <c r="C452" s="33"/>
      <c r="D452" s="33"/>
      <c r="F452" s="33"/>
      <c r="I452" s="33" t="str">
        <f t="shared" ref="I452:K452" si="451">IF(B452="","",IF(B452&gt;=4,"A",IF(B452&gt;=3,"B","C")))</f>
        <v/>
      </c>
      <c r="J452" s="33" t="str">
        <f t="shared" si="451"/>
        <v/>
      </c>
      <c r="K452" s="33" t="str">
        <f t="shared" si="451"/>
        <v/>
      </c>
    </row>
    <row r="453" ht="15.75" customHeight="1">
      <c r="B453" s="33"/>
      <c r="C453" s="33"/>
      <c r="D453" s="33"/>
      <c r="F453" s="33"/>
      <c r="I453" s="33" t="str">
        <f t="shared" ref="I453:K453" si="452">IF(B453="","",IF(B453&gt;=4,"A",IF(B453&gt;=3,"B","C")))</f>
        <v/>
      </c>
      <c r="J453" s="33" t="str">
        <f t="shared" si="452"/>
        <v/>
      </c>
      <c r="K453" s="33" t="str">
        <f t="shared" si="452"/>
        <v/>
      </c>
    </row>
    <row r="454" ht="15.75" customHeight="1">
      <c r="B454" s="33"/>
      <c r="C454" s="33"/>
      <c r="D454" s="33"/>
      <c r="F454" s="33"/>
      <c r="I454" s="33" t="str">
        <f t="shared" ref="I454:K454" si="453">IF(B454="","",IF(B454&gt;=4,"A",IF(B454&gt;=3,"B","C")))</f>
        <v/>
      </c>
      <c r="J454" s="33" t="str">
        <f t="shared" si="453"/>
        <v/>
      </c>
      <c r="K454" s="33" t="str">
        <f t="shared" si="453"/>
        <v/>
      </c>
    </row>
    <row r="455" ht="15.75" customHeight="1">
      <c r="B455" s="33"/>
      <c r="C455" s="33"/>
      <c r="D455" s="33"/>
      <c r="F455" s="33"/>
      <c r="I455" s="33" t="str">
        <f t="shared" ref="I455:K455" si="454">IF(B455="","",IF(B455&gt;=4,"A",IF(B455&gt;=3,"B","C")))</f>
        <v/>
      </c>
      <c r="J455" s="33" t="str">
        <f t="shared" si="454"/>
        <v/>
      </c>
      <c r="K455" s="33" t="str">
        <f t="shared" si="454"/>
        <v/>
      </c>
    </row>
    <row r="456" ht="15.75" customHeight="1">
      <c r="B456" s="33"/>
      <c r="C456" s="33"/>
      <c r="D456" s="33"/>
      <c r="F456" s="33"/>
      <c r="I456" s="33" t="str">
        <f t="shared" ref="I456:K456" si="455">IF(B456="","",IF(B456&gt;=4,"A",IF(B456&gt;=3,"B","C")))</f>
        <v/>
      </c>
      <c r="J456" s="33" t="str">
        <f t="shared" si="455"/>
        <v/>
      </c>
      <c r="K456" s="33" t="str">
        <f t="shared" si="455"/>
        <v/>
      </c>
    </row>
    <row r="457" ht="15.75" customHeight="1">
      <c r="B457" s="33"/>
      <c r="C457" s="33"/>
      <c r="D457" s="33"/>
      <c r="F457" s="33"/>
      <c r="I457" s="33" t="str">
        <f t="shared" ref="I457:K457" si="456">IF(B457="","",IF(B457&gt;=4,"A",IF(B457&gt;=3,"B","C")))</f>
        <v/>
      </c>
      <c r="J457" s="33" t="str">
        <f t="shared" si="456"/>
        <v/>
      </c>
      <c r="K457" s="33" t="str">
        <f t="shared" si="456"/>
        <v/>
      </c>
    </row>
    <row r="458" ht="15.75" customHeight="1">
      <c r="B458" s="33"/>
      <c r="C458" s="33"/>
      <c r="D458" s="33"/>
      <c r="F458" s="33"/>
      <c r="I458" s="33" t="str">
        <f t="shared" ref="I458:K458" si="457">IF(B458="","",IF(B458&gt;=4,"A",IF(B458&gt;=3,"B","C")))</f>
        <v/>
      </c>
      <c r="J458" s="33" t="str">
        <f t="shared" si="457"/>
        <v/>
      </c>
      <c r="K458" s="33" t="str">
        <f t="shared" si="457"/>
        <v/>
      </c>
    </row>
    <row r="459" ht="15.75" customHeight="1">
      <c r="B459" s="33"/>
      <c r="C459" s="33"/>
      <c r="D459" s="33"/>
      <c r="F459" s="33"/>
      <c r="I459" s="33" t="str">
        <f t="shared" ref="I459:K459" si="458">IF(B459="","",IF(B459&gt;=4,"A",IF(B459&gt;=3,"B","C")))</f>
        <v/>
      </c>
      <c r="J459" s="33" t="str">
        <f t="shared" si="458"/>
        <v/>
      </c>
      <c r="K459" s="33" t="str">
        <f t="shared" si="458"/>
        <v/>
      </c>
    </row>
    <row r="460" ht="15.75" customHeight="1">
      <c r="B460" s="33"/>
      <c r="C460" s="33"/>
      <c r="D460" s="33"/>
      <c r="F460" s="33"/>
      <c r="I460" s="33" t="str">
        <f t="shared" ref="I460:K460" si="459">IF(B460="","",IF(B460&gt;=4,"A",IF(B460&gt;=3,"B","C")))</f>
        <v/>
      </c>
      <c r="J460" s="33" t="str">
        <f t="shared" si="459"/>
        <v/>
      </c>
      <c r="K460" s="33" t="str">
        <f t="shared" si="459"/>
        <v/>
      </c>
    </row>
    <row r="461" ht="15.75" customHeight="1">
      <c r="B461" s="33"/>
      <c r="C461" s="33"/>
      <c r="D461" s="33"/>
      <c r="F461" s="33"/>
      <c r="I461" s="33" t="str">
        <f t="shared" ref="I461:K461" si="460">IF(B461="","",IF(B461&gt;=4,"A",IF(B461&gt;=3,"B","C")))</f>
        <v/>
      </c>
      <c r="J461" s="33" t="str">
        <f t="shared" si="460"/>
        <v/>
      </c>
      <c r="K461" s="33" t="str">
        <f t="shared" si="460"/>
        <v/>
      </c>
    </row>
    <row r="462" ht="15.75" customHeight="1">
      <c r="B462" s="33"/>
      <c r="C462" s="33"/>
      <c r="D462" s="33"/>
      <c r="F462" s="33"/>
      <c r="I462" s="33" t="str">
        <f t="shared" ref="I462:K462" si="461">IF(B462="","",IF(B462&gt;=4,"A",IF(B462&gt;=3,"B","C")))</f>
        <v/>
      </c>
      <c r="J462" s="33" t="str">
        <f t="shared" si="461"/>
        <v/>
      </c>
      <c r="K462" s="33" t="str">
        <f t="shared" si="461"/>
        <v/>
      </c>
    </row>
    <row r="463" ht="15.75" customHeight="1">
      <c r="B463" s="33"/>
      <c r="C463" s="33"/>
      <c r="D463" s="33"/>
      <c r="F463" s="33"/>
      <c r="I463" s="33" t="str">
        <f t="shared" ref="I463:K463" si="462">IF(B463="","",IF(B463&gt;=4,"A",IF(B463&gt;=3,"B","C")))</f>
        <v/>
      </c>
      <c r="J463" s="33" t="str">
        <f t="shared" si="462"/>
        <v/>
      </c>
      <c r="K463" s="33" t="str">
        <f t="shared" si="462"/>
        <v/>
      </c>
    </row>
    <row r="464" ht="15.75" customHeight="1">
      <c r="B464" s="33"/>
      <c r="C464" s="33"/>
      <c r="D464" s="33"/>
      <c r="F464" s="33"/>
      <c r="I464" s="33" t="str">
        <f t="shared" ref="I464:K464" si="463">IF(B464="","",IF(B464&gt;=4,"A",IF(B464&gt;=3,"B","C")))</f>
        <v/>
      </c>
      <c r="J464" s="33" t="str">
        <f t="shared" si="463"/>
        <v/>
      </c>
      <c r="K464" s="33" t="str">
        <f t="shared" si="463"/>
        <v/>
      </c>
    </row>
    <row r="465" ht="15.75" customHeight="1">
      <c r="B465" s="33"/>
      <c r="C465" s="33"/>
      <c r="D465" s="33"/>
      <c r="F465" s="33"/>
      <c r="I465" s="33" t="str">
        <f t="shared" ref="I465:K465" si="464">IF(B465="","",IF(B465&gt;=4,"A",IF(B465&gt;=3,"B","C")))</f>
        <v/>
      </c>
      <c r="J465" s="33" t="str">
        <f t="shared" si="464"/>
        <v/>
      </c>
      <c r="K465" s="33" t="str">
        <f t="shared" si="464"/>
        <v/>
      </c>
    </row>
    <row r="466" ht="15.75" customHeight="1">
      <c r="B466" s="33"/>
      <c r="C466" s="33"/>
      <c r="D466" s="33"/>
      <c r="F466" s="33"/>
      <c r="I466" s="33" t="str">
        <f t="shared" ref="I466:K466" si="465">IF(B466="","",IF(B466&gt;=4,"A",IF(B466&gt;=3,"B","C")))</f>
        <v/>
      </c>
      <c r="J466" s="33" t="str">
        <f t="shared" si="465"/>
        <v/>
      </c>
      <c r="K466" s="33" t="str">
        <f t="shared" si="465"/>
        <v/>
      </c>
    </row>
    <row r="467" ht="15.75" customHeight="1">
      <c r="B467" s="33"/>
      <c r="C467" s="33"/>
      <c r="D467" s="33"/>
      <c r="F467" s="33"/>
      <c r="I467" s="33" t="str">
        <f t="shared" ref="I467:K467" si="466">IF(B467="","",IF(B467&gt;=4,"A",IF(B467&gt;=3,"B","C")))</f>
        <v/>
      </c>
      <c r="J467" s="33" t="str">
        <f t="shared" si="466"/>
        <v/>
      </c>
      <c r="K467" s="33" t="str">
        <f t="shared" si="466"/>
        <v/>
      </c>
    </row>
    <row r="468" ht="15.75" customHeight="1">
      <c r="B468" s="33"/>
      <c r="C468" s="33"/>
      <c r="D468" s="33"/>
      <c r="F468" s="33"/>
      <c r="I468" s="33" t="str">
        <f t="shared" ref="I468:K468" si="467">IF(B468="","",IF(B468&gt;=4,"A",IF(B468&gt;=3,"B","C")))</f>
        <v/>
      </c>
      <c r="J468" s="33" t="str">
        <f t="shared" si="467"/>
        <v/>
      </c>
      <c r="K468" s="33" t="str">
        <f t="shared" si="467"/>
        <v/>
      </c>
    </row>
    <row r="469" ht="15.75" customHeight="1">
      <c r="B469" s="33"/>
      <c r="C469" s="33"/>
      <c r="D469" s="33"/>
      <c r="F469" s="33"/>
      <c r="I469" s="33" t="str">
        <f t="shared" ref="I469:K469" si="468">IF(B469="","",IF(B469&gt;=4,"A",IF(B469&gt;=3,"B","C")))</f>
        <v/>
      </c>
      <c r="J469" s="33" t="str">
        <f t="shared" si="468"/>
        <v/>
      </c>
      <c r="K469" s="33" t="str">
        <f t="shared" si="468"/>
        <v/>
      </c>
    </row>
    <row r="470" ht="15.75" customHeight="1">
      <c r="B470" s="33"/>
      <c r="C470" s="33"/>
      <c r="D470" s="33"/>
      <c r="F470" s="33"/>
      <c r="I470" s="33" t="str">
        <f t="shared" ref="I470:K470" si="469">IF(B470="","",IF(B470&gt;=4,"A",IF(B470&gt;=3,"B","C")))</f>
        <v/>
      </c>
      <c r="J470" s="33" t="str">
        <f t="shared" si="469"/>
        <v/>
      </c>
      <c r="K470" s="33" t="str">
        <f t="shared" si="469"/>
        <v/>
      </c>
    </row>
    <row r="471" ht="15.75" customHeight="1">
      <c r="B471" s="33"/>
      <c r="C471" s="33"/>
      <c r="D471" s="33"/>
      <c r="F471" s="33"/>
      <c r="I471" s="33" t="str">
        <f t="shared" ref="I471:K471" si="470">IF(B471="","",IF(B471&gt;=4,"A",IF(B471&gt;=3,"B","C")))</f>
        <v/>
      </c>
      <c r="J471" s="33" t="str">
        <f t="shared" si="470"/>
        <v/>
      </c>
      <c r="K471" s="33" t="str">
        <f t="shared" si="470"/>
        <v/>
      </c>
    </row>
    <row r="472" ht="15.75" customHeight="1">
      <c r="B472" s="33"/>
      <c r="C472" s="33"/>
      <c r="D472" s="33"/>
      <c r="F472" s="33"/>
      <c r="I472" s="33" t="str">
        <f t="shared" ref="I472:K472" si="471">IF(B472="","",IF(B472&gt;=4,"A",IF(B472&gt;=3,"B","C")))</f>
        <v/>
      </c>
      <c r="J472" s="33" t="str">
        <f t="shared" si="471"/>
        <v/>
      </c>
      <c r="K472" s="33" t="str">
        <f t="shared" si="471"/>
        <v/>
      </c>
    </row>
    <row r="473" ht="15.75" customHeight="1">
      <c r="B473" s="33"/>
      <c r="C473" s="33"/>
      <c r="D473" s="33"/>
      <c r="F473" s="33"/>
      <c r="I473" s="33" t="str">
        <f t="shared" ref="I473:K473" si="472">IF(B473="","",IF(B473&gt;=4,"A",IF(B473&gt;=3,"B","C")))</f>
        <v/>
      </c>
      <c r="J473" s="33" t="str">
        <f t="shared" si="472"/>
        <v/>
      </c>
      <c r="K473" s="33" t="str">
        <f t="shared" si="472"/>
        <v/>
      </c>
    </row>
    <row r="474" ht="15.75" customHeight="1">
      <c r="B474" s="33"/>
      <c r="C474" s="33"/>
      <c r="D474" s="33"/>
      <c r="F474" s="33"/>
      <c r="I474" s="33" t="str">
        <f t="shared" ref="I474:K474" si="473">IF(B474="","",IF(B474&gt;=4,"A",IF(B474&gt;=3,"B","C")))</f>
        <v/>
      </c>
      <c r="J474" s="33" t="str">
        <f t="shared" si="473"/>
        <v/>
      </c>
      <c r="K474" s="33" t="str">
        <f t="shared" si="473"/>
        <v/>
      </c>
    </row>
    <row r="475" ht="15.75" customHeight="1">
      <c r="B475" s="33"/>
      <c r="C475" s="33"/>
      <c r="D475" s="33"/>
      <c r="F475" s="33"/>
      <c r="I475" s="33" t="str">
        <f t="shared" ref="I475:K475" si="474">IF(B475="","",IF(B475&gt;=4,"A",IF(B475&gt;=3,"B","C")))</f>
        <v/>
      </c>
      <c r="J475" s="33" t="str">
        <f t="shared" si="474"/>
        <v/>
      </c>
      <c r="K475" s="33" t="str">
        <f t="shared" si="474"/>
        <v/>
      </c>
    </row>
    <row r="476" ht="15.75" customHeight="1">
      <c r="B476" s="33"/>
      <c r="C476" s="33"/>
      <c r="D476" s="33"/>
      <c r="F476" s="33"/>
      <c r="I476" s="33" t="str">
        <f t="shared" ref="I476:K476" si="475">IF(B476="","",IF(B476&gt;=4,"A",IF(B476&gt;=3,"B","C")))</f>
        <v/>
      </c>
      <c r="J476" s="33" t="str">
        <f t="shared" si="475"/>
        <v/>
      </c>
      <c r="K476" s="33" t="str">
        <f t="shared" si="475"/>
        <v/>
      </c>
    </row>
    <row r="477" ht="15.75" customHeight="1">
      <c r="B477" s="33"/>
      <c r="C477" s="33"/>
      <c r="D477" s="33"/>
      <c r="F477" s="33"/>
      <c r="I477" s="33" t="str">
        <f t="shared" ref="I477:K477" si="476">IF(B477="","",IF(B477&gt;=4,"A",IF(B477&gt;=3,"B","C")))</f>
        <v/>
      </c>
      <c r="J477" s="33" t="str">
        <f t="shared" si="476"/>
        <v/>
      </c>
      <c r="K477" s="33" t="str">
        <f t="shared" si="476"/>
        <v/>
      </c>
    </row>
    <row r="478" ht="15.75" customHeight="1">
      <c r="B478" s="33"/>
      <c r="C478" s="33"/>
      <c r="D478" s="33"/>
      <c r="F478" s="33"/>
      <c r="I478" s="33" t="str">
        <f t="shared" ref="I478:K478" si="477">IF(B478="","",IF(B478&gt;=4,"A",IF(B478&gt;=3,"B","C")))</f>
        <v/>
      </c>
      <c r="J478" s="33" t="str">
        <f t="shared" si="477"/>
        <v/>
      </c>
      <c r="K478" s="33" t="str">
        <f t="shared" si="477"/>
        <v/>
      </c>
    </row>
    <row r="479" ht="15.75" customHeight="1">
      <c r="B479" s="33"/>
      <c r="C479" s="33"/>
      <c r="D479" s="33"/>
      <c r="F479" s="33"/>
      <c r="I479" s="33" t="str">
        <f t="shared" ref="I479:K479" si="478">IF(B479="","",IF(B479&gt;=4,"A",IF(B479&gt;=3,"B","C")))</f>
        <v/>
      </c>
      <c r="J479" s="33" t="str">
        <f t="shared" si="478"/>
        <v/>
      </c>
      <c r="K479" s="33" t="str">
        <f t="shared" si="478"/>
        <v/>
      </c>
    </row>
    <row r="480" ht="15.75" customHeight="1">
      <c r="B480" s="33"/>
      <c r="C480" s="33"/>
      <c r="D480" s="33"/>
      <c r="F480" s="33"/>
      <c r="I480" s="33" t="str">
        <f t="shared" ref="I480:K480" si="479">IF(B480="","",IF(B480&gt;=4,"A",IF(B480&gt;=3,"B","C")))</f>
        <v/>
      </c>
      <c r="J480" s="33" t="str">
        <f t="shared" si="479"/>
        <v/>
      </c>
      <c r="K480" s="33" t="str">
        <f t="shared" si="479"/>
        <v/>
      </c>
    </row>
    <row r="481" ht="15.75" customHeight="1">
      <c r="B481" s="33"/>
      <c r="C481" s="33"/>
      <c r="D481" s="33"/>
      <c r="F481" s="33"/>
      <c r="I481" s="33" t="str">
        <f t="shared" ref="I481:K481" si="480">IF(B481="","",IF(B481&gt;=4,"A",IF(B481&gt;=3,"B","C")))</f>
        <v/>
      </c>
      <c r="J481" s="33" t="str">
        <f t="shared" si="480"/>
        <v/>
      </c>
      <c r="K481" s="33" t="str">
        <f t="shared" si="480"/>
        <v/>
      </c>
    </row>
    <row r="482" ht="15.75" customHeight="1">
      <c r="B482" s="33"/>
      <c r="C482" s="33"/>
      <c r="D482" s="33"/>
      <c r="F482" s="33"/>
      <c r="I482" s="33" t="str">
        <f t="shared" ref="I482:K482" si="481">IF(B482="","",IF(B482&gt;=4,"A",IF(B482&gt;=3,"B","C")))</f>
        <v/>
      </c>
      <c r="J482" s="33" t="str">
        <f t="shared" si="481"/>
        <v/>
      </c>
      <c r="K482" s="33" t="str">
        <f t="shared" si="481"/>
        <v/>
      </c>
    </row>
    <row r="483" ht="15.75" customHeight="1">
      <c r="B483" s="33"/>
      <c r="C483" s="33"/>
      <c r="D483" s="33"/>
      <c r="F483" s="33"/>
      <c r="I483" s="33" t="str">
        <f t="shared" ref="I483:K483" si="482">IF(B483="","",IF(B483&gt;=4,"A",IF(B483&gt;=3,"B","C")))</f>
        <v/>
      </c>
      <c r="J483" s="33" t="str">
        <f t="shared" si="482"/>
        <v/>
      </c>
      <c r="K483" s="33" t="str">
        <f t="shared" si="482"/>
        <v/>
      </c>
    </row>
    <row r="484" ht="15.75" customHeight="1">
      <c r="B484" s="33"/>
      <c r="C484" s="33"/>
      <c r="D484" s="33"/>
      <c r="F484" s="33"/>
      <c r="I484" s="33" t="str">
        <f t="shared" ref="I484:K484" si="483">IF(B484="","",IF(B484&gt;=4,"A",IF(B484&gt;=3,"B","C")))</f>
        <v/>
      </c>
      <c r="J484" s="33" t="str">
        <f t="shared" si="483"/>
        <v/>
      </c>
      <c r="K484" s="33" t="str">
        <f t="shared" si="483"/>
        <v/>
      </c>
    </row>
    <row r="485" ht="15.75" customHeight="1">
      <c r="B485" s="33"/>
      <c r="C485" s="33"/>
      <c r="D485" s="33"/>
      <c r="F485" s="33"/>
      <c r="I485" s="33" t="str">
        <f t="shared" ref="I485:K485" si="484">IF(B485="","",IF(B485&gt;=4,"A",IF(B485&gt;=3,"B","C")))</f>
        <v/>
      </c>
      <c r="J485" s="33" t="str">
        <f t="shared" si="484"/>
        <v/>
      </c>
      <c r="K485" s="33" t="str">
        <f t="shared" si="484"/>
        <v/>
      </c>
    </row>
    <row r="486" ht="15.75" customHeight="1">
      <c r="B486" s="33"/>
      <c r="C486" s="33"/>
      <c r="D486" s="33"/>
      <c r="F486" s="33"/>
      <c r="I486" s="33" t="str">
        <f t="shared" ref="I486:K486" si="485">IF(B486="","",IF(B486&gt;=4,"A",IF(B486&gt;=3,"B","C")))</f>
        <v/>
      </c>
      <c r="J486" s="33" t="str">
        <f t="shared" si="485"/>
        <v/>
      </c>
      <c r="K486" s="33" t="str">
        <f t="shared" si="485"/>
        <v/>
      </c>
    </row>
    <row r="487" ht="15.75" customHeight="1">
      <c r="B487" s="33"/>
      <c r="C487" s="33"/>
      <c r="D487" s="33"/>
      <c r="F487" s="33"/>
      <c r="I487" s="33" t="str">
        <f t="shared" ref="I487:K487" si="486">IF(B487="","",IF(B487&gt;=4,"A",IF(B487&gt;=3,"B","C")))</f>
        <v/>
      </c>
      <c r="J487" s="33" t="str">
        <f t="shared" si="486"/>
        <v/>
      </c>
      <c r="K487" s="33" t="str">
        <f t="shared" si="486"/>
        <v/>
      </c>
    </row>
    <row r="488" ht="15.75" customHeight="1">
      <c r="B488" s="33"/>
      <c r="C488" s="33"/>
      <c r="D488" s="33"/>
      <c r="F488" s="33"/>
      <c r="I488" s="33" t="str">
        <f t="shared" ref="I488:K488" si="487">IF(B488="","",IF(B488&gt;=4,"A",IF(B488&gt;=3,"B","C")))</f>
        <v/>
      </c>
      <c r="J488" s="33" t="str">
        <f t="shared" si="487"/>
        <v/>
      </c>
      <c r="K488" s="33" t="str">
        <f t="shared" si="487"/>
        <v/>
      </c>
    </row>
    <row r="489" ht="15.75" customHeight="1">
      <c r="B489" s="33"/>
      <c r="C489" s="33"/>
      <c r="D489" s="33"/>
      <c r="F489" s="33"/>
      <c r="I489" s="33" t="str">
        <f t="shared" ref="I489:K489" si="488">IF(B489="","",IF(B489&gt;=4,"A",IF(B489&gt;=3,"B","C")))</f>
        <v/>
      </c>
      <c r="J489" s="33" t="str">
        <f t="shared" si="488"/>
        <v/>
      </c>
      <c r="K489" s="33" t="str">
        <f t="shared" si="488"/>
        <v/>
      </c>
    </row>
    <row r="490" ht="15.75" customHeight="1">
      <c r="B490" s="33"/>
      <c r="C490" s="33"/>
      <c r="D490" s="33"/>
      <c r="F490" s="33"/>
      <c r="I490" s="33" t="str">
        <f t="shared" ref="I490:K490" si="489">IF(B490="","",IF(B490&gt;=4,"A",IF(B490&gt;=3,"B","C")))</f>
        <v/>
      </c>
      <c r="J490" s="33" t="str">
        <f t="shared" si="489"/>
        <v/>
      </c>
      <c r="K490" s="33" t="str">
        <f t="shared" si="489"/>
        <v/>
      </c>
    </row>
    <row r="491" ht="15.75" customHeight="1">
      <c r="B491" s="33"/>
      <c r="C491" s="33"/>
      <c r="D491" s="33"/>
      <c r="F491" s="33"/>
      <c r="I491" s="33" t="str">
        <f t="shared" ref="I491:K491" si="490">IF(B491="","",IF(B491&gt;=4,"A",IF(B491&gt;=3,"B","C")))</f>
        <v/>
      </c>
      <c r="J491" s="33" t="str">
        <f t="shared" si="490"/>
        <v/>
      </c>
      <c r="K491" s="33" t="str">
        <f t="shared" si="490"/>
        <v/>
      </c>
    </row>
    <row r="492" ht="15.75" customHeight="1">
      <c r="B492" s="33"/>
      <c r="C492" s="33"/>
      <c r="D492" s="33"/>
      <c r="F492" s="33"/>
      <c r="I492" s="33" t="str">
        <f t="shared" ref="I492:K492" si="491">IF(B492="","",IF(B492&gt;=4,"A",IF(B492&gt;=3,"B","C")))</f>
        <v/>
      </c>
      <c r="J492" s="33" t="str">
        <f t="shared" si="491"/>
        <v/>
      </c>
      <c r="K492" s="33" t="str">
        <f t="shared" si="491"/>
        <v/>
      </c>
    </row>
    <row r="493" ht="15.75" customHeight="1">
      <c r="B493" s="33"/>
      <c r="C493" s="33"/>
      <c r="D493" s="33"/>
      <c r="F493" s="33"/>
      <c r="I493" s="33" t="str">
        <f t="shared" ref="I493:K493" si="492">IF(B493="","",IF(B493&gt;=4,"A",IF(B493&gt;=3,"B","C")))</f>
        <v/>
      </c>
      <c r="J493" s="33" t="str">
        <f t="shared" si="492"/>
        <v/>
      </c>
      <c r="K493" s="33" t="str">
        <f t="shared" si="492"/>
        <v/>
      </c>
    </row>
    <row r="494" ht="15.75" customHeight="1">
      <c r="B494" s="33"/>
      <c r="C494" s="33"/>
      <c r="D494" s="33"/>
      <c r="F494" s="33"/>
      <c r="I494" s="33" t="str">
        <f t="shared" ref="I494:K494" si="493">IF(B494="","",IF(B494&gt;=4,"A",IF(B494&gt;=3,"B","C")))</f>
        <v/>
      </c>
      <c r="J494" s="33" t="str">
        <f t="shared" si="493"/>
        <v/>
      </c>
      <c r="K494" s="33" t="str">
        <f t="shared" si="493"/>
        <v/>
      </c>
    </row>
    <row r="495" ht="15.75" customHeight="1">
      <c r="B495" s="33"/>
      <c r="C495" s="33"/>
      <c r="D495" s="33"/>
      <c r="F495" s="33"/>
      <c r="I495" s="33" t="str">
        <f t="shared" ref="I495:K495" si="494">IF(B495="","",IF(B495&gt;=4,"A",IF(B495&gt;=3,"B","C")))</f>
        <v/>
      </c>
      <c r="J495" s="33" t="str">
        <f t="shared" si="494"/>
        <v/>
      </c>
      <c r="K495" s="33" t="str">
        <f t="shared" si="494"/>
        <v/>
      </c>
    </row>
    <row r="496" ht="15.75" customHeight="1">
      <c r="B496" s="33"/>
      <c r="C496" s="33"/>
      <c r="D496" s="33"/>
      <c r="F496" s="33"/>
      <c r="I496" s="33" t="str">
        <f t="shared" ref="I496:K496" si="495">IF(B496="","",IF(B496&gt;=4,"A",IF(B496&gt;=3,"B","C")))</f>
        <v/>
      </c>
      <c r="J496" s="33" t="str">
        <f t="shared" si="495"/>
        <v/>
      </c>
      <c r="K496" s="33" t="str">
        <f t="shared" si="495"/>
        <v/>
      </c>
    </row>
    <row r="497" ht="15.75" customHeight="1">
      <c r="B497" s="33"/>
      <c r="C497" s="33"/>
      <c r="D497" s="33"/>
      <c r="F497" s="33"/>
      <c r="I497" s="33" t="str">
        <f t="shared" ref="I497:K497" si="496">IF(B497="","",IF(B497&gt;=4,"A",IF(B497&gt;=3,"B","C")))</f>
        <v/>
      </c>
      <c r="J497" s="33" t="str">
        <f t="shared" si="496"/>
        <v/>
      </c>
      <c r="K497" s="33" t="str">
        <f t="shared" si="496"/>
        <v/>
      </c>
    </row>
    <row r="498" ht="15.75" customHeight="1">
      <c r="B498" s="33"/>
      <c r="C498" s="33"/>
      <c r="D498" s="33"/>
      <c r="F498" s="33"/>
      <c r="I498" s="33" t="str">
        <f t="shared" ref="I498:K498" si="497">IF(B498="","",IF(B498&gt;=4,"A",IF(B498&gt;=3,"B","C")))</f>
        <v/>
      </c>
      <c r="J498" s="33" t="str">
        <f t="shared" si="497"/>
        <v/>
      </c>
      <c r="K498" s="33" t="str">
        <f t="shared" si="497"/>
        <v/>
      </c>
    </row>
    <row r="499" ht="15.75" customHeight="1">
      <c r="B499" s="33"/>
      <c r="C499" s="33"/>
      <c r="D499" s="33"/>
      <c r="F499" s="33"/>
      <c r="I499" s="33" t="str">
        <f t="shared" ref="I499:K499" si="498">IF(B499="","",IF(B499&gt;=4,"A",IF(B499&gt;=3,"B","C")))</f>
        <v/>
      </c>
      <c r="J499" s="33" t="str">
        <f t="shared" si="498"/>
        <v/>
      </c>
      <c r="K499" s="33" t="str">
        <f t="shared" si="498"/>
        <v/>
      </c>
    </row>
    <row r="500" ht="15.75" customHeight="1">
      <c r="B500" s="33"/>
      <c r="C500" s="33"/>
      <c r="D500" s="33"/>
      <c r="F500" s="33"/>
      <c r="I500" s="33" t="str">
        <f t="shared" ref="I500:K500" si="499">IF(B500="","",IF(B500&gt;=4,"A",IF(B500&gt;=3,"B","C")))</f>
        <v/>
      </c>
      <c r="J500" s="33" t="str">
        <f t="shared" si="499"/>
        <v/>
      </c>
      <c r="K500" s="33" t="str">
        <f t="shared" si="499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D500">
    <cfRule type="colorScale" priority="1">
      <colorScale>
        <cfvo type="min"/>
        <cfvo type="percentile" val="50"/>
        <cfvo type="max"/>
        <color rgb="FFFDE2E1"/>
        <color rgb="FFFFF2CC"/>
        <color rgb="FFE2F0D9"/>
      </colorScale>
    </cfRule>
  </conditionalFormatting>
  <dataValidations>
    <dataValidation type="decimal" allowBlank="1" sqref="B2:D500">
      <formula1>1.0</formula1>
      <formula2>5.0</formula2>
    </dataValidation>
    <dataValidation type="list" allowBlank="1" sqref="F2:F500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1.71"/>
    <col customWidth="1" min="3" max="3" width="24.0"/>
    <col customWidth="1" min="4" max="4" width="7.86"/>
    <col customWidth="1" min="5" max="26" width="8.71"/>
  </cols>
  <sheetData>
    <row r="1" ht="16.5" customHeight="1">
      <c r="A1" s="43" t="s">
        <v>195</v>
      </c>
      <c r="B1" s="44"/>
      <c r="C1" s="44"/>
      <c r="D1" s="5"/>
    </row>
    <row r="2" ht="16.5" customHeight="1">
      <c r="A2" s="45" t="s">
        <v>196</v>
      </c>
      <c r="B2" s="45" t="s">
        <v>197</v>
      </c>
      <c r="C2" s="45" t="s">
        <v>196</v>
      </c>
      <c r="D2" s="45" t="s">
        <v>197</v>
      </c>
    </row>
    <row r="3" ht="16.5" customHeight="1">
      <c r="A3" s="33" t="s">
        <v>198</v>
      </c>
      <c r="B3" s="33">
        <f>COUNTA(BOOKINGS!A2:A500)</f>
        <v>0</v>
      </c>
      <c r="C3" s="33" t="s">
        <v>199</v>
      </c>
      <c r="D3" s="33">
        <f>COUNTIF(BOOKINGS!L2:L500,"Completed")</f>
        <v>0</v>
      </c>
    </row>
    <row r="4" ht="16.5" customHeight="1">
      <c r="A4" s="33" t="s">
        <v>200</v>
      </c>
      <c r="B4" s="33">
        <f>COUNTIF(BOOKINGS!L2:L500,"Confirmed")+COUNTIF(BOOKINGS!L2:L500,"Assigned")+COUNTIF(BOOKINGS!L2:L500,"Dispatched")</f>
        <v>0</v>
      </c>
      <c r="C4" s="33" t="s">
        <v>201</v>
      </c>
      <c r="D4" s="33">
        <f>COUNTIF(BOOKINGS!L2:L500,"Cancelled")</f>
        <v>0</v>
      </c>
    </row>
    <row r="5" ht="16.5" customHeight="1">
      <c r="A5" s="33" t="s">
        <v>202</v>
      </c>
      <c r="B5" s="38">
        <f>SUM(BOOKINGS!M2:M500)</f>
        <v>0</v>
      </c>
      <c r="C5" s="33" t="s">
        <v>163</v>
      </c>
      <c r="D5" s="38">
        <f>SUM(COSTING!I2:I500)</f>
        <v>0</v>
      </c>
    </row>
    <row r="6" ht="16.5" customHeight="1">
      <c r="A6" s="33" t="s">
        <v>203</v>
      </c>
      <c r="B6" s="38">
        <f>SUM(PROFITABILITY!D2:D500)</f>
        <v>0</v>
      </c>
      <c r="C6" s="33" t="s">
        <v>204</v>
      </c>
      <c r="D6" s="42" t="str">
        <f>IFERROR(AVERAGE(PROFITABILITY!E2:E500),"")</f>
        <v/>
      </c>
    </row>
    <row r="7" ht="16.5" customHeight="1">
      <c r="A7" s="33" t="s">
        <v>205</v>
      </c>
      <c r="B7" s="38">
        <f>SUM(BILLING!F2:F500)</f>
        <v>0</v>
      </c>
      <c r="C7" s="33" t="s">
        <v>206</v>
      </c>
      <c r="D7" s="38">
        <f>SUM(COLLECTIONS!E2:E500)</f>
        <v>0</v>
      </c>
    </row>
    <row r="8" ht="16.5" customHeight="1">
      <c r="A8" s="33" t="s">
        <v>207</v>
      </c>
      <c r="B8" s="38">
        <f>SUM(COLLECTIONS!D2:D500)</f>
        <v>0</v>
      </c>
      <c r="C8" s="33" t="s">
        <v>208</v>
      </c>
      <c r="D8" s="38">
        <f>COUNTIF(BILLING!G2:G500,"Overdue")</f>
        <v>0</v>
      </c>
    </row>
    <row r="9" ht="16.5" customHeight="1">
      <c r="A9" s="33" t="s">
        <v>209</v>
      </c>
      <c r="B9" s="33">
        <f>COUNTIF(SETUP_TRUCKS!F2:F484,"Active")</f>
        <v>15</v>
      </c>
      <c r="C9" s="33" t="s">
        <v>210</v>
      </c>
      <c r="D9" s="33">
        <f>COUNTIF(SETUP_DRIVERS!F2:F499,"Active")</f>
        <v>9</v>
      </c>
    </row>
    <row r="10" ht="16.5" customHeight="1">
      <c r="A10" s="33" t="s">
        <v>211</v>
      </c>
      <c r="B10" s="33" t="str">
        <f>IFERROR(AVERAGE(TRIP_EVALUATION!B2:B500),"")</f>
        <v/>
      </c>
      <c r="C10" s="33" t="s">
        <v>212</v>
      </c>
      <c r="D10" s="33" t="str">
        <f>IFERROR(AVERAGE(TRIP_EVALUATION!C2:C500),"")</f>
        <v/>
      </c>
    </row>
    <row r="11">
      <c r="A11" s="33" t="s">
        <v>213</v>
      </c>
      <c r="B11" s="33">
        <f>COUNTIF(PROFITABILITY!H2:H500,"LOSS")</f>
        <v>0</v>
      </c>
      <c r="C11" s="33" t="s">
        <v>214</v>
      </c>
      <c r="D11" s="33">
        <f>COUNTIF(PROFITABILITY!H2:H500,"LOW MARGIN")</f>
        <v>0</v>
      </c>
    </row>
    <row r="12">
      <c r="A12" s="33" t="s">
        <v>215</v>
      </c>
      <c r="B12" s="33" t="str">
        <f t="array" ref="B12">IFERROR(INDEX(CLIENTS!B2:B500,MATCH(LOOKUP(1.E+308,SUMIF(BOOKINGS!C2:C500,CLIENTS!A2:A500,BOOKINGS!M2:M500)),SUMIF(BOOKINGS!C2:C500,CLIENTS!A2:A500,BOOKINGS!M2:M500),0)),"See Clients")</f>
        <v>ROBINSONS APPLIANCES CORP</v>
      </c>
      <c r="C12" s="33" t="s">
        <v>216</v>
      </c>
      <c r="D12" s="38">
        <f>SUMIFS(BOOKINGS!M2:M500,BOOKINGS!Q2:Q500,TEXT(TODAY(),"yyyy-mm"))</f>
        <v>0</v>
      </c>
    </row>
    <row r="14">
      <c r="A14" s="46" t="s">
        <v>217</v>
      </c>
      <c r="B14" s="46"/>
      <c r="C14" s="46"/>
      <c r="D14" s="46"/>
    </row>
    <row r="15">
      <c r="A15" s="33" t="s">
        <v>16</v>
      </c>
      <c r="B15" s="42">
        <f>SETUP_RATES!K5</f>
        <v>0.2</v>
      </c>
      <c r="C15" s="42" t="s">
        <v>14</v>
      </c>
      <c r="D15" s="42">
        <f>SETUP_RATES!K4</f>
        <v>0.12</v>
      </c>
    </row>
    <row r="16">
      <c r="A16" s="33" t="s">
        <v>12</v>
      </c>
      <c r="B16" s="47">
        <f>SETUP_RATES!K3</f>
        <v>500</v>
      </c>
      <c r="C16" s="33" t="s">
        <v>10</v>
      </c>
      <c r="D16" s="47">
        <f>SETUP_RATES!K2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2026-04-17T07:21:17Z</dcterms:created>
  <dc:creator>Vyela Salvador</dc:creator>
</cp:coreProperties>
</file>